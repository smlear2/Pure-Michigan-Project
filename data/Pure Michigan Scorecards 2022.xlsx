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" sheetId="1" r:id="rId4"/>
    <sheet state="visible" name="SUMMARY" sheetId="2" r:id="rId5"/>
    <sheet state="visible" name="Ledger" sheetId="3" r:id="rId6"/>
    <sheet state="visible" name="HANDICAPS" sheetId="4" r:id="rId7"/>
    <sheet state="visible" name="PRACTICE ROUND" sheetId="5" r:id="rId8"/>
    <sheet state="visible" name="ROUND 1 - FOURBALL" sheetId="6" r:id="rId9"/>
    <sheet state="visible" name="TILT Round 1" sheetId="7" r:id="rId10"/>
    <sheet state="visible" name="ROUND 2 - FOURBALL" sheetId="8" r:id="rId11"/>
    <sheet state="visible" name="TILT Round 2" sheetId="9" r:id="rId12"/>
    <sheet state="visible" name="ROUND 3 - FOURBALL" sheetId="10" r:id="rId13"/>
    <sheet state="visible" name="TILT Round 3" sheetId="11" r:id="rId14"/>
    <sheet state="visible" name="ROUND 4 - SINGLES" sheetId="12" r:id="rId15"/>
    <sheet state="hidden" name="Links_Quarry (2)" sheetId="13" r:id="rId16"/>
    <sheet state="visible" name="TILT Round 4" sheetId="14" r:id="rId17"/>
    <sheet state="hidden" name="Arthur Hills" sheetId="15" r:id="rId18"/>
    <sheet state="hidden" name="Heather" sheetId="16" r:id="rId19"/>
  </sheets>
  <externalReferences>
    <externalReference r:id="rId20"/>
  </externalReferences>
  <definedNames>
    <definedName name="SKINS">SUMMARY!$C$27</definedName>
    <definedName hidden="1" localSheetId="3" name="_xlnm._FilterDatabase">HANDICAPS!$B$7:$G$7</definedName>
  </definedNames>
  <calcPr/>
  <extLst>
    <ext uri="GoogleSheetsCustomDataVersion2">
      <go:sheetsCustomData xmlns:go="http://customooxmlschemas.google.com/" r:id="rId21" roundtripDataChecksum="1Q46Y77hMDyVYQJTqCcv859eE3dv1rw6FO3D7rmY2ck="/>
    </ext>
  </extLst>
</workbook>
</file>

<file path=xl/sharedStrings.xml><?xml version="1.0" encoding="utf-8"?>
<sst xmlns="http://schemas.openxmlformats.org/spreadsheetml/2006/main" count="1364" uniqueCount="245">
  <si>
    <t>Course</t>
  </si>
  <si>
    <t>Pure Michigan Open 2k21</t>
  </si>
  <si>
    <t>Front</t>
  </si>
  <si>
    <t>Back</t>
  </si>
  <si>
    <t>Hole</t>
  </si>
  <si>
    <t>Out</t>
  </si>
  <si>
    <t>In</t>
  </si>
  <si>
    <t>Total</t>
  </si>
  <si>
    <t>Color</t>
  </si>
  <si>
    <t>Par</t>
  </si>
  <si>
    <t>Handicap</t>
  </si>
  <si>
    <t>Best Ball (Net)</t>
  </si>
  <si>
    <t>Points</t>
  </si>
  <si>
    <t>Name</t>
  </si>
  <si>
    <t>Net Skins</t>
  </si>
  <si>
    <t>Opt-In</t>
  </si>
  <si>
    <t>Pot</t>
  </si>
  <si>
    <t>Y</t>
  </si>
  <si>
    <t>N</t>
  </si>
  <si>
    <t>Skin Score</t>
  </si>
  <si>
    <t>Count of Skin Score</t>
  </si>
  <si>
    <t>Number of Skins</t>
  </si>
  <si>
    <t>Winner</t>
  </si>
  <si>
    <t>Birdies</t>
  </si>
  <si>
    <t>B</t>
  </si>
  <si>
    <t xml:space="preserve"> </t>
  </si>
  <si>
    <t>DAY 1</t>
  </si>
  <si>
    <t>DAY 2</t>
  </si>
  <si>
    <t>DAY 3</t>
  </si>
  <si>
    <t>ROUND 1</t>
  </si>
  <si>
    <t>ROUND 2</t>
  </si>
  <si>
    <t>TOTAL</t>
  </si>
  <si>
    <t>ROUND 3</t>
  </si>
  <si>
    <t>ROUND 4</t>
  </si>
  <si>
    <t>TEAM EUROPE POINTS</t>
  </si>
  <si>
    <t>TEAM USA POINTS</t>
  </si>
  <si>
    <t>BIRDIES</t>
  </si>
  <si>
    <t>PRACTICE ROUND</t>
  </si>
  <si>
    <t>LINE</t>
  </si>
  <si>
    <t>TOTALS</t>
  </si>
  <si>
    <t>BUY IN</t>
  </si>
  <si>
    <t>SKINS</t>
  </si>
  <si>
    <t>TILT</t>
  </si>
  <si>
    <t>OPT IN?</t>
  </si>
  <si>
    <t>Bettor</t>
  </si>
  <si>
    <t>Wager</t>
  </si>
  <si>
    <t>RESULT</t>
  </si>
  <si>
    <t>Danny</t>
  </si>
  <si>
    <t>OVER 5.5 birdies</t>
  </si>
  <si>
    <t>LOSS</t>
  </si>
  <si>
    <t>paid</t>
  </si>
  <si>
    <t>Ways</t>
  </si>
  <si>
    <t>OVER 6.5</t>
  </si>
  <si>
    <t>WIN</t>
  </si>
  <si>
    <t>Dylan</t>
  </si>
  <si>
    <t>Europe to win</t>
  </si>
  <si>
    <t>splitwise</t>
  </si>
  <si>
    <t>WAYS</t>
  </si>
  <si>
    <t>BEN OVER</t>
  </si>
  <si>
    <t>Zach</t>
  </si>
  <si>
    <t>ZACH OVER</t>
  </si>
  <si>
    <t>Paxton</t>
  </si>
  <si>
    <t>TOM OVER</t>
  </si>
  <si>
    <t>Stitt</t>
  </si>
  <si>
    <t>venmo</t>
  </si>
  <si>
    <t>DMO OVER</t>
  </si>
  <si>
    <t>Kip</t>
  </si>
  <si>
    <t>SHEPP OVER</t>
  </si>
  <si>
    <t>Tom</t>
  </si>
  <si>
    <t>SKY OVER</t>
  </si>
  <si>
    <t>Max</t>
  </si>
  <si>
    <t>DEREK U</t>
  </si>
  <si>
    <t>SCOTT U</t>
  </si>
  <si>
    <t>DYLAN U</t>
  </si>
  <si>
    <t>ERIC U</t>
  </si>
  <si>
    <t>ALEX U</t>
  </si>
  <si>
    <t>MAX U</t>
  </si>
  <si>
    <t>RYAN U</t>
  </si>
  <si>
    <t>KIP U</t>
  </si>
  <si>
    <t>DYLAN</t>
  </si>
  <si>
    <t>OVER 3 BIRDIES</t>
  </si>
  <si>
    <t>ZACH</t>
  </si>
  <si>
    <t>HOLE IN ONE</t>
  </si>
  <si>
    <t>DANNY</t>
  </si>
  <si>
    <t>PAXTON</t>
  </si>
  <si>
    <t>OVER 3.5</t>
  </si>
  <si>
    <t>RYAN</t>
  </si>
  <si>
    <t>OVER .5</t>
  </si>
  <si>
    <t>WAYS OVER</t>
  </si>
  <si>
    <t>STITT</t>
  </si>
  <si>
    <t>KIP OVER</t>
  </si>
  <si>
    <t>KIP</t>
  </si>
  <si>
    <t>EUROPE</t>
  </si>
  <si>
    <t>OVER TOM</t>
  </si>
  <si>
    <t>OVER PAX</t>
  </si>
  <si>
    <t>OVER MAX</t>
  </si>
  <si>
    <t>BIRDIES UNDER</t>
  </si>
  <si>
    <t>TOM</t>
  </si>
  <si>
    <t xml:space="preserve">USA </t>
  </si>
  <si>
    <t>OVER 2.5</t>
  </si>
  <si>
    <t>MAX</t>
  </si>
  <si>
    <t>UNDER BIRDIES</t>
  </si>
  <si>
    <t>TOTAL OVER 74</t>
  </si>
  <si>
    <t>TEES</t>
  </si>
  <si>
    <t>ORANGE</t>
  </si>
  <si>
    <t>COMBO</t>
  </si>
  <si>
    <t>RULES</t>
  </si>
  <si>
    <t>YARDAGE</t>
  </si>
  <si>
    <t>HAVE FUN OUT THERE GENTLEMEN</t>
  </si>
  <si>
    <t>SLOPE</t>
  </si>
  <si>
    <t>BREAKFAST BALL - AM ROUNDS ONLY</t>
  </si>
  <si>
    <t>RATING</t>
  </si>
  <si>
    <t>WINTER RULES IN YOUR FAIRWAY (ROLL THE BALL)</t>
  </si>
  <si>
    <t>PAR</t>
  </si>
  <si>
    <t>GENTLEMAN'S DROP (LEAF RULE/NORMAL ROUGH)</t>
  </si>
  <si>
    <t>PLAYER</t>
  </si>
  <si>
    <t>INDEX</t>
  </si>
  <si>
    <t>BAY HARBOR</t>
  </si>
  <si>
    <t>ARTHUR HILLS</t>
  </si>
  <si>
    <t>MONUMENT</t>
  </si>
  <si>
    <t>RAKE AND PLACE IN THE TRAPS (SAME SPOT)</t>
  </si>
  <si>
    <t>DEREK</t>
  </si>
  <si>
    <t>STROKE AND DISTANCE FROM TEES - EVERYTHING LAT.</t>
  </si>
  <si>
    <t>SCOTT</t>
  </si>
  <si>
    <t>MAX DOUBLE PAR - PLEASE PICK UP TO KEEP PACE</t>
  </si>
  <si>
    <t>CASH/CARD ONLY ON THE GOLF COURSE FOR BOOZE</t>
  </si>
  <si>
    <t>BEN</t>
  </si>
  <si>
    <t>DON’T BE A CUNT LIKE THE GUY WALKING HIS DOG</t>
  </si>
  <si>
    <t>SLICK</t>
  </si>
  <si>
    <t>ERIC</t>
  </si>
  <si>
    <t>SHEPP</t>
  </si>
  <si>
    <t>SKYLAR</t>
  </si>
  <si>
    <t>HANDICAP INDEX X (SLOPE RATING / 113) + (COURSE RATING - PAR)</t>
  </si>
  <si>
    <t>TILT HANDICAPS (100% HDCP)</t>
  </si>
  <si>
    <t>MICHIGAN OPEN 2022 - PRACTICE ROUND - CROOKED TREE</t>
  </si>
  <si>
    <t>FRONT</t>
  </si>
  <si>
    <t>BACK</t>
  </si>
  <si>
    <t>HOLE</t>
  </si>
  <si>
    <t>OUT</t>
  </si>
  <si>
    <t>IN</t>
  </si>
  <si>
    <t>BEST TWO OF FOUR</t>
  </si>
  <si>
    <t>PURPLE</t>
  </si>
  <si>
    <t>HDCP</t>
  </si>
  <si>
    <t>BEST BALL (NET)</t>
  </si>
  <si>
    <t>TEAM POINTS</t>
  </si>
  <si>
    <t>NET SKINS</t>
  </si>
  <si>
    <t>NAME</t>
  </si>
  <si>
    <t>OPT-IN</t>
  </si>
  <si>
    <t>POT</t>
  </si>
  <si>
    <t>SKIN SCORE</t>
  </si>
  <si>
    <t>`</t>
  </si>
  <si>
    <t>MICHIGAN OPEN 2022 - ROUND 1 - LINKS/QUARRY</t>
  </si>
  <si>
    <t>LINKS</t>
  </si>
  <si>
    <t>QUARRY</t>
  </si>
  <si>
    <t>BEST BALL OF 2</t>
  </si>
  <si>
    <t>TILT Scoring Overview</t>
  </si>
  <si>
    <t>MICHIGAN OPEN 2022 - TILT Round 1 Scoring</t>
  </si>
  <si>
    <t>Net Scores: 100% Handicap.  Multipliers on next hole for NET Birdie or Better</t>
  </si>
  <si>
    <t>Double Bogey</t>
  </si>
  <si>
    <r>
      <rPr>
        <rFont val="Helvetica Neue"/>
        <b/>
        <color theme="1"/>
        <sz val="11.0"/>
      </rPr>
      <t>-4 Pts.</t>
    </r>
    <r>
      <rPr>
        <rFont val="Helvetica Neue"/>
        <color theme="1"/>
        <sz val="11.0"/>
      </rPr>
      <t xml:space="preserve"> + Multipier Resets</t>
    </r>
  </si>
  <si>
    <t>TILT Scores &amp; Multipliers</t>
  </si>
  <si>
    <t>Bogey</t>
  </si>
  <si>
    <r>
      <rPr>
        <rFont val="Helvetica Neue"/>
        <b/>
        <color theme="1"/>
        <sz val="11.0"/>
      </rPr>
      <t>0 Pts</t>
    </r>
    <r>
      <rPr>
        <rFont val="Helvetica Neue"/>
        <color theme="1"/>
        <sz val="11.0"/>
      </rPr>
      <t xml:space="preserve"> + Multiplier Resets</t>
    </r>
  </si>
  <si>
    <r>
      <rPr>
        <rFont val="Helvetica Neue"/>
        <b/>
        <color theme="1"/>
        <sz val="11.0"/>
      </rPr>
      <t>2 Pts</t>
    </r>
    <r>
      <rPr>
        <rFont val="Helvetica Neue"/>
        <color theme="1"/>
        <sz val="11.0"/>
      </rPr>
      <t>. + Multiplier Resets</t>
    </r>
  </si>
  <si>
    <t>Birdie</t>
  </si>
  <si>
    <r>
      <rPr>
        <rFont val="Helvetica Neue"/>
        <b/>
        <color theme="1"/>
        <sz val="11.0"/>
      </rPr>
      <t>4 Pts.</t>
    </r>
    <r>
      <rPr>
        <rFont val="Helvetica Neue"/>
        <color theme="1"/>
        <sz val="11.0"/>
      </rPr>
      <t xml:space="preserve"> &amp; +1 to Mulitplier Next Hole</t>
    </r>
  </si>
  <si>
    <t>Eagle</t>
  </si>
  <si>
    <r>
      <rPr>
        <rFont val="Helvetica Neue"/>
        <b/>
        <color theme="1"/>
        <sz val="11.0"/>
      </rPr>
      <t>8 Pts</t>
    </r>
    <r>
      <rPr>
        <rFont val="Helvetica Neue"/>
        <color theme="1"/>
        <sz val="11.0"/>
      </rPr>
      <t>. &amp; +2 to Multiplier Next Hole</t>
    </r>
  </si>
  <si>
    <t>Albatross</t>
  </si>
  <si>
    <r>
      <rPr>
        <rFont val="Helvetica Neue"/>
        <b/>
        <color theme="1"/>
        <sz val="11.0"/>
      </rPr>
      <t>16 Pts</t>
    </r>
    <r>
      <rPr>
        <rFont val="Helvetica Neue"/>
        <color theme="1"/>
        <sz val="11.0"/>
      </rPr>
      <t>. &amp; +3 to Multiplier Next Hole</t>
    </r>
  </si>
  <si>
    <t>Gross Score</t>
  </si>
  <si>
    <t>Multiplier Indicator</t>
  </si>
  <si>
    <t>Multiplier</t>
  </si>
  <si>
    <t>MICHIGAN OPEN 2022 - ROUND 2 - LINKS - QUARRY</t>
  </si>
  <si>
    <t>MICHIGAN OPEN 2022 - TILT Round 2 Scoring</t>
  </si>
  <si>
    <r>
      <rPr>
        <rFont val="Helvetica Neue"/>
        <b/>
        <color theme="1"/>
        <sz val="11.0"/>
      </rPr>
      <t>-4 Pts.</t>
    </r>
    <r>
      <rPr>
        <rFont val="Helvetica Neue"/>
        <color theme="1"/>
        <sz val="11.0"/>
      </rPr>
      <t xml:space="preserve"> + Multipier Resets</t>
    </r>
  </si>
  <si>
    <r>
      <rPr>
        <rFont val="Helvetica Neue"/>
        <b/>
        <color theme="1"/>
        <sz val="11.0"/>
      </rPr>
      <t>0 Pts</t>
    </r>
    <r>
      <rPr>
        <rFont val="Helvetica Neue"/>
        <color theme="1"/>
        <sz val="11.0"/>
      </rPr>
      <t xml:space="preserve"> + Multiplier Resets</t>
    </r>
  </si>
  <si>
    <r>
      <rPr>
        <rFont val="Helvetica Neue"/>
        <b/>
        <color theme="1"/>
        <sz val="11.0"/>
      </rPr>
      <t>2 Pts</t>
    </r>
    <r>
      <rPr>
        <rFont val="Helvetica Neue"/>
        <color theme="1"/>
        <sz val="11.0"/>
      </rPr>
      <t>. + Multiplier Resets</t>
    </r>
  </si>
  <si>
    <r>
      <rPr>
        <rFont val="Helvetica Neue"/>
        <b/>
        <color theme="1"/>
        <sz val="11.0"/>
      </rPr>
      <t>4 Pts.</t>
    </r>
    <r>
      <rPr>
        <rFont val="Helvetica Neue"/>
        <color theme="1"/>
        <sz val="11.0"/>
      </rPr>
      <t xml:space="preserve"> &amp; +1 to Mulitplier Next Hole</t>
    </r>
  </si>
  <si>
    <r>
      <rPr>
        <rFont val="Helvetica Neue"/>
        <b/>
        <color theme="1"/>
        <sz val="11.0"/>
      </rPr>
      <t>8 Pts</t>
    </r>
    <r>
      <rPr>
        <rFont val="Helvetica Neue"/>
        <color theme="1"/>
        <sz val="11.0"/>
      </rPr>
      <t>. &amp; +2 to Multiplier Next Hole</t>
    </r>
  </si>
  <si>
    <r>
      <rPr>
        <rFont val="Helvetica Neue"/>
        <b/>
        <color theme="1"/>
        <sz val="11.0"/>
      </rPr>
      <t>16 Pts</t>
    </r>
    <r>
      <rPr>
        <rFont val="Helvetica Neue"/>
        <color theme="1"/>
        <sz val="11.0"/>
      </rPr>
      <t>. &amp; +3 to Multiplier Next Hole</t>
    </r>
  </si>
  <si>
    <t>MICHIGAN OPEN 2022 - ROUND 3 - ARTHUR HILLS</t>
  </si>
  <si>
    <t>MICHIGAN OPEN 2022 - TILT Round 3 Scoring</t>
  </si>
  <si>
    <r>
      <rPr>
        <rFont val="Helvetica Neue"/>
        <b/>
        <color theme="1"/>
        <sz val="11.0"/>
      </rPr>
      <t>-4 Pts.</t>
    </r>
    <r>
      <rPr>
        <rFont val="Helvetica Neue"/>
        <color theme="1"/>
        <sz val="11.0"/>
      </rPr>
      <t xml:space="preserve"> + Multipier Resets</t>
    </r>
  </si>
  <si>
    <r>
      <rPr>
        <rFont val="Helvetica Neue"/>
        <b/>
        <color theme="1"/>
        <sz val="11.0"/>
      </rPr>
      <t>0 Pts</t>
    </r>
    <r>
      <rPr>
        <rFont val="Helvetica Neue"/>
        <color theme="1"/>
        <sz val="11.0"/>
      </rPr>
      <t xml:space="preserve"> + Multiplier Resets</t>
    </r>
  </si>
  <si>
    <r>
      <rPr>
        <rFont val="Helvetica Neue"/>
        <b/>
        <color theme="1"/>
        <sz val="11.0"/>
      </rPr>
      <t>2 Pts</t>
    </r>
    <r>
      <rPr>
        <rFont val="Helvetica Neue"/>
        <color theme="1"/>
        <sz val="11.0"/>
      </rPr>
      <t>. + Multiplier Resets</t>
    </r>
  </si>
  <si>
    <r>
      <rPr>
        <rFont val="Helvetica Neue"/>
        <b/>
        <color theme="1"/>
        <sz val="11.0"/>
      </rPr>
      <t>4 Pts.</t>
    </r>
    <r>
      <rPr>
        <rFont val="Helvetica Neue"/>
        <color theme="1"/>
        <sz val="11.0"/>
      </rPr>
      <t xml:space="preserve"> &amp; +1 to Mulitplier Next Hole</t>
    </r>
  </si>
  <si>
    <r>
      <rPr>
        <rFont val="Helvetica Neue"/>
        <b/>
        <color theme="1"/>
        <sz val="11.0"/>
      </rPr>
      <t>8 Pts</t>
    </r>
    <r>
      <rPr>
        <rFont val="Helvetica Neue"/>
        <color theme="1"/>
        <sz val="11.0"/>
      </rPr>
      <t>. &amp; +2 to Multiplier Next Hole</t>
    </r>
  </si>
  <si>
    <r>
      <rPr>
        <rFont val="Helvetica Neue"/>
        <b/>
        <color theme="1"/>
        <sz val="11.0"/>
      </rPr>
      <t>16 Pts</t>
    </r>
    <r>
      <rPr>
        <rFont val="Helvetica Neue"/>
        <color theme="1"/>
        <sz val="11.0"/>
      </rPr>
      <t>. &amp; +3 to Multiplier Next Hole</t>
    </r>
  </si>
  <si>
    <t>MICHIGAN OPEN 2022 - ROUND 4 - THE MONUMENT</t>
  </si>
  <si>
    <t>SINGLES</t>
  </si>
  <si>
    <t>OPT IN</t>
  </si>
  <si>
    <t>Bay Harbor</t>
  </si>
  <si>
    <t>Pure Michigan Open 2k20</t>
  </si>
  <si>
    <t>Links</t>
  </si>
  <si>
    <t>Quarry</t>
  </si>
  <si>
    <t>Purple</t>
  </si>
  <si>
    <t>Scott</t>
  </si>
  <si>
    <t>Tom -18 (19.5)</t>
  </si>
  <si>
    <t>Derek - 1 (24.75)</t>
  </si>
  <si>
    <t>*</t>
  </si>
  <si>
    <t>Kip - 32 (24.75)</t>
  </si>
  <si>
    <t>Links/Quarry - Foursomes</t>
  </si>
  <si>
    <t>Joe - 9 - (20.25)</t>
  </si>
  <si>
    <t>1/2</t>
  </si>
  <si>
    <t>Eric - 18 (20.25)</t>
  </si>
  <si>
    <t>Stephen - 11 (16.5)</t>
  </si>
  <si>
    <t>Zach - 11 (16.5)</t>
  </si>
  <si>
    <t>Steve - 11</t>
  </si>
  <si>
    <t>Alex - 18</t>
  </si>
  <si>
    <t>Max - 10</t>
  </si>
  <si>
    <t>Dylan - 18</t>
  </si>
  <si>
    <t>MICHIGAN OPEN 2022 - TILT Round 4 Scoring</t>
  </si>
  <si>
    <r>
      <rPr>
        <rFont val="Helvetica Neue"/>
        <b/>
        <color theme="1"/>
        <sz val="11.0"/>
      </rPr>
      <t>-4 Pts.</t>
    </r>
    <r>
      <rPr>
        <rFont val="Helvetica Neue"/>
        <color theme="1"/>
        <sz val="11.0"/>
      </rPr>
      <t xml:space="preserve"> + Multipier Resets</t>
    </r>
  </si>
  <si>
    <r>
      <rPr>
        <rFont val="Helvetica Neue"/>
        <b/>
        <color theme="1"/>
        <sz val="11.0"/>
      </rPr>
      <t>0 Pts</t>
    </r>
    <r>
      <rPr>
        <rFont val="Helvetica Neue"/>
        <color theme="1"/>
        <sz val="11.0"/>
      </rPr>
      <t xml:space="preserve"> + Multiplier Resets</t>
    </r>
  </si>
  <si>
    <r>
      <rPr>
        <rFont val="Helvetica Neue"/>
        <b/>
        <color theme="1"/>
        <sz val="11.0"/>
      </rPr>
      <t>2 Pts</t>
    </r>
    <r>
      <rPr>
        <rFont val="Helvetica Neue"/>
        <color theme="1"/>
        <sz val="11.0"/>
      </rPr>
      <t>. + Multiplier Resets</t>
    </r>
  </si>
  <si>
    <r>
      <rPr>
        <rFont val="Helvetica Neue"/>
        <b/>
        <color theme="1"/>
        <sz val="11.0"/>
      </rPr>
      <t>4 Pts.</t>
    </r>
    <r>
      <rPr>
        <rFont val="Helvetica Neue"/>
        <color theme="1"/>
        <sz val="11.0"/>
      </rPr>
      <t xml:space="preserve"> &amp; +1 to Mulitplier Next Hole</t>
    </r>
  </si>
  <si>
    <r>
      <rPr>
        <rFont val="Helvetica Neue"/>
        <b/>
        <color theme="1"/>
        <sz val="11.0"/>
      </rPr>
      <t>8 Pts</t>
    </r>
    <r>
      <rPr>
        <rFont val="Helvetica Neue"/>
        <color theme="1"/>
        <sz val="11.0"/>
      </rPr>
      <t>. &amp; +2 to Multiplier Next Hole</t>
    </r>
  </si>
  <si>
    <r>
      <rPr>
        <rFont val="Helvetica Neue"/>
        <b/>
        <color theme="1"/>
        <sz val="11.0"/>
      </rPr>
      <t>16 Pts</t>
    </r>
    <r>
      <rPr>
        <rFont val="Helvetica Neue"/>
        <color theme="1"/>
        <sz val="11.0"/>
      </rPr>
      <t>. &amp; +3 to Multiplier Next Hole</t>
    </r>
  </si>
  <si>
    <t>Arthur Hills - Fourball</t>
  </si>
  <si>
    <t>Orange</t>
  </si>
  <si>
    <t>Tom - 18 (17)</t>
  </si>
  <si>
    <t>Alex -18 (17)</t>
  </si>
  <si>
    <t>Derek - 1 (0)</t>
  </si>
  <si>
    <t>Stephen - 11 (10)</t>
  </si>
  <si>
    <t>Joe - 9 (0)</t>
  </si>
  <si>
    <t>Steve - 11 (2)</t>
  </si>
  <si>
    <t>Dylan - 18 (9)</t>
  </si>
  <si>
    <t>Zach - 11 (2)</t>
  </si>
  <si>
    <t>Scott - 8 (0)</t>
  </si>
  <si>
    <t>Eric - 18 (10)</t>
  </si>
  <si>
    <t>Max - 10 (2)</t>
  </si>
  <si>
    <t>Kip - 32 (24)</t>
  </si>
  <si>
    <t>**</t>
  </si>
  <si>
    <t>The Heather - Singles</t>
  </si>
  <si>
    <t>Scott - 8 (7)</t>
  </si>
  <si>
    <t>Stephen - 11 (2)</t>
  </si>
  <si>
    <t>Eric - 18</t>
  </si>
  <si>
    <t>Kip - 32 (14)</t>
  </si>
  <si>
    <t>Steve - 11 (0)</t>
  </si>
  <si>
    <t>Zach - 11 (0)</t>
  </si>
  <si>
    <t>Tom - 18 (0)</t>
  </si>
  <si>
    <t>Dylan - 18 (0)</t>
  </si>
  <si>
    <t>Alex - 18 (8)</t>
  </si>
  <si>
    <t>Max - 10 (0)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</si>
</sst>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</numFmts>
  <fonts count="32">
    <font>
      <sz val="11.0"/>
      <color theme="1"/>
      <name val="Arial"/>
      <scheme val="minor"/>
    </font>
    <font>
      <sz val="11.0"/>
      <color theme="1"/>
      <name val="Helvetica Neue"/>
    </font>
    <font>
      <sz val="18.0"/>
      <color theme="1"/>
      <name val="Helvetica Neue"/>
    </font>
    <font>
      <b/>
      <sz val="18.0"/>
      <color theme="1"/>
      <name val="Helvetica Neue"/>
    </font>
    <font>
      <b/>
      <sz val="11.0"/>
      <color theme="1"/>
      <name val="Helvetica Neue"/>
    </font>
    <font>
      <b/>
      <sz val="14.0"/>
      <color theme="1"/>
      <name val="Helvetica Neue"/>
    </font>
    <font/>
    <font>
      <sz val="16.0"/>
      <color theme="1"/>
      <name val="Helvetica Neue"/>
    </font>
    <font>
      <b/>
      <sz val="16.0"/>
      <color theme="1"/>
      <name val="Helvetica Neue"/>
    </font>
    <font>
      <sz val="10.0"/>
      <color theme="1"/>
      <name val="Helvetica Neue"/>
    </font>
    <font>
      <b/>
      <sz val="18.0"/>
      <color theme="0"/>
      <name val="Helvetica Neue"/>
    </font>
    <font>
      <sz val="10.0"/>
      <color theme="0"/>
      <name val="Helvetica Neue"/>
    </font>
    <font>
      <color theme="1"/>
      <name val="Arial"/>
      <scheme val="minor"/>
    </font>
    <font>
      <sz val="11.0"/>
      <color theme="1"/>
      <name val="Arial"/>
    </font>
    <font>
      <b/>
      <sz val="18.0"/>
      <color rgb="FFFFFFFF"/>
      <name val="Helvetica Neue"/>
    </font>
    <font>
      <sz val="11.0"/>
      <color theme="1"/>
      <name val="Calibri"/>
    </font>
    <font>
      <b/>
      <sz val="18.0"/>
      <color rgb="FF990099"/>
      <name val="Helvetica Neue"/>
    </font>
    <font>
      <sz val="18.0"/>
      <color theme="1"/>
      <name val="Calibri"/>
    </font>
    <font>
      <b/>
      <sz val="18.0"/>
      <color theme="1"/>
      <name val="Calibri"/>
    </font>
    <font>
      <b/>
      <i/>
      <sz val="10.0"/>
      <color rgb="FF3A3A3A"/>
      <name val="Times New Roman"/>
    </font>
    <font>
      <b/>
      <sz val="24.0"/>
      <color theme="0"/>
      <name val="Helvetica Neue"/>
    </font>
    <font>
      <b/>
      <sz val="11.0"/>
      <color rgb="FFFFFFFF"/>
      <name val="Helvetica Neue"/>
    </font>
    <font>
      <b/>
      <sz val="14.0"/>
      <color theme="0"/>
      <name val="Helvetica Neue"/>
    </font>
    <font>
      <color theme="0"/>
      <name val="Arial"/>
      <scheme val="minor"/>
    </font>
    <font>
      <b/>
      <sz val="17.0"/>
      <color theme="1"/>
      <name val="Helvetica Neue"/>
    </font>
    <font>
      <b/>
      <sz val="14.0"/>
      <color rgb="FFFFFFFF"/>
      <name val="Helvetica Neue"/>
    </font>
    <font>
      <sz val="11.0"/>
      <color theme="0"/>
      <name val="Helvetica Neue"/>
    </font>
    <font>
      <sz val="10.0"/>
      <color theme="1"/>
      <name val="Arial"/>
      <scheme val="minor"/>
    </font>
    <font>
      <b/>
      <sz val="10.0"/>
      <color theme="1"/>
      <name val="Helvetica Neue"/>
    </font>
    <font>
      <b/>
      <sz val="18.0"/>
      <color rgb="FF000000"/>
      <name val="Helvetica Neue"/>
    </font>
    <font>
      <b/>
      <sz val="11.0"/>
      <color rgb="FF990099"/>
      <name val="Helvetica Neue"/>
    </font>
    <font>
      <sz val="7.0"/>
      <color theme="1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6600"/>
        <bgColor rgb="FF006600"/>
      </patternFill>
    </fill>
    <fill>
      <patternFill patternType="solid">
        <fgColor rgb="FFFF9900"/>
        <bgColor rgb="FFFF9900"/>
      </patternFill>
    </fill>
    <fill>
      <patternFill patternType="solid">
        <fgColor rgb="FF990099"/>
        <bgColor rgb="FF990099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6600"/>
      </top>
      <bottom style="thick">
        <color rgb="FF006600"/>
      </bottom>
    </border>
    <border>
      <right style="thick">
        <color rgb="FF006600"/>
      </right>
      <top style="thick">
        <color rgb="FF006600"/>
      </top>
    </border>
    <border>
      <top style="thick">
        <color rgb="FF000000"/>
      </top>
      <bottom style="thick">
        <color rgb="FF000000"/>
      </bottom>
    </border>
    <border>
      <left style="thick">
        <color rgb="FF006600"/>
      </left>
      <right style="thick">
        <color rgb="FF006600"/>
      </right>
      <top style="thick">
        <color rgb="FF006600"/>
      </top>
      <bottom style="thick">
        <color rgb="FF006600"/>
      </bottom>
    </border>
    <border>
      <left style="thick">
        <color rgb="FF006600"/>
      </left>
      <top style="thick">
        <color rgb="FF0066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66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6600"/>
      </left>
      <right style="thick">
        <color rgb="FF000000"/>
      </right>
      <top style="thick">
        <color rgb="FF006600"/>
      </top>
    </border>
    <border>
      <left style="medium">
        <color rgb="FF000000"/>
      </left>
      <right style="medium">
        <color rgb="FF000000"/>
      </right>
      <top/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2" numFmtId="0" xfId="0" applyFont="1"/>
    <xf borderId="4" fillId="0" fontId="1" numFmtId="0" xfId="0" applyBorder="1" applyFont="1"/>
    <xf borderId="0" fillId="0" fontId="3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5" fillId="0" fontId="1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7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7" numFmtId="0" xfId="0" applyAlignment="1" applyBorder="1" applyFont="1">
      <alignment vertical="top"/>
    </xf>
    <xf borderId="10" fillId="0" fontId="8" numFmtId="0" xfId="0" applyAlignment="1" applyBorder="1" applyFont="1">
      <alignment horizontal="center"/>
    </xf>
    <xf borderId="0" fillId="0" fontId="7" numFmtId="0" xfId="0" applyFont="1"/>
    <xf borderId="11" fillId="0" fontId="6" numFmtId="0" xfId="0" applyBorder="1" applyFont="1"/>
    <xf borderId="12" fillId="0" fontId="6" numFmtId="0" xfId="0" applyBorder="1" applyFont="1"/>
    <xf borderId="13" fillId="0" fontId="8" numFmtId="0" xfId="0" applyAlignment="1" applyBorder="1" applyFont="1">
      <alignment horizontal="center"/>
    </xf>
    <xf borderId="13" fillId="0" fontId="6" numFmtId="0" xfId="0" applyBorder="1" applyFont="1"/>
    <xf borderId="13" fillId="0" fontId="8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6" numFmtId="0" xfId="0" applyBorder="1" applyFont="1"/>
    <xf borderId="7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/>
    </xf>
    <xf borderId="7" fillId="0" fontId="8" numFmtId="164" xfId="0" applyAlignment="1" applyBorder="1" applyFont="1" applyNumberFormat="1">
      <alignment horizontal="center" vertical="center"/>
    </xf>
    <xf borderId="7" fillId="0" fontId="8" numFmtId="164" xfId="0" applyAlignment="1" applyBorder="1" applyFont="1" applyNumberFormat="1">
      <alignment horizontal="center"/>
    </xf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0" fillId="0" fontId="9" numFmtId="0" xfId="0" applyFont="1"/>
    <xf borderId="0" fillId="0" fontId="1" numFmtId="0" xfId="0" applyAlignment="1" applyFont="1">
      <alignment horizontal="center"/>
    </xf>
    <xf borderId="20" fillId="2" fontId="10" numFmtId="0" xfId="0" applyBorder="1" applyFill="1" applyFont="1"/>
    <xf borderId="0" fillId="0" fontId="11" numFmtId="0" xfId="0" applyAlignment="1" applyFont="1">
      <alignment horizontal="center"/>
    </xf>
    <xf borderId="7" fillId="2" fontId="10" numFmtId="0" xfId="0" applyBorder="1" applyFont="1"/>
    <xf borderId="7" fillId="2" fontId="10" numFmtId="0" xfId="0" applyAlignment="1" applyBorder="1" applyFont="1">
      <alignment horizontal="center"/>
    </xf>
    <xf borderId="21" fillId="2" fontId="10" numFmtId="0" xfId="0" applyAlignment="1" applyBorder="1" applyFont="1">
      <alignment vertical="center"/>
    </xf>
    <xf borderId="7" fillId="2" fontId="10" numFmtId="165" xfId="0" applyBorder="1" applyFont="1" applyNumberFormat="1"/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7" fillId="0" fontId="3" numFmtId="0" xfId="0" applyBorder="1" applyFont="1"/>
    <xf borderId="7" fillId="0" fontId="2" numFmtId="166" xfId="0" applyBorder="1" applyFont="1" applyNumberFormat="1"/>
    <xf borderId="14" fillId="2" fontId="10" numFmtId="0" xfId="0" applyBorder="1" applyFont="1"/>
    <xf borderId="22" fillId="2" fontId="10" numFmtId="0" xfId="0" applyAlignment="1" applyBorder="1" applyFont="1">
      <alignment horizontal="center"/>
    </xf>
    <xf borderId="14" fillId="0" fontId="3" numFmtId="0" xfId="0" applyBorder="1" applyFont="1"/>
    <xf borderId="23" fillId="2" fontId="10" numFmtId="0" xfId="0" applyBorder="1" applyFont="1"/>
    <xf borderId="23" fillId="2" fontId="10" numFmtId="0" xfId="0" applyAlignment="1" applyBorder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Font="1"/>
    <xf borderId="24" fillId="3" fontId="10" numFmtId="0" xfId="0" applyAlignment="1" applyBorder="1" applyFill="1" applyFont="1">
      <alignment horizontal="center"/>
    </xf>
    <xf borderId="25" fillId="0" fontId="6" numFmtId="0" xfId="0" applyBorder="1" applyFont="1"/>
    <xf borderId="26" fillId="0" fontId="6" numFmtId="0" xfId="0" applyBorder="1" applyFont="1"/>
    <xf borderId="27" fillId="3" fontId="10" numFmtId="0" xfId="0" applyAlignment="1" applyBorder="1" applyFont="1">
      <alignment horizontal="center"/>
    </xf>
    <xf borderId="28" fillId="3" fontId="10" numFmtId="0" xfId="0" applyAlignment="1" applyBorder="1" applyFont="1">
      <alignment horizontal="center"/>
    </xf>
    <xf borderId="29" fillId="3" fontId="10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30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29" fillId="0" fontId="3" numFmtId="164" xfId="0" applyAlignment="1" applyBorder="1" applyFont="1" applyNumberFormat="1">
      <alignment horizontal="center"/>
    </xf>
    <xf borderId="31" fillId="0" fontId="3" numFmtId="0" xfId="0" applyAlignment="1" applyBorder="1" applyFont="1">
      <alignment horizontal="center" readingOrder="0"/>
    </xf>
    <xf borderId="31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9" fillId="0" fontId="3" numFmtId="0" xfId="0" applyAlignment="1" applyBorder="1" applyFont="1">
      <alignment horizontal="center"/>
    </xf>
    <xf borderId="19" fillId="0" fontId="3" numFmtId="164" xfId="0" applyAlignment="1" applyBorder="1" applyFont="1" applyNumberFormat="1">
      <alignment horizontal="center"/>
    </xf>
    <xf borderId="32" fillId="3" fontId="10" numFmtId="0" xfId="0" applyAlignment="1" applyBorder="1" applyFont="1">
      <alignment horizontal="center"/>
    </xf>
    <xf borderId="31" fillId="3" fontId="1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 readingOrder="0"/>
    </xf>
    <xf borderId="33" fillId="0" fontId="3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30" fillId="0" fontId="3" numFmtId="164" xfId="0" applyAlignment="1" applyBorder="1" applyFont="1" applyNumberFormat="1">
      <alignment horizontal="center" readingOrder="0"/>
    </xf>
    <xf borderId="30" fillId="0" fontId="3" numFmtId="164" xfId="0" applyAlignment="1" applyBorder="1" applyFont="1" applyNumberFormat="1">
      <alignment horizontal="center"/>
    </xf>
    <xf borderId="16" fillId="0" fontId="3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34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6" fillId="0" fontId="3" numFmtId="164" xfId="0" applyAlignment="1" applyBorder="1" applyFont="1" applyNumberFormat="1">
      <alignment horizontal="center" readingOrder="0"/>
    </xf>
    <xf borderId="34" fillId="0" fontId="3" numFmtId="164" xfId="0" applyAlignment="1" applyBorder="1" applyFont="1" applyNumberFormat="1">
      <alignment horizontal="center"/>
    </xf>
    <xf borderId="29" fillId="3" fontId="10" numFmtId="165" xfId="0" applyAlignment="1" applyBorder="1" applyFont="1" applyNumberFormat="1">
      <alignment horizontal="center"/>
    </xf>
    <xf borderId="29" fillId="3" fontId="10" numFmtId="165" xfId="0" applyAlignment="1" applyBorder="1" applyFont="1" applyNumberFormat="1">
      <alignment horizontal="center" readingOrder="0"/>
    </xf>
    <xf borderId="27" fillId="3" fontId="10" numFmtId="0" xfId="0" applyAlignment="1" applyBorder="1" applyFont="1">
      <alignment horizontal="center" readingOrder="0"/>
    </xf>
    <xf borderId="27" fillId="3" fontId="14" numFmtId="0" xfId="0" applyAlignment="1" applyBorder="1" applyFont="1">
      <alignment horizontal="center" readingOrder="0"/>
    </xf>
    <xf borderId="29" fillId="3" fontId="10" numFmtId="0" xfId="0" applyAlignment="1" applyBorder="1" applyFont="1">
      <alignment horizontal="center" readingOrder="0"/>
    </xf>
    <xf borderId="4" fillId="0" fontId="3" numFmtId="166" xfId="0" applyAlignment="1" applyBorder="1" applyFont="1" applyNumberFormat="1">
      <alignment horizontal="center"/>
    </xf>
    <xf borderId="30" fillId="0" fontId="3" numFmtId="166" xfId="0" applyAlignment="1" applyBorder="1" applyFont="1" applyNumberFormat="1">
      <alignment horizontal="center"/>
    </xf>
    <xf borderId="0" fillId="0" fontId="15" numFmtId="0" xfId="0" applyFont="1"/>
    <xf borderId="4" fillId="0" fontId="3" numFmtId="3" xfId="0" applyAlignment="1" applyBorder="1" applyFont="1" applyNumberFormat="1">
      <alignment horizontal="center" readingOrder="0"/>
    </xf>
    <xf borderId="4" fillId="0" fontId="3" numFmtId="3" xfId="0" applyAlignment="1" applyBorder="1" applyFont="1" applyNumberFormat="1">
      <alignment horizontal="center"/>
    </xf>
    <xf borderId="30" fillId="0" fontId="3" numFmtId="3" xfId="0" applyAlignment="1" applyBorder="1" applyFont="1" applyNumberFormat="1">
      <alignment horizontal="center"/>
    </xf>
    <xf borderId="29" fillId="3" fontId="10" numFmtId="166" xfId="0" applyAlignment="1" applyBorder="1" applyFont="1" applyNumberFormat="1">
      <alignment horizontal="center"/>
    </xf>
    <xf borderId="31" fillId="3" fontId="10" numFmtId="3" xfId="0" applyAlignment="1" applyBorder="1" applyFont="1" applyNumberFormat="1">
      <alignment horizontal="center"/>
    </xf>
    <xf borderId="29" fillId="3" fontId="10" numFmtId="3" xfId="0" applyAlignment="1" applyBorder="1" applyFont="1" applyNumberFormat="1">
      <alignment horizontal="center"/>
    </xf>
    <xf borderId="29" fillId="4" fontId="10" numFmtId="0" xfId="0" applyAlignment="1" applyBorder="1" applyFill="1" applyFont="1">
      <alignment horizontal="center"/>
    </xf>
    <xf borderId="32" fillId="4" fontId="16" numFmtId="0" xfId="0" applyAlignment="1" applyBorder="1" applyFont="1">
      <alignment horizontal="center"/>
    </xf>
    <xf borderId="0" fillId="0" fontId="17" numFmtId="0" xfId="0" applyFont="1"/>
    <xf borderId="5" fillId="0" fontId="3" numFmtId="0" xfId="0" applyAlignment="1" applyBorder="1" applyFont="1">
      <alignment horizontal="center"/>
    </xf>
    <xf borderId="0" fillId="0" fontId="18" numFmtId="9" xfId="0" applyAlignment="1" applyFont="1" applyNumberFormat="1">
      <alignment horizontal="center"/>
    </xf>
    <xf borderId="35" fillId="3" fontId="10" numFmtId="0" xfId="0" applyAlignment="1" applyBorder="1" applyFont="1">
      <alignment horizontal="center"/>
    </xf>
    <xf borderId="36" fillId="3" fontId="10" numFmtId="0" xfId="0" applyAlignment="1" applyBorder="1" applyFont="1">
      <alignment horizontal="center"/>
    </xf>
    <xf borderId="0" fillId="0" fontId="3" numFmtId="1" xfId="0" applyAlignment="1" applyFont="1" applyNumberFormat="1">
      <alignment horizontal="center"/>
    </xf>
    <xf borderId="30" fillId="0" fontId="3" numFmtId="1" xfId="0" applyAlignment="1" applyBorder="1" applyFont="1" applyNumberFormat="1">
      <alignment horizontal="center"/>
    </xf>
    <xf borderId="5" fillId="0" fontId="3" numFmtId="1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/>
    </xf>
    <xf borderId="34" fillId="0" fontId="3" numFmtId="1" xfId="0" applyAlignment="1" applyBorder="1" applyFont="1" applyNumberFormat="1">
      <alignment horizontal="center"/>
    </xf>
    <xf borderId="18" fillId="0" fontId="3" numFmtId="1" xfId="0" applyAlignment="1" applyBorder="1" applyFont="1" applyNumberFormat="1">
      <alignment horizontal="center"/>
    </xf>
    <xf borderId="0" fillId="0" fontId="19" numFmtId="0" xfId="0" applyFont="1"/>
    <xf borderId="37" fillId="3" fontId="20" numFmtId="0" xfId="0" applyAlignment="1" applyBorder="1" applyFont="1">
      <alignment horizontal="center" readingOrder="0" vertical="center"/>
    </xf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42" fillId="0" fontId="6" numFmtId="0" xfId="0" applyBorder="1" applyFont="1"/>
    <xf borderId="43" fillId="0" fontId="6" numFmtId="0" xfId="0" applyBorder="1" applyFont="1"/>
    <xf borderId="44" fillId="0" fontId="6" numFmtId="0" xfId="0" applyBorder="1" applyFont="1"/>
    <xf borderId="45" fillId="3" fontId="10" numFmtId="0" xfId="0" applyAlignment="1" applyBorder="1" applyFont="1">
      <alignment horizontal="center"/>
    </xf>
    <xf borderId="46" fillId="3" fontId="10" numFmtId="0" xfId="0" applyAlignment="1" applyBorder="1" applyFont="1">
      <alignment horizontal="center"/>
    </xf>
    <xf borderId="47" fillId="3" fontId="10" numFmtId="0" xfId="0" applyAlignment="1" applyBorder="1" applyFont="1">
      <alignment horizontal="center"/>
    </xf>
    <xf borderId="48" fillId="0" fontId="3" numFmtId="0" xfId="0" applyAlignment="1" applyBorder="1" applyFont="1">
      <alignment horizontal="center"/>
    </xf>
    <xf borderId="41" fillId="0" fontId="3" numFmtId="1" xfId="0" applyAlignment="1" applyBorder="1" applyFont="1" applyNumberFormat="1">
      <alignment horizontal="center"/>
    </xf>
    <xf borderId="49" fillId="0" fontId="3" numFmtId="0" xfId="0" applyAlignment="1" applyBorder="1" applyFont="1">
      <alignment horizontal="center"/>
    </xf>
    <xf borderId="50" fillId="0" fontId="3" numFmtId="164" xfId="0" applyAlignment="1" applyBorder="1" applyFont="1" applyNumberFormat="1">
      <alignment horizontal="center"/>
    </xf>
    <xf borderId="43" fillId="0" fontId="3" numFmtId="1" xfId="0" applyAlignment="1" applyBorder="1" applyFont="1" applyNumberFormat="1">
      <alignment horizontal="center"/>
    </xf>
    <xf borderId="50" fillId="0" fontId="3" numFmtId="1" xfId="0" applyAlignment="1" applyBorder="1" applyFont="1" applyNumberFormat="1">
      <alignment horizontal="center"/>
    </xf>
    <xf borderId="44" fillId="0" fontId="3" numFmtId="1" xfId="0" applyAlignment="1" applyBorder="1" applyFont="1" applyNumberFormat="1">
      <alignment horizontal="center"/>
    </xf>
    <xf borderId="31" fillId="3" fontId="14" numFmtId="0" xfId="0" applyAlignment="1" applyBorder="1" applyFont="1">
      <alignment horizontal="center"/>
    </xf>
    <xf borderId="19" fillId="0" fontId="6" numFmtId="0" xfId="0" applyBorder="1" applyFont="1"/>
    <xf borderId="51" fillId="0" fontId="6" numFmtId="0" xfId="0" applyBorder="1" applyFont="1"/>
    <xf borderId="29" fillId="2" fontId="2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29" fillId="5" fontId="21" numFmtId="0" xfId="0" applyAlignment="1" applyBorder="1" applyFill="1" applyFont="1">
      <alignment horizontal="center" vertical="center"/>
    </xf>
    <xf borderId="5" fillId="0" fontId="6" numFmtId="0" xfId="0" applyBorder="1" applyFont="1"/>
    <xf borderId="29" fillId="0" fontId="4" numFmtId="0" xfId="0" applyAlignment="1" applyBorder="1" applyFont="1">
      <alignment horizontal="center" vertical="center"/>
    </xf>
    <xf borderId="29" fillId="6" fontId="4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3" fillId="0" fontId="7" numFmtId="0" xfId="0" applyAlignment="1" applyBorder="1" applyFont="1">
      <alignment vertical="top"/>
    </xf>
    <xf borderId="35" fillId="7" fontId="7" numFmtId="0" xfId="0" applyAlignment="1" applyBorder="1" applyFill="1" applyFont="1">
      <alignment vertical="top"/>
    </xf>
    <xf borderId="30" fillId="0" fontId="7" numFmtId="0" xfId="0" applyBorder="1" applyFont="1"/>
    <xf borderId="16" fillId="0" fontId="6" numFmtId="0" xfId="0" applyBorder="1" applyFont="1"/>
    <xf borderId="18" fillId="0" fontId="6" numFmtId="0" xfId="0" applyBorder="1" applyFont="1"/>
    <xf borderId="34" fillId="0" fontId="8" numFmtId="0" xfId="0" applyAlignment="1" applyBorder="1" applyFont="1">
      <alignment horizontal="center"/>
    </xf>
    <xf borderId="36" fillId="7" fontId="8" numFmtId="0" xfId="0" applyAlignment="1" applyBorder="1" applyFont="1">
      <alignment horizontal="center"/>
    </xf>
    <xf borderId="30" fillId="0" fontId="7" numFmtId="0" xfId="0" applyAlignment="1" applyBorder="1" applyFont="1">
      <alignment vertical="top"/>
    </xf>
    <xf borderId="52" fillId="7" fontId="7" numFmtId="0" xfId="0" applyAlignment="1" applyBorder="1" applyFont="1">
      <alignment vertical="top"/>
    </xf>
    <xf borderId="30" fillId="0" fontId="8" numFmtId="0" xfId="0" applyAlignment="1" applyBorder="1" applyFont="1">
      <alignment horizontal="center"/>
    </xf>
    <xf borderId="31" fillId="0" fontId="5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vertical="center"/>
    </xf>
    <xf borderId="29" fillId="7" fontId="8" numFmtId="0" xfId="0" applyAlignment="1" applyBorder="1" applyFont="1">
      <alignment horizontal="center" vertical="center"/>
    </xf>
    <xf borderId="29" fillId="0" fontId="8" numFmtId="164" xfId="0" applyAlignment="1" applyBorder="1" applyFont="1" applyNumberFormat="1">
      <alignment horizontal="center" vertical="center"/>
    </xf>
    <xf borderId="29" fillId="7" fontId="8" numFmtId="164" xfId="0" applyAlignment="1" applyBorder="1" applyFont="1" applyNumberFormat="1">
      <alignment horizontal="center" vertical="center"/>
    </xf>
    <xf borderId="29" fillId="3" fontId="22" numFmtId="0" xfId="0" applyAlignment="1" applyBorder="1" applyFont="1">
      <alignment horizontal="center" vertical="center"/>
    </xf>
    <xf borderId="29" fillId="3" fontId="10" numFmtId="165" xfId="0" applyBorder="1" applyFont="1" applyNumberFormat="1"/>
    <xf borderId="29" fillId="0" fontId="3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/>
    </xf>
    <xf borderId="53" fillId="0" fontId="2" numFmtId="166" xfId="0" applyBorder="1" applyFont="1" applyNumberFormat="1"/>
    <xf borderId="46" fillId="0" fontId="3" numFmtId="0" xfId="0" applyAlignment="1" applyBorder="1" applyFont="1">
      <alignment horizontal="center"/>
    </xf>
    <xf borderId="46" fillId="0" fontId="2" numFmtId="166" xfId="0" applyBorder="1" applyFont="1" applyNumberFormat="1"/>
    <xf borderId="53" fillId="0" fontId="3" numFmtId="0" xfId="0" applyAlignment="1" applyBorder="1" applyFont="1">
      <alignment horizontal="center"/>
    </xf>
    <xf borderId="29" fillId="0" fontId="3" numFmtId="0" xfId="0" applyAlignment="1" applyBorder="1" applyFont="1">
      <alignment horizontal="center" readingOrder="0"/>
    </xf>
    <xf borderId="54" fillId="0" fontId="3" numFmtId="0" xfId="0" applyAlignment="1" applyBorder="1" applyFont="1">
      <alignment horizontal="center"/>
    </xf>
    <xf borderId="54" fillId="0" fontId="2" numFmtId="166" xfId="0" applyBorder="1" applyFont="1" applyNumberFormat="1"/>
    <xf borderId="14" fillId="3" fontId="10" numFmtId="0" xfId="0" applyAlignment="1" applyBorder="1" applyFont="1">
      <alignment horizontal="center"/>
    </xf>
    <xf borderId="55" fillId="0" fontId="6" numFmtId="0" xfId="0" applyBorder="1" applyFont="1"/>
    <xf borderId="56" fillId="3" fontId="10" numFmtId="0" xfId="0" applyAlignment="1" applyBorder="1" applyFont="1">
      <alignment horizontal="center"/>
    </xf>
    <xf borderId="31" fillId="3" fontId="10" numFmtId="0" xfId="0" applyAlignment="1" applyBorder="1" applyFont="1">
      <alignment horizontal="center"/>
    </xf>
    <xf borderId="0" fillId="8" fontId="23" numFmtId="0" xfId="0" applyFill="1" applyFont="1"/>
    <xf borderId="29" fillId="4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34" fillId="0" fontId="24" numFmtId="0" xfId="0" applyAlignment="1" applyBorder="1" applyFont="1">
      <alignment horizontal="center" readingOrder="0"/>
    </xf>
    <xf borderId="36" fillId="7" fontId="24" numFmtId="0" xfId="0" applyAlignment="1" applyBorder="1" applyFont="1">
      <alignment horizontal="center" readingOrder="0"/>
    </xf>
    <xf borderId="34" fillId="0" fontId="8" numFmtId="0" xfId="0" applyAlignment="1" applyBorder="1" applyFont="1">
      <alignment horizontal="center" readingOrder="0"/>
    </xf>
    <xf borderId="36" fillId="7" fontId="8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31" fillId="3" fontId="10" numFmtId="165" xfId="0" applyBorder="1" applyFont="1" applyNumberFormat="1"/>
    <xf borderId="0" fillId="0" fontId="2" numFmtId="0" xfId="0" applyAlignment="1" applyFont="1">
      <alignment horizontal="center" readingOrder="0"/>
    </xf>
    <xf borderId="57" fillId="0" fontId="1" numFmtId="0" xfId="0" applyBorder="1" applyFont="1"/>
    <xf borderId="57" fillId="0" fontId="2" numFmtId="0" xfId="0" applyBorder="1" applyFont="1"/>
    <xf borderId="31" fillId="3" fontId="22" numFmtId="0" xfId="0" applyAlignment="1" applyBorder="1" applyFont="1">
      <alignment horizontal="center" readingOrder="0" vertical="center"/>
    </xf>
    <xf borderId="37" fillId="3" fontId="14" numFmtId="0" xfId="0" applyAlignment="1" applyBorder="1" applyFont="1">
      <alignment horizontal="center" readingOrder="0" vertical="center"/>
    </xf>
    <xf borderId="31" fillId="0" fontId="4" numFmtId="0" xfId="0" applyAlignment="1" applyBorder="1" applyFont="1">
      <alignment horizontal="center" readingOrder="0" shrinkToFit="0" vertical="center" wrapText="1"/>
    </xf>
    <xf borderId="58" fillId="3" fontId="1" numFmtId="0" xfId="0" applyBorder="1" applyFont="1"/>
    <xf borderId="59" fillId="3" fontId="1" numFmtId="0" xfId="0" applyBorder="1" applyFont="1"/>
    <xf borderId="60" fillId="0" fontId="1" numFmtId="0" xfId="0" applyBorder="1" applyFont="1"/>
    <xf borderId="60" fillId="0" fontId="5" numFmtId="0" xfId="0" applyAlignment="1" applyBorder="1" applyFont="1">
      <alignment horizontal="center"/>
    </xf>
    <xf borderId="60" fillId="0" fontId="6" numFmtId="0" xfId="0" applyBorder="1" applyFont="1"/>
    <xf borderId="61" fillId="3" fontId="1" numFmtId="0" xfId="0" applyBorder="1" applyFont="1"/>
    <xf borderId="62" fillId="3" fontId="1" numFmtId="0" xfId="0" applyBorder="1" applyFont="1"/>
    <xf borderId="33" fillId="0" fontId="4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0" fillId="3" fontId="25" numFmtId="0" xfId="0" applyAlignment="1" applyBorder="1" applyFont="1">
      <alignment horizontal="center" readingOrder="0" shrinkToFit="0" vertical="center" wrapText="1"/>
    </xf>
    <xf borderId="63" fillId="2" fontId="21" numFmtId="0" xfId="0" applyAlignment="1" applyBorder="1" applyFont="1">
      <alignment horizontal="center" vertical="center"/>
    </xf>
    <xf borderId="64" fillId="2" fontId="21" numFmtId="0" xfId="0" applyAlignment="1" applyBorder="1" applyFont="1">
      <alignment horizontal="center" vertical="center"/>
    </xf>
    <xf borderId="65" fillId="2" fontId="21" numFmtId="0" xfId="0" applyAlignment="1" applyBorder="1" applyFont="1">
      <alignment horizontal="center" vertical="center"/>
    </xf>
    <xf borderId="66" fillId="3" fontId="1" numFmtId="0" xfId="0" applyAlignment="1" applyBorder="1" applyFont="1">
      <alignment vertical="center"/>
    </xf>
    <xf borderId="67" fillId="2" fontId="21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8" fillId="4" fontId="4" numFmtId="0" xfId="0" applyAlignment="1" applyBorder="1" applyFont="1">
      <alignment horizontal="center" vertical="center"/>
    </xf>
    <xf borderId="69" fillId="4" fontId="4" numFmtId="0" xfId="0" applyAlignment="1" applyBorder="1" applyFont="1">
      <alignment horizontal="center" vertical="center"/>
    </xf>
    <xf borderId="0" fillId="3" fontId="4" numFmtId="0" xfId="0" applyAlignment="1" applyFont="1">
      <alignment vertical="center"/>
    </xf>
    <xf borderId="31" fillId="4" fontId="4" numFmtId="0" xfId="0" applyAlignment="1" applyBorder="1" applyFont="1">
      <alignment horizontal="center" vertical="center"/>
    </xf>
    <xf borderId="68" fillId="0" fontId="4" numFmtId="0" xfId="0" applyAlignment="1" applyBorder="1" applyFont="1">
      <alignment horizontal="center" vertical="center"/>
    </xf>
    <xf borderId="69" fillId="0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70" fillId="6" fontId="4" numFmtId="0" xfId="0" applyAlignment="1" applyBorder="1" applyFont="1">
      <alignment horizontal="center" vertical="center"/>
    </xf>
    <xf borderId="71" fillId="6" fontId="4" numFmtId="0" xfId="0" applyAlignment="1" applyBorder="1" applyFont="1">
      <alignment horizontal="center" readingOrder="0" vertical="center"/>
    </xf>
    <xf borderId="71" fillId="6" fontId="4" numFmtId="0" xfId="0" applyAlignment="1" applyBorder="1" applyFont="1">
      <alignment horizontal="center" vertical="center"/>
    </xf>
    <xf borderId="72" fillId="6" fontId="4" numFmtId="0" xfId="0" applyAlignment="1" applyBorder="1" applyFont="1">
      <alignment horizontal="center" vertical="center"/>
    </xf>
    <xf borderId="43" fillId="3" fontId="4" numFmtId="0" xfId="0" applyAlignment="1" applyBorder="1" applyFont="1">
      <alignment vertical="center"/>
    </xf>
    <xf borderId="70" fillId="6" fontId="4" numFmtId="0" xfId="0" applyAlignment="1" applyBorder="1" applyFont="1">
      <alignment horizontal="center" readingOrder="0" vertical="center"/>
    </xf>
    <xf borderId="73" fillId="6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vertical="center"/>
    </xf>
    <xf borderId="74" fillId="0" fontId="3" numFmtId="0" xfId="0" applyAlignment="1" applyBorder="1" applyFont="1">
      <alignment horizontal="center" vertical="center"/>
    </xf>
    <xf borderId="74" fillId="0" fontId="3" numFmtId="1" xfId="0" applyAlignment="1" applyBorder="1" applyFont="1" applyNumberFormat="1">
      <alignment horizontal="center" vertical="center"/>
    </xf>
    <xf borderId="75" fillId="9" fontId="7" numFmtId="0" xfId="0" applyAlignment="1" applyBorder="1" applyFill="1" applyFont="1">
      <alignment horizontal="center" vertical="center"/>
    </xf>
    <xf borderId="60" fillId="9" fontId="7" numFmtId="0" xfId="0" applyAlignment="1" applyBorder="1" applyFont="1">
      <alignment horizontal="center" vertical="center"/>
    </xf>
    <xf borderId="76" fillId="9" fontId="7" numFmtId="0" xfId="0" applyAlignment="1" applyBorder="1" applyFont="1">
      <alignment horizontal="center" vertical="center"/>
    </xf>
    <xf borderId="77" fillId="0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0" fillId="0" fontId="26" numFmtId="0" xfId="0" applyAlignment="1" applyFont="1">
      <alignment horizontal="center"/>
    </xf>
    <xf borderId="0" fillId="0" fontId="27" numFmtId="0" xfId="0" applyFont="1"/>
    <xf borderId="78" fillId="0" fontId="28" numFmtId="0" xfId="0" applyAlignment="1" applyBorder="1" applyFont="1">
      <alignment horizontal="center" readingOrder="0" vertical="center"/>
    </xf>
    <xf borderId="78" fillId="0" fontId="28" numFmtId="0" xfId="0" applyAlignment="1" applyBorder="1" applyFont="1">
      <alignment horizontal="center" vertical="center"/>
    </xf>
    <xf borderId="37" fillId="0" fontId="28" numFmtId="0" xfId="0" applyAlignment="1" applyBorder="1" applyFont="1">
      <alignment horizontal="center" readingOrder="0" vertical="center"/>
    </xf>
    <xf borderId="38" fillId="0" fontId="28" numFmtId="0" xfId="0" applyAlignment="1" applyBorder="1" applyFont="1">
      <alignment horizontal="center" readingOrder="0" vertical="center"/>
    </xf>
    <xf borderId="39" fillId="0" fontId="28" numFmtId="0" xfId="0" applyAlignment="1" applyBorder="1" applyFont="1">
      <alignment horizontal="center" readingOrder="0" vertical="center"/>
    </xf>
    <xf borderId="79" fillId="0" fontId="2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74" fillId="0" fontId="28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/>
    </xf>
    <xf borderId="80" fillId="0" fontId="28" numFmtId="0" xfId="0" applyAlignment="1" applyBorder="1" applyFont="1">
      <alignment horizontal="center" readingOrder="0" vertical="center"/>
    </xf>
    <xf borderId="80" fillId="0" fontId="28" numFmtId="0" xfId="0" applyAlignment="1" applyBorder="1" applyFont="1">
      <alignment horizontal="center" vertical="center"/>
    </xf>
    <xf borderId="42" fillId="0" fontId="28" numFmtId="0" xfId="0" applyAlignment="1" applyBorder="1" applyFont="1">
      <alignment horizontal="center" vertical="center"/>
    </xf>
    <xf borderId="43" fillId="0" fontId="28" numFmtId="0" xfId="0" applyAlignment="1" applyBorder="1" applyFont="1">
      <alignment horizontal="center" vertical="center"/>
    </xf>
    <xf borderId="44" fillId="0" fontId="28" numFmtId="0" xfId="0" applyAlignment="1" applyBorder="1" applyFont="1">
      <alignment horizontal="center" vertical="center"/>
    </xf>
    <xf borderId="81" fillId="0" fontId="28" numFmtId="0" xfId="0" applyAlignment="1" applyBorder="1" applyFont="1">
      <alignment horizontal="center" vertical="center"/>
    </xf>
    <xf borderId="81" fillId="0" fontId="3" numFmtId="0" xfId="0" applyAlignment="1" applyBorder="1" applyFont="1">
      <alignment horizontal="center" readingOrder="0" vertical="center"/>
    </xf>
    <xf borderId="81" fillId="0" fontId="14" numFmtId="0" xfId="0" applyAlignment="1" applyBorder="1" applyFont="1">
      <alignment horizontal="center" readingOrder="0" vertical="center"/>
    </xf>
    <xf borderId="75" fillId="0" fontId="7" numFmtId="0" xfId="0" applyAlignment="1" applyBorder="1" applyFont="1">
      <alignment horizontal="center" vertical="center"/>
    </xf>
    <xf borderId="60" fillId="0" fontId="7" numFmtId="0" xfId="0" applyAlignment="1" applyBorder="1" applyFont="1">
      <alignment horizontal="center" vertical="center"/>
    </xf>
    <xf borderId="76" fillId="0" fontId="7" numFmtId="0" xfId="0" applyAlignment="1" applyBorder="1" applyFont="1">
      <alignment horizontal="center" vertical="center"/>
    </xf>
    <xf borderId="77" fillId="0" fontId="12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0" fillId="0" fontId="2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8" fontId="7" numFmtId="0" xfId="0" applyAlignment="1" applyFont="1">
      <alignment horizontal="center" vertical="center"/>
    </xf>
    <xf borderId="0" fillId="0" fontId="26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81" fillId="8" fontId="29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center"/>
    </xf>
    <xf borderId="37" fillId="3" fontId="14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 readingOrder="0" shrinkToFit="0" vertical="center" wrapText="1"/>
    </xf>
    <xf borderId="82" fillId="3" fontId="1" numFmtId="0" xfId="0" applyBorder="1" applyFont="1"/>
    <xf borderId="3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29" fillId="0" fontId="2" numFmtId="166" xfId="0" applyBorder="1" applyFont="1" applyNumberFormat="1"/>
    <xf borderId="0" fillId="0" fontId="4" numFmtId="0" xfId="0" applyAlignment="1" applyFont="1">
      <alignment horizontal="center"/>
    </xf>
    <xf borderId="60" fillId="0" fontId="5" numFmtId="0" xfId="0" applyAlignment="1" applyBorder="1" applyFont="1">
      <alignment horizontal="center" readingOrder="0"/>
    </xf>
    <xf borderId="0" fillId="3" fontId="1" numFmtId="0" xfId="0" applyAlignment="1" applyFont="1">
      <alignment vertical="center"/>
    </xf>
    <xf borderId="69" fillId="2" fontId="21" numFmtId="0" xfId="0" applyAlignment="1" applyBorder="1" applyFont="1">
      <alignment horizontal="center" vertical="center"/>
    </xf>
    <xf borderId="29" fillId="4" fontId="30" numFmtId="0" xfId="0" applyAlignment="1" applyBorder="1" applyFont="1">
      <alignment horizontal="center" vertical="center"/>
    </xf>
    <xf borderId="4" fillId="0" fontId="6" numFmtId="0" xfId="0" applyBorder="1" applyFont="1"/>
    <xf borderId="30" fillId="0" fontId="7" numFmtId="0" xfId="0" applyAlignment="1" applyBorder="1" applyFont="1">
      <alignment readingOrder="0" vertical="top"/>
    </xf>
    <xf borderId="83" fillId="7" fontId="7" numFmtId="0" xfId="0" applyAlignment="1" applyBorder="1" applyFont="1">
      <alignment readingOrder="0" vertical="top"/>
    </xf>
    <xf borderId="30" fillId="0" fontId="8" numFmtId="0" xfId="0" applyAlignment="1" applyBorder="1" applyFont="1">
      <alignment horizontal="center" vertical="center"/>
    </xf>
    <xf borderId="30" fillId="0" fontId="6" numFmtId="0" xfId="0" applyBorder="1" applyFont="1"/>
    <xf borderId="34" fillId="0" fontId="6" numFmtId="0" xfId="0" applyBorder="1" applyFont="1"/>
    <xf borderId="19" fillId="0" fontId="5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10" fillId="0" fontId="1" numFmtId="0" xfId="0" applyBorder="1" applyFont="1"/>
    <xf borderId="7" fillId="0" fontId="1" numFmtId="0" xfId="0" applyBorder="1" applyFont="1"/>
    <xf borderId="13" fillId="0" fontId="1" numFmtId="0" xfId="0" applyBorder="1" applyFont="1"/>
    <xf quotePrefix="1" borderId="10" fillId="0" fontId="31" numFmtId="16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6" fillId="0" fontId="4" numFmtId="0" xfId="0" applyBorder="1" applyFont="1"/>
    <xf borderId="14" fillId="0" fontId="1" numFmtId="0" xfId="0" applyAlignment="1" applyBorder="1" applyFont="1">
      <alignment horizontal="center"/>
    </xf>
    <xf borderId="7" fillId="0" fontId="1" numFmtId="0" xfId="0" applyAlignment="1" applyBorder="1" applyFont="1">
      <alignment vertical="top"/>
    </xf>
    <xf borderId="14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none"/>
      </fill>
      <border/>
    </dxf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4</xdr:row>
      <xdr:rowOff>19050</xdr:rowOff>
    </xdr:from>
    <xdr:ext cx="2343150" cy="733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27</xdr:row>
      <xdr:rowOff>19050</xdr:rowOff>
    </xdr:from>
    <xdr:ext cx="2343150" cy="733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48</xdr:row>
      <xdr:rowOff>9525</xdr:rowOff>
    </xdr:from>
    <xdr:ext cx="2343150" cy="733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3</xdr:row>
      <xdr:rowOff>180975</xdr:rowOff>
    </xdr:from>
    <xdr:ext cx="2200275" cy="6572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28</xdr:row>
      <xdr:rowOff>9525</xdr:rowOff>
    </xdr:from>
    <xdr:ext cx="2200275" cy="7429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49</xdr:row>
      <xdr:rowOff>9525</xdr:rowOff>
    </xdr:from>
    <xdr:ext cx="2200275" cy="7429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3</xdr:row>
      <xdr:rowOff>180975</xdr:rowOff>
    </xdr:from>
    <xdr:ext cx="2200275" cy="6381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25</xdr:row>
      <xdr:rowOff>9525</xdr:rowOff>
    </xdr:from>
    <xdr:ext cx="2200275" cy="742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54</xdr:row>
      <xdr:rowOff>180975</xdr:rowOff>
    </xdr:from>
    <xdr:ext cx="2200275" cy="7239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74</xdr:row>
      <xdr:rowOff>180975</xdr:rowOff>
    </xdr:from>
    <xdr:ext cx="2200275" cy="7239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100</xdr:row>
      <xdr:rowOff>180975</xdr:rowOff>
    </xdr:from>
    <xdr:ext cx="2200275" cy="7239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118</xdr:row>
      <xdr:rowOff>180975</xdr:rowOff>
    </xdr:from>
    <xdr:ext cx="2200275" cy="7239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ure%20Michigan%20Scorecards%20fedex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SUMMARY"/>
      <sheetName val="HANDICAPS"/>
      <sheetName val="ROUND 1 - FOURBALL"/>
      <sheetName val="ROUND 2 - FOURBALL"/>
      <sheetName val="ROUND 3 - FOURBALL"/>
      <sheetName val="Links_Quarry (2)"/>
      <sheetName val="ROUND 4 - SINGLES"/>
      <sheetName val="Arthur Hills"/>
      <sheetName val="Hea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.38"/>
    <col customWidth="1" min="3" max="3" width="0.75"/>
    <col customWidth="1" min="4" max="4" width="32.75"/>
    <col customWidth="1" min="5" max="5" width="9.88"/>
    <col customWidth="1" min="6" max="15" width="5.88"/>
    <col customWidth="1" min="16" max="16" width="1.5"/>
    <col customWidth="1" min="17" max="26" width="5.88"/>
    <col customWidth="1" min="27" max="27" width="7.25"/>
    <col customWidth="1" min="28" max="28" width="1.13"/>
    <col customWidth="1" min="29" max="29" width="12.88"/>
    <col customWidth="1" min="30" max="30" width="15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6.7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  <c r="Z2" s="4"/>
      <c r="AA2" s="4"/>
      <c r="AB2" s="5"/>
      <c r="AC2" s="1"/>
      <c r="AD2" s="1"/>
    </row>
    <row r="3" ht="19.5" customHeight="1">
      <c r="A3" s="1"/>
      <c r="B3" s="6">
        <v>3.0</v>
      </c>
      <c r="C3" s="7"/>
      <c r="D3" s="8" t="s">
        <v>0</v>
      </c>
      <c r="E3" s="1"/>
      <c r="F3" s="6"/>
      <c r="G3" s="6"/>
      <c r="H3" s="9"/>
      <c r="I3" s="9"/>
      <c r="J3" s="9"/>
      <c r="K3" s="10" t="s">
        <v>1</v>
      </c>
      <c r="U3" s="11"/>
      <c r="V3" s="11"/>
      <c r="W3" s="11"/>
      <c r="X3" s="11"/>
      <c r="Y3" s="1"/>
      <c r="Z3" s="1"/>
      <c r="AA3" s="1"/>
      <c r="AB3" s="12"/>
      <c r="AC3" s="1"/>
      <c r="AD3" s="1"/>
    </row>
    <row r="4" ht="18.75" customHeight="1">
      <c r="A4" s="1"/>
      <c r="B4" s="1"/>
      <c r="C4" s="7"/>
      <c r="D4" s="1"/>
      <c r="E4" s="1"/>
      <c r="F4" s="1"/>
      <c r="G4" s="1"/>
      <c r="H4" s="13" t="s">
        <v>2</v>
      </c>
      <c r="I4" s="14"/>
      <c r="J4" s="14"/>
      <c r="K4" s="14"/>
      <c r="L4" s="14"/>
      <c r="M4" s="1"/>
      <c r="N4" s="1"/>
      <c r="O4" s="1"/>
      <c r="P4" s="1"/>
      <c r="Q4" s="1"/>
      <c r="R4" s="1"/>
      <c r="S4" s="1"/>
      <c r="T4" s="13" t="s">
        <v>3</v>
      </c>
      <c r="U4" s="14"/>
      <c r="V4" s="14"/>
      <c r="W4" s="14"/>
      <c r="X4" s="14"/>
      <c r="Y4" s="1"/>
      <c r="Z4" s="1"/>
      <c r="AA4" s="1"/>
      <c r="AB4" s="12"/>
      <c r="AC4" s="1"/>
      <c r="AD4" s="1"/>
    </row>
    <row r="5" ht="15.0" customHeight="1">
      <c r="A5" s="1"/>
      <c r="B5" s="1"/>
      <c r="C5" s="7"/>
      <c r="D5" s="1"/>
      <c r="E5" s="15" t="s">
        <v>4</v>
      </c>
      <c r="F5" s="15">
        <v>1.0</v>
      </c>
      <c r="G5" s="15">
        <v>2.0</v>
      </c>
      <c r="H5" s="15">
        <v>3.0</v>
      </c>
      <c r="I5" s="15">
        <v>4.0</v>
      </c>
      <c r="J5" s="15">
        <v>5.0</v>
      </c>
      <c r="K5" s="15">
        <v>6.0</v>
      </c>
      <c r="L5" s="15">
        <v>7.0</v>
      </c>
      <c r="M5" s="15">
        <v>8.0</v>
      </c>
      <c r="N5" s="15">
        <v>9.0</v>
      </c>
      <c r="O5" s="15" t="s">
        <v>5</v>
      </c>
      <c r="P5" s="16"/>
      <c r="Q5" s="15">
        <v>10.0</v>
      </c>
      <c r="R5" s="15">
        <v>11.0</v>
      </c>
      <c r="S5" s="15">
        <v>12.0</v>
      </c>
      <c r="T5" s="15">
        <v>13.0</v>
      </c>
      <c r="U5" s="15">
        <v>14.0</v>
      </c>
      <c r="V5" s="15">
        <v>15.0</v>
      </c>
      <c r="W5" s="15">
        <v>16.0</v>
      </c>
      <c r="X5" s="15">
        <v>17.0</v>
      </c>
      <c r="Y5" s="15">
        <v>18.0</v>
      </c>
      <c r="Z5" s="15" t="s">
        <v>6</v>
      </c>
      <c r="AA5" s="15" t="s">
        <v>7</v>
      </c>
      <c r="AB5" s="12"/>
      <c r="AC5" s="1"/>
      <c r="AD5" s="1"/>
    </row>
    <row r="6" ht="15.0" customHeight="1">
      <c r="A6" s="1"/>
      <c r="B6" s="1"/>
      <c r="C6" s="7"/>
      <c r="D6" s="1"/>
      <c r="E6" s="15" t="s">
        <v>8</v>
      </c>
      <c r="F6" s="15"/>
      <c r="G6" s="15"/>
      <c r="H6" s="15"/>
      <c r="I6" s="15"/>
      <c r="J6" s="15"/>
      <c r="K6" s="15"/>
      <c r="L6" s="15"/>
      <c r="M6" s="15"/>
      <c r="N6" s="15"/>
      <c r="O6" s="15">
        <f t="shared" ref="O6:O7" si="1">SUM(F6:N6)</f>
        <v>0</v>
      </c>
      <c r="P6" s="17"/>
      <c r="Q6" s="15"/>
      <c r="R6" s="15"/>
      <c r="S6" s="15"/>
      <c r="T6" s="15"/>
      <c r="U6" s="15"/>
      <c r="V6" s="15"/>
      <c r="W6" s="15"/>
      <c r="X6" s="15"/>
      <c r="Y6" s="15"/>
      <c r="Z6" s="15">
        <f t="shared" ref="Z6:Z7" si="2">SUM(Q6:Y6)</f>
        <v>0</v>
      </c>
      <c r="AA6" s="15">
        <f t="shared" ref="AA6:AA7" si="3">Z6+O6</f>
        <v>0</v>
      </c>
      <c r="AB6" s="12"/>
      <c r="AC6" s="1"/>
      <c r="AD6" s="1"/>
    </row>
    <row r="7" ht="15.0" customHeight="1">
      <c r="A7" s="1"/>
      <c r="B7" s="1"/>
      <c r="C7" s="7"/>
      <c r="D7" s="1"/>
      <c r="E7" s="15" t="s">
        <v>9</v>
      </c>
      <c r="F7" s="15"/>
      <c r="G7" s="15"/>
      <c r="H7" s="15"/>
      <c r="I7" s="15"/>
      <c r="J7" s="15"/>
      <c r="K7" s="15"/>
      <c r="L7" s="15"/>
      <c r="M7" s="15"/>
      <c r="N7" s="15"/>
      <c r="O7" s="15">
        <f t="shared" si="1"/>
        <v>0</v>
      </c>
      <c r="P7" s="17"/>
      <c r="Q7" s="15"/>
      <c r="R7" s="15"/>
      <c r="S7" s="15"/>
      <c r="T7" s="15"/>
      <c r="U7" s="15"/>
      <c r="V7" s="15"/>
      <c r="W7" s="15"/>
      <c r="X7" s="15"/>
      <c r="Y7" s="15"/>
      <c r="Z7" s="15">
        <f t="shared" si="2"/>
        <v>0</v>
      </c>
      <c r="AA7" s="15">
        <f t="shared" si="3"/>
        <v>0</v>
      </c>
      <c r="AB7" s="12"/>
      <c r="AC7" s="1"/>
      <c r="AD7" s="1"/>
    </row>
    <row r="8" ht="15.0" customHeight="1">
      <c r="A8" s="1"/>
      <c r="B8" s="1"/>
      <c r="C8" s="7"/>
      <c r="D8" s="1"/>
      <c r="E8" s="15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8"/>
      <c r="P8" s="17"/>
      <c r="Q8" s="15"/>
      <c r="R8" s="15"/>
      <c r="S8" s="15"/>
      <c r="T8" s="15"/>
      <c r="U8" s="15"/>
      <c r="V8" s="15"/>
      <c r="W8" s="15"/>
      <c r="X8" s="15"/>
      <c r="Y8" s="15"/>
      <c r="Z8" s="18"/>
      <c r="AA8" s="18"/>
      <c r="AB8" s="12"/>
      <c r="AC8" s="1"/>
      <c r="AD8" s="1"/>
    </row>
    <row r="9" ht="6.75" customHeight="1">
      <c r="A9" s="1"/>
      <c r="B9" s="1"/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2"/>
      <c r="AC9" s="1"/>
      <c r="AD9" s="1"/>
    </row>
    <row r="10" ht="11.25" customHeight="1">
      <c r="A10" s="1"/>
      <c r="B10" s="1"/>
      <c r="C10" s="7"/>
      <c r="D10" s="19"/>
      <c r="E10" s="20" t="str">
        <f>IFERROR(VLOOKUP(D10,HANDICAPS!$B$8:$G$23,$B$3,FALSE),"")</f>
        <v/>
      </c>
      <c r="F10" s="21" t="str">
        <f t="shared" ref="F10:N10" si="4">IFERROR(IF($E10&gt;18,IF(($E10-18)&gt;F$33,"**","*"),IF($E10&gt;=F$8,"*","")),"")</f>
        <v>*</v>
      </c>
      <c r="G10" s="21" t="str">
        <f t="shared" si="4"/>
        <v>*</v>
      </c>
      <c r="H10" s="21" t="str">
        <f t="shared" si="4"/>
        <v>*</v>
      </c>
      <c r="I10" s="21" t="str">
        <f t="shared" si="4"/>
        <v>*</v>
      </c>
      <c r="J10" s="21" t="str">
        <f t="shared" si="4"/>
        <v>*</v>
      </c>
      <c r="K10" s="21" t="str">
        <f t="shared" si="4"/>
        <v>*</v>
      </c>
      <c r="L10" s="21" t="str">
        <f t="shared" si="4"/>
        <v>*</v>
      </c>
      <c r="M10" s="21" t="str">
        <f t="shared" si="4"/>
        <v>*</v>
      </c>
      <c r="N10" s="21" t="str">
        <f t="shared" si="4"/>
        <v>*</v>
      </c>
      <c r="O10" s="22" t="str">
        <f>IF(F11="","",SUM(F11:N11))</f>
        <v/>
      </c>
      <c r="P10" s="23"/>
      <c r="Q10" s="21" t="str">
        <f t="shared" ref="Q10:Y10" si="5">IFERROR(IF($E10&gt;18,IF(($E10-18)&gt;Q$33,"**","*"),IF($E10&gt;=Q$8,"*","")),"")</f>
        <v>*</v>
      </c>
      <c r="R10" s="21" t="str">
        <f t="shared" si="5"/>
        <v>*</v>
      </c>
      <c r="S10" s="21" t="str">
        <f t="shared" si="5"/>
        <v>*</v>
      </c>
      <c r="T10" s="21" t="str">
        <f t="shared" si="5"/>
        <v>*</v>
      </c>
      <c r="U10" s="21" t="str">
        <f t="shared" si="5"/>
        <v>*</v>
      </c>
      <c r="V10" s="21" t="str">
        <f t="shared" si="5"/>
        <v>*</v>
      </c>
      <c r="W10" s="21" t="str">
        <f t="shared" si="5"/>
        <v>*</v>
      </c>
      <c r="X10" s="21" t="str">
        <f t="shared" si="5"/>
        <v>*</v>
      </c>
      <c r="Y10" s="21" t="str">
        <f t="shared" si="5"/>
        <v>*</v>
      </c>
      <c r="Z10" s="22" t="str">
        <f>IF(Q11="","",SUM(Q11:Y11))</f>
        <v/>
      </c>
      <c r="AA10" s="22" t="str">
        <f>IF(Z10="","",SUM(O10,Z10))</f>
        <v/>
      </c>
      <c r="AB10" s="12"/>
      <c r="AC10" s="1"/>
      <c r="AD10" s="1"/>
    </row>
    <row r="11" ht="18.75" customHeight="1">
      <c r="A11" s="1"/>
      <c r="B11" s="1"/>
      <c r="C11" s="7"/>
      <c r="D11" s="24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7"/>
      <c r="P11" s="23"/>
      <c r="Q11" s="28"/>
      <c r="R11" s="28"/>
      <c r="S11" s="28"/>
      <c r="T11" s="28"/>
      <c r="U11" s="28"/>
      <c r="V11" s="28"/>
      <c r="W11" s="28"/>
      <c r="X11" s="28"/>
      <c r="Y11" s="28"/>
      <c r="Z11" s="27"/>
      <c r="AA11" s="27"/>
      <c r="AB11" s="12"/>
      <c r="AC11" s="1"/>
      <c r="AD11" s="1"/>
    </row>
    <row r="12" ht="11.25" customHeight="1">
      <c r="A12" s="1"/>
      <c r="B12" s="1"/>
      <c r="C12" s="7"/>
      <c r="D12" s="19"/>
      <c r="E12" s="20" t="str">
        <f>IFERROR(VLOOKUP(D12,HANDICAPS!$B$8:$G$23,$B$3,FALSE),"")</f>
        <v/>
      </c>
      <c r="F12" s="21" t="str">
        <f t="shared" ref="F12:N12" si="6">IFERROR(IF($E12&gt;18,IF(($E12-18)&gt;F$33,"**","*"),IF($E12&gt;=F$8,"*","")),"")</f>
        <v>*</v>
      </c>
      <c r="G12" s="21" t="str">
        <f t="shared" si="6"/>
        <v>*</v>
      </c>
      <c r="H12" s="21" t="str">
        <f t="shared" si="6"/>
        <v>*</v>
      </c>
      <c r="I12" s="21" t="str">
        <f t="shared" si="6"/>
        <v>*</v>
      </c>
      <c r="J12" s="21" t="str">
        <f t="shared" si="6"/>
        <v>*</v>
      </c>
      <c r="K12" s="21" t="str">
        <f t="shared" si="6"/>
        <v>*</v>
      </c>
      <c r="L12" s="21" t="str">
        <f t="shared" si="6"/>
        <v>*</v>
      </c>
      <c r="M12" s="21" t="str">
        <f t="shared" si="6"/>
        <v>*</v>
      </c>
      <c r="N12" s="21" t="str">
        <f t="shared" si="6"/>
        <v>*</v>
      </c>
      <c r="O12" s="22" t="str">
        <f>IF(F13="","",SUM(F13:N13))</f>
        <v/>
      </c>
      <c r="P12" s="23"/>
      <c r="Q12" s="21" t="str">
        <f t="shared" ref="Q12:Y12" si="7">IFERROR(IF($E12&gt;18,IF(($E12-18)&gt;Q$33,"**","*"),IF($E12&gt;=Q$8,"*","")),"")</f>
        <v>*</v>
      </c>
      <c r="R12" s="21" t="str">
        <f t="shared" si="7"/>
        <v>*</v>
      </c>
      <c r="S12" s="21" t="str">
        <f t="shared" si="7"/>
        <v>*</v>
      </c>
      <c r="T12" s="21" t="str">
        <f t="shared" si="7"/>
        <v>*</v>
      </c>
      <c r="U12" s="21" t="str">
        <f t="shared" si="7"/>
        <v>*</v>
      </c>
      <c r="V12" s="21" t="str">
        <f t="shared" si="7"/>
        <v>*</v>
      </c>
      <c r="W12" s="21" t="str">
        <f t="shared" si="7"/>
        <v>*</v>
      </c>
      <c r="X12" s="21" t="str">
        <f t="shared" si="7"/>
        <v>*</v>
      </c>
      <c r="Y12" s="21" t="str">
        <f t="shared" si="7"/>
        <v>*</v>
      </c>
      <c r="Z12" s="22" t="str">
        <f>IF(Q13="","",SUM(Q13:Y13))</f>
        <v/>
      </c>
      <c r="AA12" s="22" t="str">
        <f>IF(Z12="","",SUM(O12,Z12))</f>
        <v/>
      </c>
      <c r="AB12" s="12"/>
      <c r="AC12" s="1"/>
      <c r="AD12" s="1"/>
    </row>
    <row r="13" ht="18.75" customHeight="1">
      <c r="A13" s="1"/>
      <c r="B13" s="1"/>
      <c r="C13" s="7"/>
      <c r="D13" s="24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3"/>
      <c r="Q13" s="28"/>
      <c r="R13" s="28"/>
      <c r="S13" s="28"/>
      <c r="T13" s="28"/>
      <c r="U13" s="28"/>
      <c r="V13" s="28"/>
      <c r="W13" s="28"/>
      <c r="X13" s="28"/>
      <c r="Y13" s="28"/>
      <c r="Z13" s="27"/>
      <c r="AA13" s="27"/>
      <c r="AB13" s="12"/>
      <c r="AC13" s="1"/>
      <c r="AD13" s="1"/>
    </row>
    <row r="14" ht="6.75" customHeight="1">
      <c r="A14" s="1"/>
      <c r="B14" s="1"/>
      <c r="C14" s="7"/>
      <c r="D14" s="16"/>
      <c r="E14" s="16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2"/>
      <c r="AC14" s="1"/>
      <c r="AD14" s="1"/>
    </row>
    <row r="15" ht="27.75" customHeight="1">
      <c r="A15" s="1"/>
      <c r="B15" s="1"/>
      <c r="C15" s="7"/>
      <c r="D15" s="29" t="s">
        <v>11</v>
      </c>
      <c r="E15" s="30"/>
      <c r="F15" s="31" t="str">
        <f t="shared" ref="F15:N15" si="8">IF(F11="","",MIN(IF(F10="**",F11-2,IF(F10="*",F11-1,F11)),(IF(F12="**",F13-2,IF(F12="*",F13-1,F13)))))</f>
        <v/>
      </c>
      <c r="G15" s="31" t="str">
        <f t="shared" si="8"/>
        <v/>
      </c>
      <c r="H15" s="31" t="str">
        <f t="shared" si="8"/>
        <v/>
      </c>
      <c r="I15" s="31" t="str">
        <f t="shared" si="8"/>
        <v/>
      </c>
      <c r="J15" s="31" t="str">
        <f t="shared" si="8"/>
        <v/>
      </c>
      <c r="K15" s="31" t="str">
        <f t="shared" si="8"/>
        <v/>
      </c>
      <c r="L15" s="31" t="str">
        <f t="shared" si="8"/>
        <v/>
      </c>
      <c r="M15" s="31" t="str">
        <f t="shared" si="8"/>
        <v/>
      </c>
      <c r="N15" s="31" t="str">
        <f t="shared" si="8"/>
        <v/>
      </c>
      <c r="O15" s="31" t="str">
        <f t="shared" ref="O15:O16" si="11">IF(F15="","",SUM(F15:N15))</f>
        <v/>
      </c>
      <c r="P15" s="23"/>
      <c r="Q15" s="31" t="str">
        <f t="shared" ref="Q15:Y15" si="9">IF(Q11="","",MIN(IF(Q10="**",Q11-2,IF(Q10="*",Q11-1,Q11)),(IF(Q12="**",Q13-2,IF(Q12="*",Q13-1,Q13)))))</f>
        <v/>
      </c>
      <c r="R15" s="31" t="str">
        <f t="shared" si="9"/>
        <v/>
      </c>
      <c r="S15" s="31" t="str">
        <f t="shared" si="9"/>
        <v/>
      </c>
      <c r="T15" s="31" t="str">
        <f t="shared" si="9"/>
        <v/>
      </c>
      <c r="U15" s="31" t="str">
        <f t="shared" si="9"/>
        <v/>
      </c>
      <c r="V15" s="31" t="str">
        <f t="shared" si="9"/>
        <v/>
      </c>
      <c r="W15" s="31" t="str">
        <f t="shared" si="9"/>
        <v/>
      </c>
      <c r="X15" s="31" t="str">
        <f t="shared" si="9"/>
        <v/>
      </c>
      <c r="Y15" s="31" t="str">
        <f t="shared" si="9"/>
        <v/>
      </c>
      <c r="Z15" s="32" t="str">
        <f t="shared" ref="Z15:Z16" si="13">IF(Q15="","",SUM(Q15:Y15))</f>
        <v/>
      </c>
      <c r="AA15" s="31" t="str">
        <f t="shared" ref="AA15:AA16" si="14">IF(Z15="","",Z15+O15)</f>
        <v/>
      </c>
      <c r="AB15" s="12"/>
      <c r="AC15" s="1"/>
      <c r="AD15" s="1"/>
    </row>
    <row r="16" ht="27.75" customHeight="1">
      <c r="A16" s="1"/>
      <c r="B16" s="1"/>
      <c r="C16" s="7"/>
      <c r="D16" s="29" t="s">
        <v>12</v>
      </c>
      <c r="E16" s="30"/>
      <c r="F16" s="33" t="str">
        <f t="shared" ref="F16:N16" si="10">IF(F15="","",IF(F15=F23,0.5,IF(F15&lt;F23,1,0)))</f>
        <v/>
      </c>
      <c r="G16" s="33" t="str">
        <f t="shared" si="10"/>
        <v/>
      </c>
      <c r="H16" s="33" t="str">
        <f t="shared" si="10"/>
        <v/>
      </c>
      <c r="I16" s="33" t="str">
        <f t="shared" si="10"/>
        <v/>
      </c>
      <c r="J16" s="33" t="str">
        <f t="shared" si="10"/>
        <v/>
      </c>
      <c r="K16" s="33" t="str">
        <f t="shared" si="10"/>
        <v/>
      </c>
      <c r="L16" s="33" t="str">
        <f t="shared" si="10"/>
        <v/>
      </c>
      <c r="M16" s="33" t="str">
        <f t="shared" si="10"/>
        <v/>
      </c>
      <c r="N16" s="33" t="str">
        <f t="shared" si="10"/>
        <v/>
      </c>
      <c r="O16" s="33" t="str">
        <f t="shared" si="11"/>
        <v/>
      </c>
      <c r="P16" s="23"/>
      <c r="Q16" s="33" t="str">
        <f t="shared" ref="Q16:Y16" si="12">IF(Q15="","",IF(Q15=Q23,0.5,IF(Q15&lt;Q23,1,0)))</f>
        <v/>
      </c>
      <c r="R16" s="33" t="str">
        <f t="shared" si="12"/>
        <v/>
      </c>
      <c r="S16" s="33" t="str">
        <f t="shared" si="12"/>
        <v/>
      </c>
      <c r="T16" s="33" t="str">
        <f t="shared" si="12"/>
        <v/>
      </c>
      <c r="U16" s="33" t="str">
        <f t="shared" si="12"/>
        <v/>
      </c>
      <c r="V16" s="33" t="str">
        <f t="shared" si="12"/>
        <v/>
      </c>
      <c r="W16" s="33" t="str">
        <f t="shared" si="12"/>
        <v/>
      </c>
      <c r="X16" s="33" t="str">
        <f t="shared" si="12"/>
        <v/>
      </c>
      <c r="Y16" s="33" t="str">
        <f t="shared" si="12"/>
        <v/>
      </c>
      <c r="Z16" s="34" t="str">
        <f t="shared" si="13"/>
        <v/>
      </c>
      <c r="AA16" s="33" t="str">
        <f t="shared" si="14"/>
        <v/>
      </c>
      <c r="AB16" s="12"/>
      <c r="AC16" s="1"/>
      <c r="AD16" s="1"/>
    </row>
    <row r="17" ht="6.75" customHeight="1">
      <c r="A17" s="1"/>
      <c r="B17" s="1"/>
      <c r="C17" s="7"/>
      <c r="D17" s="16"/>
      <c r="E17" s="16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2"/>
      <c r="AC17" s="1"/>
      <c r="AD17" s="1"/>
    </row>
    <row r="18" ht="11.25" customHeight="1">
      <c r="A18" s="1"/>
      <c r="B18" s="1"/>
      <c r="C18" s="7"/>
      <c r="D18" s="19"/>
      <c r="E18" s="20" t="str">
        <f>IFERROR(VLOOKUP(D18,HANDICAPS!$B$8:$G$23,$B$3,FALSE),"")</f>
        <v/>
      </c>
      <c r="F18" s="21" t="str">
        <f t="shared" ref="F18:N18" si="15">IFERROR(IF($E18&gt;18,IF(($E18-18)&gt;F$33,"**","*"),IF($E18&gt;=F$8,"*","")),"")</f>
        <v>*</v>
      </c>
      <c r="G18" s="21" t="str">
        <f t="shared" si="15"/>
        <v>*</v>
      </c>
      <c r="H18" s="21" t="str">
        <f t="shared" si="15"/>
        <v>*</v>
      </c>
      <c r="I18" s="21" t="str">
        <f t="shared" si="15"/>
        <v>*</v>
      </c>
      <c r="J18" s="21" t="str">
        <f t="shared" si="15"/>
        <v>*</v>
      </c>
      <c r="K18" s="21" t="str">
        <f t="shared" si="15"/>
        <v>*</v>
      </c>
      <c r="L18" s="21" t="str">
        <f t="shared" si="15"/>
        <v>*</v>
      </c>
      <c r="M18" s="21" t="str">
        <f t="shared" si="15"/>
        <v>*</v>
      </c>
      <c r="N18" s="21" t="str">
        <f t="shared" si="15"/>
        <v>*</v>
      </c>
      <c r="O18" s="22" t="str">
        <f>IF(F19="","",SUM(F19:N19))</f>
        <v/>
      </c>
      <c r="P18" s="23"/>
      <c r="Q18" s="21" t="str">
        <f t="shared" ref="Q18:Y18" si="16">IFERROR(IF($E18&gt;18,IF(($E18-18)&gt;Q$33,"**","*"),IF($E18&gt;=Q$8,"*","")),"")</f>
        <v>*</v>
      </c>
      <c r="R18" s="21" t="str">
        <f t="shared" si="16"/>
        <v>*</v>
      </c>
      <c r="S18" s="21" t="str">
        <f t="shared" si="16"/>
        <v>*</v>
      </c>
      <c r="T18" s="21" t="str">
        <f t="shared" si="16"/>
        <v>*</v>
      </c>
      <c r="U18" s="21" t="str">
        <f t="shared" si="16"/>
        <v>*</v>
      </c>
      <c r="V18" s="21" t="str">
        <f t="shared" si="16"/>
        <v>*</v>
      </c>
      <c r="W18" s="21" t="str">
        <f t="shared" si="16"/>
        <v>*</v>
      </c>
      <c r="X18" s="21" t="str">
        <f t="shared" si="16"/>
        <v>*</v>
      </c>
      <c r="Y18" s="21" t="str">
        <f t="shared" si="16"/>
        <v>*</v>
      </c>
      <c r="Z18" s="22" t="str">
        <f>IF(Q19="","",SUM(Q19:Y19))</f>
        <v/>
      </c>
      <c r="AA18" s="22" t="str">
        <f>IF(Z18="","",SUM(O18,Z18))</f>
        <v/>
      </c>
      <c r="AB18" s="12"/>
      <c r="AC18" s="1"/>
      <c r="AD18" s="1"/>
    </row>
    <row r="19" ht="18.75" customHeight="1">
      <c r="A19" s="1"/>
      <c r="B19" s="1"/>
      <c r="C19" s="7"/>
      <c r="D19" s="24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23"/>
      <c r="Q19" s="28"/>
      <c r="R19" s="28"/>
      <c r="S19" s="28"/>
      <c r="T19" s="28"/>
      <c r="U19" s="28"/>
      <c r="V19" s="28"/>
      <c r="W19" s="28"/>
      <c r="X19" s="28"/>
      <c r="Y19" s="28"/>
      <c r="Z19" s="27"/>
      <c r="AA19" s="27"/>
      <c r="AB19" s="12"/>
      <c r="AC19" s="1"/>
      <c r="AD19" s="1"/>
    </row>
    <row r="20" ht="11.25" customHeight="1">
      <c r="A20" s="1"/>
      <c r="B20" s="1"/>
      <c r="C20" s="7"/>
      <c r="D20" s="19"/>
      <c r="E20" s="20" t="str">
        <f>IFERROR(VLOOKUP(D20,HANDICAPS!$B$8:$G$23,$B$3,FALSE),"")</f>
        <v/>
      </c>
      <c r="F20" s="21" t="str">
        <f t="shared" ref="F20:N20" si="17">IFERROR(IF($E20&gt;18,IF(($E20-18)&gt;F$33,"**","*"),IF($E20&gt;=F$8,"*","")),"")</f>
        <v>*</v>
      </c>
      <c r="G20" s="21" t="str">
        <f t="shared" si="17"/>
        <v>*</v>
      </c>
      <c r="H20" s="21" t="str">
        <f t="shared" si="17"/>
        <v>*</v>
      </c>
      <c r="I20" s="21" t="str">
        <f t="shared" si="17"/>
        <v>*</v>
      </c>
      <c r="J20" s="21" t="str">
        <f t="shared" si="17"/>
        <v>*</v>
      </c>
      <c r="K20" s="21" t="str">
        <f t="shared" si="17"/>
        <v>*</v>
      </c>
      <c r="L20" s="21" t="str">
        <f t="shared" si="17"/>
        <v>*</v>
      </c>
      <c r="M20" s="21" t="str">
        <f t="shared" si="17"/>
        <v>*</v>
      </c>
      <c r="N20" s="21" t="str">
        <f t="shared" si="17"/>
        <v>*</v>
      </c>
      <c r="O20" s="22" t="str">
        <f>IF(F21="","",SUM(F21:N21))</f>
        <v/>
      </c>
      <c r="P20" s="23"/>
      <c r="Q20" s="21" t="str">
        <f t="shared" ref="Q20:Y20" si="18">IFERROR(IF($E20&gt;18,IF(($E20-18)&gt;Q$33,"**","*"),IF($E20&gt;=Q$8,"*","")),"")</f>
        <v>*</v>
      </c>
      <c r="R20" s="21" t="str">
        <f t="shared" si="18"/>
        <v>*</v>
      </c>
      <c r="S20" s="21" t="str">
        <f t="shared" si="18"/>
        <v>*</v>
      </c>
      <c r="T20" s="21" t="str">
        <f t="shared" si="18"/>
        <v>*</v>
      </c>
      <c r="U20" s="21" t="str">
        <f t="shared" si="18"/>
        <v>*</v>
      </c>
      <c r="V20" s="21" t="str">
        <f t="shared" si="18"/>
        <v>*</v>
      </c>
      <c r="W20" s="21" t="str">
        <f t="shared" si="18"/>
        <v>*</v>
      </c>
      <c r="X20" s="21" t="str">
        <f t="shared" si="18"/>
        <v>*</v>
      </c>
      <c r="Y20" s="21" t="str">
        <f t="shared" si="18"/>
        <v>*</v>
      </c>
      <c r="Z20" s="22" t="str">
        <f>IF(Q21="","",SUM(Q21:Y21))</f>
        <v/>
      </c>
      <c r="AA20" s="22" t="str">
        <f>IF(Z20="","",SUM(O20,Z20))</f>
        <v/>
      </c>
      <c r="AB20" s="12"/>
      <c r="AC20" s="1"/>
      <c r="AD20" s="1"/>
    </row>
    <row r="21" ht="18.75" customHeight="1">
      <c r="A21" s="1"/>
      <c r="B21" s="1"/>
      <c r="C21" s="7"/>
      <c r="D21" s="24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3"/>
      <c r="Q21" s="28"/>
      <c r="R21" s="28"/>
      <c r="S21" s="28"/>
      <c r="T21" s="28"/>
      <c r="U21" s="28"/>
      <c r="V21" s="28"/>
      <c r="W21" s="28"/>
      <c r="X21" s="28"/>
      <c r="Y21" s="28"/>
      <c r="Z21" s="27"/>
      <c r="AA21" s="27"/>
      <c r="AB21" s="12"/>
      <c r="AC21" s="1"/>
      <c r="AD21" s="1"/>
    </row>
    <row r="22" ht="6.75" customHeight="1">
      <c r="A22" s="1"/>
      <c r="B22" s="1"/>
      <c r="C22" s="7"/>
      <c r="D22" s="16"/>
      <c r="E22" s="1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2"/>
      <c r="AC22" s="1"/>
      <c r="AD22" s="1"/>
    </row>
    <row r="23" ht="27.75" customHeight="1">
      <c r="A23" s="1"/>
      <c r="B23" s="1"/>
      <c r="C23" s="7"/>
      <c r="D23" s="29" t="s">
        <v>11</v>
      </c>
      <c r="E23" s="30"/>
      <c r="F23" s="31" t="str">
        <f t="shared" ref="F23:N23" si="19">IF(F19="","",MIN(IF(F18="**",F19-2,IF(F18="*",F19-1,F19)),(IF(F20="**",F21-2,IF(F20="*",F21-1,F21)))))</f>
        <v/>
      </c>
      <c r="G23" s="31" t="str">
        <f t="shared" si="19"/>
        <v/>
      </c>
      <c r="H23" s="31" t="str">
        <f t="shared" si="19"/>
        <v/>
      </c>
      <c r="I23" s="31" t="str">
        <f t="shared" si="19"/>
        <v/>
      </c>
      <c r="J23" s="31" t="str">
        <f t="shared" si="19"/>
        <v/>
      </c>
      <c r="K23" s="31" t="str">
        <f t="shared" si="19"/>
        <v/>
      </c>
      <c r="L23" s="31" t="str">
        <f t="shared" si="19"/>
        <v/>
      </c>
      <c r="M23" s="31" t="str">
        <f t="shared" si="19"/>
        <v/>
      </c>
      <c r="N23" s="31" t="str">
        <f t="shared" si="19"/>
        <v/>
      </c>
      <c r="O23" s="31" t="str">
        <f t="shared" ref="O23:O24" si="22">IF(F23="","",SUM(F23:N23))</f>
        <v/>
      </c>
      <c r="P23" s="23"/>
      <c r="Q23" s="31" t="str">
        <f t="shared" ref="Q23:Y23" si="20">IF(Q19="","",MIN(IF(Q18="**",Q19-2,IF(Q18="*",Q19-1,Q19)),(IF(Q20="**",Q21-2,IF(Q20="*",Q21-1,Q21)))))</f>
        <v/>
      </c>
      <c r="R23" s="31" t="str">
        <f t="shared" si="20"/>
        <v/>
      </c>
      <c r="S23" s="31" t="str">
        <f t="shared" si="20"/>
        <v/>
      </c>
      <c r="T23" s="31" t="str">
        <f t="shared" si="20"/>
        <v/>
      </c>
      <c r="U23" s="31" t="str">
        <f t="shared" si="20"/>
        <v/>
      </c>
      <c r="V23" s="31" t="str">
        <f t="shared" si="20"/>
        <v/>
      </c>
      <c r="W23" s="31" t="str">
        <f t="shared" si="20"/>
        <v/>
      </c>
      <c r="X23" s="31" t="str">
        <f t="shared" si="20"/>
        <v/>
      </c>
      <c r="Y23" s="31" t="str">
        <f t="shared" si="20"/>
        <v/>
      </c>
      <c r="Z23" s="31" t="str">
        <f t="shared" ref="Z23:Z24" si="24">IF(Q23="","",SUM(Q23:Y23))</f>
        <v/>
      </c>
      <c r="AA23" s="31" t="str">
        <f t="shared" ref="AA23:AA24" si="25">IF(Z23="","",Z23+O23)</f>
        <v/>
      </c>
      <c r="AB23" s="12"/>
      <c r="AC23" s="1"/>
      <c r="AD23" s="1"/>
    </row>
    <row r="24" ht="27.75" customHeight="1">
      <c r="A24" s="1"/>
      <c r="B24" s="1"/>
      <c r="C24" s="7"/>
      <c r="D24" s="29" t="s">
        <v>12</v>
      </c>
      <c r="E24" s="30"/>
      <c r="F24" s="33" t="str">
        <f t="shared" ref="F24:N24" si="21">IF(F23="","",IF(F23=F15,0.5,IF(F23&lt;F15,1,0)))</f>
        <v/>
      </c>
      <c r="G24" s="33" t="str">
        <f t="shared" si="21"/>
        <v/>
      </c>
      <c r="H24" s="33" t="str">
        <f t="shared" si="21"/>
        <v/>
      </c>
      <c r="I24" s="33" t="str">
        <f t="shared" si="21"/>
        <v/>
      </c>
      <c r="J24" s="33" t="str">
        <f t="shared" si="21"/>
        <v/>
      </c>
      <c r="K24" s="33" t="str">
        <f t="shared" si="21"/>
        <v/>
      </c>
      <c r="L24" s="33" t="str">
        <f t="shared" si="21"/>
        <v/>
      </c>
      <c r="M24" s="33" t="str">
        <f t="shared" si="21"/>
        <v/>
      </c>
      <c r="N24" s="33" t="str">
        <f t="shared" si="21"/>
        <v/>
      </c>
      <c r="O24" s="33" t="str">
        <f t="shared" si="22"/>
        <v/>
      </c>
      <c r="P24" s="23"/>
      <c r="Q24" s="33" t="str">
        <f t="shared" ref="Q24:Y24" si="23">IF(Q23="","",IF(Q23=Q15,0.5,IF(Q23&lt;Q15,1,0)))</f>
        <v/>
      </c>
      <c r="R24" s="33" t="str">
        <f t="shared" si="23"/>
        <v/>
      </c>
      <c r="S24" s="33" t="str">
        <f t="shared" si="23"/>
        <v/>
      </c>
      <c r="T24" s="33" t="str">
        <f t="shared" si="23"/>
        <v/>
      </c>
      <c r="U24" s="33" t="str">
        <f t="shared" si="23"/>
        <v/>
      </c>
      <c r="V24" s="33" t="str">
        <f t="shared" si="23"/>
        <v/>
      </c>
      <c r="W24" s="33" t="str">
        <f t="shared" si="23"/>
        <v/>
      </c>
      <c r="X24" s="33" t="str">
        <f t="shared" si="23"/>
        <v/>
      </c>
      <c r="Y24" s="33" t="str">
        <f t="shared" si="23"/>
        <v/>
      </c>
      <c r="Z24" s="33" t="str">
        <f t="shared" si="24"/>
        <v/>
      </c>
      <c r="AA24" s="33" t="str">
        <f t="shared" si="25"/>
        <v/>
      </c>
      <c r="AB24" s="12"/>
      <c r="AC24" s="1"/>
      <c r="AD24" s="1"/>
    </row>
    <row r="25" ht="6.75" customHeight="1">
      <c r="A25" s="1"/>
      <c r="B25" s="1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7"/>
      <c r="AC25" s="1"/>
      <c r="AD25" s="1"/>
    </row>
    <row r="26" ht="6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>
      <c r="A27" s="1"/>
      <c r="B27" s="1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  <c r="AC27" s="1"/>
      <c r="AD27" s="1"/>
    </row>
    <row r="28" ht="15.75" customHeight="1">
      <c r="A28" s="1"/>
      <c r="B28" s="1"/>
      <c r="C28" s="7"/>
      <c r="D28" s="8" t="str">
        <f>D3</f>
        <v>Course</v>
      </c>
      <c r="E28" s="6"/>
      <c r="F28" s="6"/>
      <c r="G28" s="6"/>
      <c r="H28" s="9"/>
      <c r="I28" s="9"/>
      <c r="J28" s="9"/>
      <c r="K28" s="10" t="str">
        <f>K3</f>
        <v>Pure Michigan Open 2k21</v>
      </c>
      <c r="U28" s="11"/>
      <c r="V28" s="11"/>
      <c r="W28" s="11"/>
      <c r="X28" s="11"/>
      <c r="Y28" s="1"/>
      <c r="Z28" s="1"/>
      <c r="AA28" s="1"/>
      <c r="AB28" s="12"/>
      <c r="AC28" s="1"/>
      <c r="AD28" s="1"/>
    </row>
    <row r="29" ht="18.75" customHeight="1">
      <c r="A29" s="1"/>
      <c r="B29" s="1"/>
      <c r="C29" s="7"/>
      <c r="D29" s="1"/>
      <c r="E29" s="1"/>
      <c r="F29" s="1"/>
      <c r="G29" s="1"/>
      <c r="H29" s="13" t="str">
        <f>H4</f>
        <v>Front</v>
      </c>
      <c r="I29" s="14"/>
      <c r="J29" s="14"/>
      <c r="K29" s="14"/>
      <c r="L29" s="14"/>
      <c r="M29" s="1"/>
      <c r="N29" s="1"/>
      <c r="O29" s="1"/>
      <c r="P29" s="1"/>
      <c r="Q29" s="1"/>
      <c r="R29" s="1"/>
      <c r="S29" s="1"/>
      <c r="T29" s="13" t="str">
        <f>T4</f>
        <v>Back</v>
      </c>
      <c r="U29" s="14"/>
      <c r="V29" s="14"/>
      <c r="W29" s="14"/>
      <c r="X29" s="14"/>
      <c r="Y29" s="1"/>
      <c r="Z29" s="1"/>
      <c r="AA29" s="1"/>
      <c r="AB29" s="12"/>
      <c r="AC29" s="1"/>
      <c r="AD29" s="1"/>
    </row>
    <row r="30" ht="15.0" customHeight="1">
      <c r="A30" s="1"/>
      <c r="B30" s="1"/>
      <c r="C30" s="7"/>
      <c r="D30" s="1"/>
      <c r="E30" s="15" t="s">
        <v>4</v>
      </c>
      <c r="F30" s="15">
        <f t="shared" ref="F30:O30" si="26">F5</f>
        <v>1</v>
      </c>
      <c r="G30" s="15">
        <f t="shared" si="26"/>
        <v>2</v>
      </c>
      <c r="H30" s="15">
        <f t="shared" si="26"/>
        <v>3</v>
      </c>
      <c r="I30" s="15">
        <f t="shared" si="26"/>
        <v>4</v>
      </c>
      <c r="J30" s="15">
        <f t="shared" si="26"/>
        <v>5</v>
      </c>
      <c r="K30" s="15">
        <f t="shared" si="26"/>
        <v>6</v>
      </c>
      <c r="L30" s="15">
        <f t="shared" si="26"/>
        <v>7</v>
      </c>
      <c r="M30" s="15">
        <f t="shared" si="26"/>
        <v>8</v>
      </c>
      <c r="N30" s="15">
        <f t="shared" si="26"/>
        <v>9</v>
      </c>
      <c r="O30" s="15" t="str">
        <f t="shared" si="26"/>
        <v>Out</v>
      </c>
      <c r="P30" s="16"/>
      <c r="Q30" s="15">
        <f t="shared" ref="Q30:Z30" si="27">Q5</f>
        <v>10</v>
      </c>
      <c r="R30" s="15">
        <f t="shared" si="27"/>
        <v>11</v>
      </c>
      <c r="S30" s="15">
        <f t="shared" si="27"/>
        <v>12</v>
      </c>
      <c r="T30" s="15">
        <f t="shared" si="27"/>
        <v>13</v>
      </c>
      <c r="U30" s="15">
        <f t="shared" si="27"/>
        <v>14</v>
      </c>
      <c r="V30" s="15">
        <f t="shared" si="27"/>
        <v>15</v>
      </c>
      <c r="W30" s="15">
        <f t="shared" si="27"/>
        <v>16</v>
      </c>
      <c r="X30" s="15">
        <f t="shared" si="27"/>
        <v>17</v>
      </c>
      <c r="Y30" s="15">
        <f t="shared" si="27"/>
        <v>18</v>
      </c>
      <c r="Z30" s="15" t="str">
        <f t="shared" si="27"/>
        <v>In</v>
      </c>
      <c r="AA30" s="15" t="s">
        <v>7</v>
      </c>
      <c r="AB30" s="12"/>
      <c r="AC30" s="1"/>
      <c r="AD30" s="1"/>
    </row>
    <row r="31" ht="15.0" customHeight="1">
      <c r="A31" s="1"/>
      <c r="B31" s="1"/>
      <c r="C31" s="7"/>
      <c r="D31" s="1"/>
      <c r="E31" s="15" t="str">
        <f t="shared" ref="E31:O31" si="28">E6</f>
        <v>Color</v>
      </c>
      <c r="F31" s="15" t="str">
        <f t="shared" si="28"/>
        <v/>
      </c>
      <c r="G31" s="15" t="str">
        <f t="shared" si="28"/>
        <v/>
      </c>
      <c r="H31" s="15" t="str">
        <f t="shared" si="28"/>
        <v/>
      </c>
      <c r="I31" s="15" t="str">
        <f t="shared" si="28"/>
        <v/>
      </c>
      <c r="J31" s="15" t="str">
        <f t="shared" si="28"/>
        <v/>
      </c>
      <c r="K31" s="15" t="str">
        <f t="shared" si="28"/>
        <v/>
      </c>
      <c r="L31" s="15" t="str">
        <f t="shared" si="28"/>
        <v/>
      </c>
      <c r="M31" s="15" t="str">
        <f t="shared" si="28"/>
        <v/>
      </c>
      <c r="N31" s="15" t="str">
        <f t="shared" si="28"/>
        <v/>
      </c>
      <c r="O31" s="15">
        <f t="shared" si="28"/>
        <v>0</v>
      </c>
      <c r="P31" s="17"/>
      <c r="Q31" s="15" t="str">
        <f t="shared" ref="Q31:Z31" si="29">Q6</f>
        <v/>
      </c>
      <c r="R31" s="15" t="str">
        <f t="shared" si="29"/>
        <v/>
      </c>
      <c r="S31" s="15" t="str">
        <f t="shared" si="29"/>
        <v/>
      </c>
      <c r="T31" s="15" t="str">
        <f t="shared" si="29"/>
        <v/>
      </c>
      <c r="U31" s="15" t="str">
        <f t="shared" si="29"/>
        <v/>
      </c>
      <c r="V31" s="15" t="str">
        <f t="shared" si="29"/>
        <v/>
      </c>
      <c r="W31" s="15" t="str">
        <f t="shared" si="29"/>
        <v/>
      </c>
      <c r="X31" s="15" t="str">
        <f t="shared" si="29"/>
        <v/>
      </c>
      <c r="Y31" s="15" t="str">
        <f t="shared" si="29"/>
        <v/>
      </c>
      <c r="Z31" s="15">
        <f t="shared" si="29"/>
        <v>0</v>
      </c>
      <c r="AA31" s="15">
        <f t="shared" ref="AA31:AA32" si="32">Z31+O31</f>
        <v>0</v>
      </c>
      <c r="AB31" s="12"/>
      <c r="AC31" s="1"/>
      <c r="AD31" s="1"/>
    </row>
    <row r="32" ht="15.0" customHeight="1">
      <c r="A32" s="1"/>
      <c r="B32" s="1"/>
      <c r="C32" s="7"/>
      <c r="D32" s="1"/>
      <c r="E32" s="15" t="s">
        <v>9</v>
      </c>
      <c r="F32" s="15" t="str">
        <f t="shared" ref="F32:O32" si="30">F7</f>
        <v/>
      </c>
      <c r="G32" s="15" t="str">
        <f t="shared" si="30"/>
        <v/>
      </c>
      <c r="H32" s="15" t="str">
        <f t="shared" si="30"/>
        <v/>
      </c>
      <c r="I32" s="15" t="str">
        <f t="shared" si="30"/>
        <v/>
      </c>
      <c r="J32" s="15" t="str">
        <f t="shared" si="30"/>
        <v/>
      </c>
      <c r="K32" s="15" t="str">
        <f t="shared" si="30"/>
        <v/>
      </c>
      <c r="L32" s="15" t="str">
        <f t="shared" si="30"/>
        <v/>
      </c>
      <c r="M32" s="15" t="str">
        <f t="shared" si="30"/>
        <v/>
      </c>
      <c r="N32" s="15" t="str">
        <f t="shared" si="30"/>
        <v/>
      </c>
      <c r="O32" s="15">
        <f t="shared" si="30"/>
        <v>0</v>
      </c>
      <c r="P32" s="17"/>
      <c r="Q32" s="15" t="str">
        <f t="shared" ref="Q32:Z32" si="31">Q7</f>
        <v/>
      </c>
      <c r="R32" s="15" t="str">
        <f t="shared" si="31"/>
        <v/>
      </c>
      <c r="S32" s="15" t="str">
        <f t="shared" si="31"/>
        <v/>
      </c>
      <c r="T32" s="15" t="str">
        <f t="shared" si="31"/>
        <v/>
      </c>
      <c r="U32" s="15" t="str">
        <f t="shared" si="31"/>
        <v/>
      </c>
      <c r="V32" s="15" t="str">
        <f t="shared" si="31"/>
        <v/>
      </c>
      <c r="W32" s="15" t="str">
        <f t="shared" si="31"/>
        <v/>
      </c>
      <c r="X32" s="15" t="str">
        <f t="shared" si="31"/>
        <v/>
      </c>
      <c r="Y32" s="15" t="str">
        <f t="shared" si="31"/>
        <v/>
      </c>
      <c r="Z32" s="15">
        <f t="shared" si="31"/>
        <v>0</v>
      </c>
      <c r="AA32" s="15">
        <f t="shared" si="32"/>
        <v>0</v>
      </c>
      <c r="AB32" s="12"/>
      <c r="AC32" s="1"/>
      <c r="AD32" s="1"/>
    </row>
    <row r="33" ht="15.0" customHeight="1">
      <c r="A33" s="1"/>
      <c r="B33" s="1"/>
      <c r="C33" s="7"/>
      <c r="D33" s="1"/>
      <c r="E33" s="15" t="s">
        <v>10</v>
      </c>
      <c r="F33" s="15" t="str">
        <f t="shared" ref="F33:N33" si="33">F8</f>
        <v/>
      </c>
      <c r="G33" s="15" t="str">
        <f t="shared" si="33"/>
        <v/>
      </c>
      <c r="H33" s="15" t="str">
        <f t="shared" si="33"/>
        <v/>
      </c>
      <c r="I33" s="15" t="str">
        <f t="shared" si="33"/>
        <v/>
      </c>
      <c r="J33" s="15" t="str">
        <f t="shared" si="33"/>
        <v/>
      </c>
      <c r="K33" s="15" t="str">
        <f t="shared" si="33"/>
        <v/>
      </c>
      <c r="L33" s="15" t="str">
        <f t="shared" si="33"/>
        <v/>
      </c>
      <c r="M33" s="15" t="str">
        <f t="shared" si="33"/>
        <v/>
      </c>
      <c r="N33" s="15" t="str">
        <f t="shared" si="33"/>
        <v/>
      </c>
      <c r="O33" s="15"/>
      <c r="P33" s="17"/>
      <c r="Q33" s="15" t="str">
        <f t="shared" ref="Q33:Y33" si="34">Q8</f>
        <v/>
      </c>
      <c r="R33" s="15" t="str">
        <f t="shared" si="34"/>
        <v/>
      </c>
      <c r="S33" s="15" t="str">
        <f t="shared" si="34"/>
        <v/>
      </c>
      <c r="T33" s="15" t="str">
        <f t="shared" si="34"/>
        <v/>
      </c>
      <c r="U33" s="15" t="str">
        <f t="shared" si="34"/>
        <v/>
      </c>
      <c r="V33" s="15" t="str">
        <f t="shared" si="34"/>
        <v/>
      </c>
      <c r="W33" s="15" t="str">
        <f t="shared" si="34"/>
        <v/>
      </c>
      <c r="X33" s="15" t="str">
        <f t="shared" si="34"/>
        <v/>
      </c>
      <c r="Y33" s="15" t="str">
        <f t="shared" si="34"/>
        <v/>
      </c>
      <c r="Z33" s="15"/>
      <c r="AA33" s="18"/>
      <c r="AB33" s="12"/>
      <c r="AC33" s="1"/>
      <c r="AD33" s="1"/>
    </row>
    <row r="34" ht="6.75" customHeight="1">
      <c r="A34" s="1"/>
      <c r="B34" s="1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2"/>
      <c r="AC34" s="1"/>
      <c r="AD34" s="1"/>
    </row>
    <row r="35" ht="11.25" customHeight="1">
      <c r="A35" s="1"/>
      <c r="B35" s="1"/>
      <c r="C35" s="7"/>
      <c r="D35" s="19"/>
      <c r="E35" s="20" t="str">
        <f>IFERROR(VLOOKUP(D35,HANDICAPS!$B$8:$G$23,$B$3,FALSE),"")</f>
        <v/>
      </c>
      <c r="F35" s="21" t="str">
        <f t="shared" ref="F35:N35" si="35">IFERROR(IF($E35&gt;18,IF(($E35-18)&gt;F$33,"**","*"),IF($E35&gt;=F$8,"*","")),"")</f>
        <v>*</v>
      </c>
      <c r="G35" s="21" t="str">
        <f t="shared" si="35"/>
        <v>*</v>
      </c>
      <c r="H35" s="21" t="str">
        <f t="shared" si="35"/>
        <v>*</v>
      </c>
      <c r="I35" s="21" t="str">
        <f t="shared" si="35"/>
        <v>*</v>
      </c>
      <c r="J35" s="21" t="str">
        <f t="shared" si="35"/>
        <v>*</v>
      </c>
      <c r="K35" s="21" t="str">
        <f t="shared" si="35"/>
        <v>*</v>
      </c>
      <c r="L35" s="21" t="str">
        <f t="shared" si="35"/>
        <v>*</v>
      </c>
      <c r="M35" s="21" t="str">
        <f t="shared" si="35"/>
        <v>*</v>
      </c>
      <c r="N35" s="21" t="str">
        <f t="shared" si="35"/>
        <v>*</v>
      </c>
      <c r="O35" s="22" t="str">
        <f>IF(F36="","",SUM(F36:N36))</f>
        <v/>
      </c>
      <c r="P35" s="23"/>
      <c r="Q35" s="21" t="str">
        <f t="shared" ref="Q35:Y35" si="36">IFERROR(IF($E35&gt;18,IF(($E35-18)&gt;Q$33,"**","*"),IF($E35&gt;=Q$8,"*","")),"")</f>
        <v>*</v>
      </c>
      <c r="R35" s="21" t="str">
        <f t="shared" si="36"/>
        <v>*</v>
      </c>
      <c r="S35" s="21" t="str">
        <f t="shared" si="36"/>
        <v>*</v>
      </c>
      <c r="T35" s="21" t="str">
        <f t="shared" si="36"/>
        <v>*</v>
      </c>
      <c r="U35" s="21" t="str">
        <f t="shared" si="36"/>
        <v>*</v>
      </c>
      <c r="V35" s="21" t="str">
        <f t="shared" si="36"/>
        <v>*</v>
      </c>
      <c r="W35" s="21" t="str">
        <f t="shared" si="36"/>
        <v>*</v>
      </c>
      <c r="X35" s="21" t="str">
        <f t="shared" si="36"/>
        <v>*</v>
      </c>
      <c r="Y35" s="21" t="str">
        <f t="shared" si="36"/>
        <v>*</v>
      </c>
      <c r="Z35" s="22" t="str">
        <f>IF(Q36="","",SUM(Q36:Y36))</f>
        <v/>
      </c>
      <c r="AA35" s="22" t="str">
        <f>IF(Z35="","",SUM(O35,Z35))</f>
        <v/>
      </c>
      <c r="AB35" s="12"/>
      <c r="AC35" s="1"/>
      <c r="AD35" s="1"/>
    </row>
    <row r="36" ht="18.75" customHeight="1">
      <c r="A36" s="1"/>
      <c r="B36" s="1"/>
      <c r="C36" s="7"/>
      <c r="D36" s="24"/>
      <c r="E36" s="25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23"/>
      <c r="Q36" s="28"/>
      <c r="R36" s="28"/>
      <c r="S36" s="28"/>
      <c r="T36" s="28"/>
      <c r="U36" s="28"/>
      <c r="V36" s="28"/>
      <c r="W36" s="28"/>
      <c r="X36" s="28"/>
      <c r="Y36" s="28"/>
      <c r="Z36" s="27"/>
      <c r="AA36" s="27"/>
      <c r="AB36" s="12"/>
      <c r="AC36" s="1"/>
      <c r="AD36" s="1"/>
    </row>
    <row r="37" ht="11.25" customHeight="1">
      <c r="A37" s="1"/>
      <c r="B37" s="1"/>
      <c r="C37" s="7"/>
      <c r="D37" s="19"/>
      <c r="E37" s="20" t="str">
        <f>IFERROR(VLOOKUP(D37,HANDICAPS!$B$8:$G$23,$B$3,FALSE),"")</f>
        <v/>
      </c>
      <c r="F37" s="21" t="str">
        <f t="shared" ref="F37:N37" si="37">IFERROR(IF($E37&gt;18,IF(($E37-18)&gt;F$33,"**","*"),IF($E37&gt;=F$8,"*","")),"")</f>
        <v>*</v>
      </c>
      <c r="G37" s="21" t="str">
        <f t="shared" si="37"/>
        <v>*</v>
      </c>
      <c r="H37" s="21" t="str">
        <f t="shared" si="37"/>
        <v>*</v>
      </c>
      <c r="I37" s="21" t="str">
        <f t="shared" si="37"/>
        <v>*</v>
      </c>
      <c r="J37" s="21" t="str">
        <f t="shared" si="37"/>
        <v>*</v>
      </c>
      <c r="K37" s="21" t="str">
        <f t="shared" si="37"/>
        <v>*</v>
      </c>
      <c r="L37" s="21" t="str">
        <f t="shared" si="37"/>
        <v>*</v>
      </c>
      <c r="M37" s="21" t="str">
        <f t="shared" si="37"/>
        <v>*</v>
      </c>
      <c r="N37" s="21" t="str">
        <f t="shared" si="37"/>
        <v>*</v>
      </c>
      <c r="O37" s="22" t="str">
        <f>IF(F38="","",SUM(F38:N38))</f>
        <v/>
      </c>
      <c r="P37" s="23"/>
      <c r="Q37" s="21" t="str">
        <f t="shared" ref="Q37:Y37" si="38">IFERROR(IF($E37&gt;18,IF(($E37-18)&gt;Q$33,"**","*"),IF($E37&gt;=Q$8,"*","")),"")</f>
        <v>*</v>
      </c>
      <c r="R37" s="21" t="str">
        <f t="shared" si="38"/>
        <v>*</v>
      </c>
      <c r="S37" s="21" t="str">
        <f t="shared" si="38"/>
        <v>*</v>
      </c>
      <c r="T37" s="21" t="str">
        <f t="shared" si="38"/>
        <v>*</v>
      </c>
      <c r="U37" s="21" t="str">
        <f t="shared" si="38"/>
        <v>*</v>
      </c>
      <c r="V37" s="21" t="str">
        <f t="shared" si="38"/>
        <v>*</v>
      </c>
      <c r="W37" s="21" t="str">
        <f t="shared" si="38"/>
        <v>*</v>
      </c>
      <c r="X37" s="21" t="str">
        <f t="shared" si="38"/>
        <v>*</v>
      </c>
      <c r="Y37" s="21" t="str">
        <f t="shared" si="38"/>
        <v>*</v>
      </c>
      <c r="Z37" s="22" t="str">
        <f>IF(Q38="","",SUM(Q38:Y38))</f>
        <v/>
      </c>
      <c r="AA37" s="22" t="str">
        <f>IF(Z37="","",SUM(O37,Z37))</f>
        <v/>
      </c>
      <c r="AB37" s="12"/>
      <c r="AC37" s="1"/>
      <c r="AD37" s="1"/>
    </row>
    <row r="38" ht="18.75" customHeight="1">
      <c r="A38" s="1"/>
      <c r="B38" s="1"/>
      <c r="C38" s="7"/>
      <c r="D38" s="24"/>
      <c r="E38" s="25"/>
      <c r="F38" s="26"/>
      <c r="G38" s="26"/>
      <c r="H38" s="26"/>
      <c r="I38" s="26"/>
      <c r="J38" s="26"/>
      <c r="K38" s="26"/>
      <c r="L38" s="26"/>
      <c r="M38" s="26"/>
      <c r="N38" s="26"/>
      <c r="O38" s="27"/>
      <c r="P38" s="23"/>
      <c r="Q38" s="28"/>
      <c r="R38" s="28"/>
      <c r="S38" s="28"/>
      <c r="T38" s="28"/>
      <c r="U38" s="28"/>
      <c r="V38" s="28"/>
      <c r="W38" s="28"/>
      <c r="X38" s="28"/>
      <c r="Y38" s="28"/>
      <c r="Z38" s="27"/>
      <c r="AA38" s="27"/>
      <c r="AB38" s="12"/>
      <c r="AC38" s="1"/>
      <c r="AD38" s="1"/>
    </row>
    <row r="39" ht="6.75" customHeight="1">
      <c r="A39" s="1"/>
      <c r="B39" s="1"/>
      <c r="C39" s="7"/>
      <c r="D39" s="16"/>
      <c r="E39" s="1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12"/>
      <c r="AC39" s="1"/>
      <c r="AD39" s="1"/>
    </row>
    <row r="40" ht="27.75" customHeight="1">
      <c r="A40" s="1"/>
      <c r="B40" s="1"/>
      <c r="C40" s="7"/>
      <c r="D40" s="29" t="s">
        <v>11</v>
      </c>
      <c r="E40" s="30"/>
      <c r="F40" s="31" t="str">
        <f t="shared" ref="F40:N40" si="39">IF(F36="","",MIN(IF(F35="**",F36-2,IF(F35="*",F36-1,F36)),(IF(F37="**",F38-2,IF(F37="*",F38-1,F38)))))</f>
        <v/>
      </c>
      <c r="G40" s="31" t="str">
        <f t="shared" si="39"/>
        <v/>
      </c>
      <c r="H40" s="31" t="str">
        <f t="shared" si="39"/>
        <v/>
      </c>
      <c r="I40" s="31" t="str">
        <f t="shared" si="39"/>
        <v/>
      </c>
      <c r="J40" s="31" t="str">
        <f t="shared" si="39"/>
        <v/>
      </c>
      <c r="K40" s="31" t="str">
        <f t="shared" si="39"/>
        <v/>
      </c>
      <c r="L40" s="31" t="str">
        <f t="shared" si="39"/>
        <v/>
      </c>
      <c r="M40" s="31" t="str">
        <f t="shared" si="39"/>
        <v/>
      </c>
      <c r="N40" s="31" t="str">
        <f t="shared" si="39"/>
        <v/>
      </c>
      <c r="O40" s="31" t="str">
        <f t="shared" ref="O40:O41" si="42">IF(F40="","",SUM(F40:N40))</f>
        <v/>
      </c>
      <c r="P40" s="23"/>
      <c r="Q40" s="31" t="str">
        <f t="shared" ref="Q40:Y40" si="40">IF(Q36="","",MIN(IF(Q35="**",Q36-2,IF(Q35="*",Q36-1,Q36)),(IF(Q37="**",Q38-2,IF(Q37="*",Q38-1,Q38)))))</f>
        <v/>
      </c>
      <c r="R40" s="31" t="str">
        <f t="shared" si="40"/>
        <v/>
      </c>
      <c r="S40" s="31" t="str">
        <f t="shared" si="40"/>
        <v/>
      </c>
      <c r="T40" s="31" t="str">
        <f t="shared" si="40"/>
        <v/>
      </c>
      <c r="U40" s="31" t="str">
        <f t="shared" si="40"/>
        <v/>
      </c>
      <c r="V40" s="31" t="str">
        <f t="shared" si="40"/>
        <v/>
      </c>
      <c r="W40" s="31" t="str">
        <f t="shared" si="40"/>
        <v/>
      </c>
      <c r="X40" s="31" t="str">
        <f t="shared" si="40"/>
        <v/>
      </c>
      <c r="Y40" s="31" t="str">
        <f t="shared" si="40"/>
        <v/>
      </c>
      <c r="Z40" s="32" t="str">
        <f t="shared" ref="Z40:Z41" si="44">IF(Q40="","",SUM(Q40:Y40))</f>
        <v/>
      </c>
      <c r="AA40" s="31" t="str">
        <f t="shared" ref="AA40:AA41" si="45">IF(Z40="","",Z40+O40)</f>
        <v/>
      </c>
      <c r="AB40" s="12"/>
      <c r="AC40" s="1"/>
      <c r="AD40" s="1"/>
    </row>
    <row r="41" ht="27.75" customHeight="1">
      <c r="A41" s="1"/>
      <c r="B41" s="1"/>
      <c r="C41" s="7"/>
      <c r="D41" s="29" t="s">
        <v>12</v>
      </c>
      <c r="E41" s="30"/>
      <c r="F41" s="33" t="str">
        <f t="shared" ref="F41:N41" si="41">IF(F40="","",IF(F40=F48,0.5,IF(F40&lt;F48,1,0)))</f>
        <v/>
      </c>
      <c r="G41" s="33" t="str">
        <f t="shared" si="41"/>
        <v/>
      </c>
      <c r="H41" s="33" t="str">
        <f t="shared" si="41"/>
        <v/>
      </c>
      <c r="I41" s="33" t="str">
        <f t="shared" si="41"/>
        <v/>
      </c>
      <c r="J41" s="33" t="str">
        <f t="shared" si="41"/>
        <v/>
      </c>
      <c r="K41" s="33" t="str">
        <f t="shared" si="41"/>
        <v/>
      </c>
      <c r="L41" s="33" t="str">
        <f t="shared" si="41"/>
        <v/>
      </c>
      <c r="M41" s="33" t="str">
        <f t="shared" si="41"/>
        <v/>
      </c>
      <c r="N41" s="33" t="str">
        <f t="shared" si="41"/>
        <v/>
      </c>
      <c r="O41" s="33" t="str">
        <f t="shared" si="42"/>
        <v/>
      </c>
      <c r="P41" s="23"/>
      <c r="Q41" s="33" t="str">
        <f t="shared" ref="Q41:Y41" si="43">IF(Q40="","",IF(Q40=Q48,0.5,IF(Q40&lt;Q48,1,0)))</f>
        <v/>
      </c>
      <c r="R41" s="33" t="str">
        <f t="shared" si="43"/>
        <v/>
      </c>
      <c r="S41" s="33" t="str">
        <f t="shared" si="43"/>
        <v/>
      </c>
      <c r="T41" s="33" t="str">
        <f t="shared" si="43"/>
        <v/>
      </c>
      <c r="U41" s="33" t="str">
        <f t="shared" si="43"/>
        <v/>
      </c>
      <c r="V41" s="33" t="str">
        <f t="shared" si="43"/>
        <v/>
      </c>
      <c r="W41" s="33" t="str">
        <f t="shared" si="43"/>
        <v/>
      </c>
      <c r="X41" s="33" t="str">
        <f t="shared" si="43"/>
        <v/>
      </c>
      <c r="Y41" s="33" t="str">
        <f t="shared" si="43"/>
        <v/>
      </c>
      <c r="Z41" s="34" t="str">
        <f t="shared" si="44"/>
        <v/>
      </c>
      <c r="AA41" s="33" t="str">
        <f t="shared" si="45"/>
        <v/>
      </c>
      <c r="AB41" s="12"/>
      <c r="AC41" s="1"/>
      <c r="AD41" s="1"/>
    </row>
    <row r="42" ht="6.75" customHeight="1">
      <c r="A42" s="1"/>
      <c r="B42" s="1"/>
      <c r="C42" s="7"/>
      <c r="D42" s="16"/>
      <c r="E42" s="1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12"/>
      <c r="AC42" s="1"/>
      <c r="AD42" s="1"/>
    </row>
    <row r="43" ht="11.25" customHeight="1">
      <c r="A43" s="1"/>
      <c r="B43" s="1"/>
      <c r="C43" s="7"/>
      <c r="D43" s="19"/>
      <c r="E43" s="20" t="str">
        <f>IFERROR(VLOOKUP(D43,HANDICAPS!$B$8:$G$23,$B$3,FALSE),"")</f>
        <v/>
      </c>
      <c r="F43" s="21" t="str">
        <f t="shared" ref="F43:N43" si="46">IFERROR(IF($E43&gt;18,IF(($E43-18)&gt;F$33,"**","*"),IF($E43&gt;=F$8,"*","")),"")</f>
        <v>*</v>
      </c>
      <c r="G43" s="21" t="str">
        <f t="shared" si="46"/>
        <v>*</v>
      </c>
      <c r="H43" s="21" t="str">
        <f t="shared" si="46"/>
        <v>*</v>
      </c>
      <c r="I43" s="21" t="str">
        <f t="shared" si="46"/>
        <v>*</v>
      </c>
      <c r="J43" s="21" t="str">
        <f t="shared" si="46"/>
        <v>*</v>
      </c>
      <c r="K43" s="21" t="str">
        <f t="shared" si="46"/>
        <v>*</v>
      </c>
      <c r="L43" s="21" t="str">
        <f t="shared" si="46"/>
        <v>*</v>
      </c>
      <c r="M43" s="21" t="str">
        <f t="shared" si="46"/>
        <v>*</v>
      </c>
      <c r="N43" s="21" t="str">
        <f t="shared" si="46"/>
        <v>*</v>
      </c>
      <c r="O43" s="22" t="str">
        <f>IF(F44="","",SUM(F44:N44))</f>
        <v/>
      </c>
      <c r="P43" s="23"/>
      <c r="Q43" s="21" t="str">
        <f t="shared" ref="Q43:Y43" si="47">IFERROR(IF($E43&gt;18,IF(($E43-18)&gt;Q$33,"**","*"),IF($E43&gt;=Q$8,"*","")),"")</f>
        <v>*</v>
      </c>
      <c r="R43" s="21" t="str">
        <f t="shared" si="47"/>
        <v>*</v>
      </c>
      <c r="S43" s="21" t="str">
        <f t="shared" si="47"/>
        <v>*</v>
      </c>
      <c r="T43" s="21" t="str">
        <f t="shared" si="47"/>
        <v>*</v>
      </c>
      <c r="U43" s="21" t="str">
        <f t="shared" si="47"/>
        <v>*</v>
      </c>
      <c r="V43" s="21" t="str">
        <f t="shared" si="47"/>
        <v>*</v>
      </c>
      <c r="W43" s="21" t="str">
        <f t="shared" si="47"/>
        <v>*</v>
      </c>
      <c r="X43" s="21" t="str">
        <f t="shared" si="47"/>
        <v>*</v>
      </c>
      <c r="Y43" s="21" t="str">
        <f t="shared" si="47"/>
        <v>*</v>
      </c>
      <c r="Z43" s="22" t="str">
        <f>IF(Q44="","",SUM(Q44:Y44))</f>
        <v/>
      </c>
      <c r="AA43" s="22" t="str">
        <f>IF(Z43="","",SUM(O43,Z43))</f>
        <v/>
      </c>
      <c r="AB43" s="12"/>
      <c r="AC43" s="1"/>
      <c r="AD43" s="1"/>
    </row>
    <row r="44" ht="18.75" customHeight="1">
      <c r="A44" s="1"/>
      <c r="B44" s="1"/>
      <c r="C44" s="7"/>
      <c r="D44" s="24"/>
      <c r="E44" s="25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23"/>
      <c r="Q44" s="28"/>
      <c r="R44" s="28"/>
      <c r="S44" s="28"/>
      <c r="T44" s="28"/>
      <c r="U44" s="28"/>
      <c r="V44" s="28"/>
      <c r="W44" s="28"/>
      <c r="X44" s="28"/>
      <c r="Y44" s="28"/>
      <c r="Z44" s="27"/>
      <c r="AA44" s="27"/>
      <c r="AB44" s="12"/>
      <c r="AC44" s="1"/>
      <c r="AD44" s="1"/>
    </row>
    <row r="45" ht="11.25" customHeight="1">
      <c r="A45" s="1"/>
      <c r="B45" s="1"/>
      <c r="C45" s="7"/>
      <c r="D45" s="19"/>
      <c r="E45" s="20" t="str">
        <f>IFERROR(VLOOKUP(D45,HANDICAPS!$B$8:$G$23,$B$3,FALSE),"")</f>
        <v/>
      </c>
      <c r="F45" s="21" t="str">
        <f t="shared" ref="F45:N45" si="48">IFERROR(IF($E45&gt;18,IF(($E45-18)&gt;F$33,"**","*"),IF($E45&gt;=F$8,"*","")),"")</f>
        <v>*</v>
      </c>
      <c r="G45" s="21" t="str">
        <f t="shared" si="48"/>
        <v>*</v>
      </c>
      <c r="H45" s="21" t="str">
        <f t="shared" si="48"/>
        <v>*</v>
      </c>
      <c r="I45" s="21" t="str">
        <f t="shared" si="48"/>
        <v>*</v>
      </c>
      <c r="J45" s="21" t="str">
        <f t="shared" si="48"/>
        <v>*</v>
      </c>
      <c r="K45" s="21" t="str">
        <f t="shared" si="48"/>
        <v>*</v>
      </c>
      <c r="L45" s="21" t="str">
        <f t="shared" si="48"/>
        <v>*</v>
      </c>
      <c r="M45" s="21" t="str">
        <f t="shared" si="48"/>
        <v>*</v>
      </c>
      <c r="N45" s="21" t="str">
        <f t="shared" si="48"/>
        <v>*</v>
      </c>
      <c r="O45" s="22" t="str">
        <f>IF(F46="","",SUM(F46:N46))</f>
        <v/>
      </c>
      <c r="P45" s="23"/>
      <c r="Q45" s="21" t="str">
        <f t="shared" ref="Q45:Y45" si="49">IFERROR(IF($E45&gt;18,IF(($E45-18)&gt;Q$33,"**","*"),IF($E45&gt;=Q$8,"*","")),"")</f>
        <v>*</v>
      </c>
      <c r="R45" s="21" t="str">
        <f t="shared" si="49"/>
        <v>*</v>
      </c>
      <c r="S45" s="21" t="str">
        <f t="shared" si="49"/>
        <v>*</v>
      </c>
      <c r="T45" s="21" t="str">
        <f t="shared" si="49"/>
        <v>*</v>
      </c>
      <c r="U45" s="21" t="str">
        <f t="shared" si="49"/>
        <v>*</v>
      </c>
      <c r="V45" s="21" t="str">
        <f t="shared" si="49"/>
        <v>*</v>
      </c>
      <c r="W45" s="21" t="str">
        <f t="shared" si="49"/>
        <v>*</v>
      </c>
      <c r="X45" s="21" t="str">
        <f t="shared" si="49"/>
        <v>*</v>
      </c>
      <c r="Y45" s="21" t="str">
        <f t="shared" si="49"/>
        <v>*</v>
      </c>
      <c r="Z45" s="22" t="str">
        <f>IF(Q46="","",SUM(Q46:Y46))</f>
        <v/>
      </c>
      <c r="AA45" s="22" t="str">
        <f>IF(Z45="","",SUM(O45,Z45))</f>
        <v/>
      </c>
      <c r="AB45" s="12"/>
      <c r="AC45" s="1"/>
      <c r="AD45" s="1"/>
    </row>
    <row r="46" ht="18.75" customHeight="1">
      <c r="A46" s="1"/>
      <c r="B46" s="1"/>
      <c r="C46" s="7"/>
      <c r="D46" s="24"/>
      <c r="E46" s="25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23"/>
      <c r="Q46" s="28"/>
      <c r="R46" s="28"/>
      <c r="S46" s="28"/>
      <c r="T46" s="28"/>
      <c r="U46" s="28"/>
      <c r="V46" s="28"/>
      <c r="W46" s="28"/>
      <c r="X46" s="28"/>
      <c r="Y46" s="28"/>
      <c r="Z46" s="27"/>
      <c r="AA46" s="27"/>
      <c r="AB46" s="12"/>
      <c r="AC46" s="1"/>
      <c r="AD46" s="1"/>
    </row>
    <row r="47" ht="6.75" customHeight="1">
      <c r="A47" s="1"/>
      <c r="B47" s="1"/>
      <c r="C47" s="7"/>
      <c r="D47" s="16"/>
      <c r="E47" s="16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12"/>
      <c r="AC47" s="1"/>
      <c r="AD47" s="1"/>
    </row>
    <row r="48" ht="27.75" customHeight="1">
      <c r="A48" s="1"/>
      <c r="B48" s="1"/>
      <c r="C48" s="7"/>
      <c r="D48" s="29" t="s">
        <v>11</v>
      </c>
      <c r="E48" s="30"/>
      <c r="F48" s="31" t="str">
        <f t="shared" ref="F48:N48" si="50">IF(F44="","",MIN(IF(F43="**",F44-2,IF(F43="*",F44-1,F44)),(IF(F45="**",F46-2,IF(F45="*",F46-1,F46)))))</f>
        <v/>
      </c>
      <c r="G48" s="31" t="str">
        <f t="shared" si="50"/>
        <v/>
      </c>
      <c r="H48" s="31" t="str">
        <f t="shared" si="50"/>
        <v/>
      </c>
      <c r="I48" s="31" t="str">
        <f t="shared" si="50"/>
        <v/>
      </c>
      <c r="J48" s="31" t="str">
        <f t="shared" si="50"/>
        <v/>
      </c>
      <c r="K48" s="31" t="str">
        <f t="shared" si="50"/>
        <v/>
      </c>
      <c r="L48" s="31" t="str">
        <f t="shared" si="50"/>
        <v/>
      </c>
      <c r="M48" s="31" t="str">
        <f t="shared" si="50"/>
        <v/>
      </c>
      <c r="N48" s="31" t="str">
        <f t="shared" si="50"/>
        <v/>
      </c>
      <c r="O48" s="31" t="str">
        <f t="shared" ref="O48:O49" si="53">IF(F48="","",SUM(F48:N48))</f>
        <v/>
      </c>
      <c r="P48" s="23"/>
      <c r="Q48" s="31" t="str">
        <f t="shared" ref="Q48:Y48" si="51">IF(Q44="","",MIN(IF(Q43="**",Q44-2,IF(Q43="*",Q44-1,Q44)),(IF(Q45="**",Q46-2,IF(Q45="*",Q46-1,Q46)))))</f>
        <v/>
      </c>
      <c r="R48" s="31" t="str">
        <f t="shared" si="51"/>
        <v/>
      </c>
      <c r="S48" s="31" t="str">
        <f t="shared" si="51"/>
        <v/>
      </c>
      <c r="T48" s="31" t="str">
        <f t="shared" si="51"/>
        <v/>
      </c>
      <c r="U48" s="31" t="str">
        <f t="shared" si="51"/>
        <v/>
      </c>
      <c r="V48" s="31" t="str">
        <f t="shared" si="51"/>
        <v/>
      </c>
      <c r="W48" s="31" t="str">
        <f t="shared" si="51"/>
        <v/>
      </c>
      <c r="X48" s="31" t="str">
        <f t="shared" si="51"/>
        <v/>
      </c>
      <c r="Y48" s="31" t="str">
        <f t="shared" si="51"/>
        <v/>
      </c>
      <c r="Z48" s="31" t="str">
        <f t="shared" ref="Z48:Z49" si="55">IF(Q48="","",SUM(Q48:Y48))</f>
        <v/>
      </c>
      <c r="AA48" s="31" t="str">
        <f t="shared" ref="AA48:AA49" si="56">IF(Z48="","",Z48+O48)</f>
        <v/>
      </c>
      <c r="AB48" s="12"/>
      <c r="AC48" s="1"/>
      <c r="AD48" s="1"/>
    </row>
    <row r="49" ht="27.75" customHeight="1">
      <c r="A49" s="1"/>
      <c r="B49" s="1"/>
      <c r="C49" s="7"/>
      <c r="D49" s="29" t="s">
        <v>12</v>
      </c>
      <c r="E49" s="30"/>
      <c r="F49" s="33" t="str">
        <f t="shared" ref="F49:N49" si="52">IF(F48="","",IF(F48=F40,0.5,IF(F48&lt;F40,1,0)))</f>
        <v/>
      </c>
      <c r="G49" s="33" t="str">
        <f t="shared" si="52"/>
        <v/>
      </c>
      <c r="H49" s="33" t="str">
        <f t="shared" si="52"/>
        <v/>
      </c>
      <c r="I49" s="33" t="str">
        <f t="shared" si="52"/>
        <v/>
      </c>
      <c r="J49" s="33" t="str">
        <f t="shared" si="52"/>
        <v/>
      </c>
      <c r="K49" s="33" t="str">
        <f t="shared" si="52"/>
        <v/>
      </c>
      <c r="L49" s="33" t="str">
        <f t="shared" si="52"/>
        <v/>
      </c>
      <c r="M49" s="33" t="str">
        <f t="shared" si="52"/>
        <v/>
      </c>
      <c r="N49" s="33" t="str">
        <f t="shared" si="52"/>
        <v/>
      </c>
      <c r="O49" s="33" t="str">
        <f t="shared" si="53"/>
        <v/>
      </c>
      <c r="P49" s="23"/>
      <c r="Q49" s="33" t="str">
        <f t="shared" ref="Q49:Y49" si="54">IF(Q48="","",IF(Q48=Q40,0.5,IF(Q48&lt;Q40,1,0)))</f>
        <v/>
      </c>
      <c r="R49" s="33" t="str">
        <f t="shared" si="54"/>
        <v/>
      </c>
      <c r="S49" s="33" t="str">
        <f t="shared" si="54"/>
        <v/>
      </c>
      <c r="T49" s="33" t="str">
        <f t="shared" si="54"/>
        <v/>
      </c>
      <c r="U49" s="33" t="str">
        <f t="shared" si="54"/>
        <v/>
      </c>
      <c r="V49" s="33" t="str">
        <f t="shared" si="54"/>
        <v/>
      </c>
      <c r="W49" s="33" t="str">
        <f t="shared" si="54"/>
        <v/>
      </c>
      <c r="X49" s="33" t="str">
        <f t="shared" si="54"/>
        <v/>
      </c>
      <c r="Y49" s="33" t="str">
        <f t="shared" si="54"/>
        <v/>
      </c>
      <c r="Z49" s="33" t="str">
        <f t="shared" si="55"/>
        <v/>
      </c>
      <c r="AA49" s="33" t="str">
        <f t="shared" si="56"/>
        <v/>
      </c>
      <c r="AB49" s="12"/>
      <c r="AC49" s="1"/>
      <c r="AD49" s="1"/>
    </row>
    <row r="50" ht="6.75" customHeight="1">
      <c r="A50" s="1"/>
      <c r="B50" s="1"/>
      <c r="C50" s="35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7"/>
      <c r="AC50" s="1"/>
      <c r="AD50" s="1"/>
    </row>
    <row r="51" ht="6.75" customHeight="1">
      <c r="A51" s="1"/>
      <c r="B51" s="1"/>
      <c r="C51" s="3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6.75" customHeight="1">
      <c r="A52" s="1"/>
      <c r="B52" s="1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1"/>
      <c r="AD52" s="1"/>
    </row>
    <row r="53" ht="15.75" customHeight="1">
      <c r="A53" s="1"/>
      <c r="B53" s="1"/>
      <c r="C53" s="7"/>
      <c r="D53" s="8" t="str">
        <f>D28</f>
        <v>Course</v>
      </c>
      <c r="E53" s="6"/>
      <c r="F53" s="6"/>
      <c r="G53" s="6"/>
      <c r="H53" s="9"/>
      <c r="I53" s="9"/>
      <c r="J53" s="9"/>
      <c r="K53" s="10" t="str">
        <f>K28</f>
        <v>Pure Michigan Open 2k21</v>
      </c>
      <c r="U53" s="11"/>
      <c r="V53" s="11"/>
      <c r="W53" s="11"/>
      <c r="X53" s="11"/>
      <c r="Y53" s="1"/>
      <c r="Z53" s="1"/>
      <c r="AA53" s="1"/>
      <c r="AB53" s="12"/>
      <c r="AC53" s="1"/>
      <c r="AD53" s="1"/>
    </row>
    <row r="54" ht="18.75" customHeight="1">
      <c r="A54" s="1"/>
      <c r="B54" s="1"/>
      <c r="C54" s="7"/>
      <c r="D54" s="1"/>
      <c r="E54" s="1"/>
      <c r="F54" s="1"/>
      <c r="G54" s="1"/>
      <c r="H54" s="13" t="str">
        <f>H29</f>
        <v>Front</v>
      </c>
      <c r="I54" s="14"/>
      <c r="J54" s="14"/>
      <c r="K54" s="14"/>
      <c r="L54" s="14"/>
      <c r="M54" s="1"/>
      <c r="N54" s="1"/>
      <c r="O54" s="1"/>
      <c r="P54" s="1"/>
      <c r="Q54" s="1"/>
      <c r="R54" s="1"/>
      <c r="S54" s="1"/>
      <c r="T54" s="13" t="str">
        <f>T29</f>
        <v>Back</v>
      </c>
      <c r="U54" s="14"/>
      <c r="V54" s="14"/>
      <c r="W54" s="14"/>
      <c r="X54" s="14"/>
      <c r="Y54" s="1"/>
      <c r="Z54" s="1"/>
      <c r="AA54" s="1"/>
      <c r="AB54" s="12"/>
      <c r="AC54" s="1"/>
      <c r="AD54" s="1"/>
    </row>
    <row r="55" ht="15.0" customHeight="1">
      <c r="A55" s="1"/>
      <c r="B55" s="1"/>
      <c r="C55" s="7"/>
      <c r="D55" s="1"/>
      <c r="E55" s="15" t="s">
        <v>4</v>
      </c>
      <c r="F55" s="15">
        <f t="shared" ref="F55:O55" si="57">F30</f>
        <v>1</v>
      </c>
      <c r="G55" s="15">
        <f t="shared" si="57"/>
        <v>2</v>
      </c>
      <c r="H55" s="15">
        <f t="shared" si="57"/>
        <v>3</v>
      </c>
      <c r="I55" s="15">
        <f t="shared" si="57"/>
        <v>4</v>
      </c>
      <c r="J55" s="15">
        <f t="shared" si="57"/>
        <v>5</v>
      </c>
      <c r="K55" s="15">
        <f t="shared" si="57"/>
        <v>6</v>
      </c>
      <c r="L55" s="15">
        <f t="shared" si="57"/>
        <v>7</v>
      </c>
      <c r="M55" s="15">
        <f t="shared" si="57"/>
        <v>8</v>
      </c>
      <c r="N55" s="15">
        <f t="shared" si="57"/>
        <v>9</v>
      </c>
      <c r="O55" s="15" t="str">
        <f t="shared" si="57"/>
        <v>Out</v>
      </c>
      <c r="P55" s="16"/>
      <c r="Q55" s="15">
        <f t="shared" ref="Q55:Z55" si="58">Q30</f>
        <v>10</v>
      </c>
      <c r="R55" s="15">
        <f t="shared" si="58"/>
        <v>11</v>
      </c>
      <c r="S55" s="15">
        <f t="shared" si="58"/>
        <v>12</v>
      </c>
      <c r="T55" s="15">
        <f t="shared" si="58"/>
        <v>13</v>
      </c>
      <c r="U55" s="15">
        <f t="shared" si="58"/>
        <v>14</v>
      </c>
      <c r="V55" s="15">
        <f t="shared" si="58"/>
        <v>15</v>
      </c>
      <c r="W55" s="15">
        <f t="shared" si="58"/>
        <v>16</v>
      </c>
      <c r="X55" s="15">
        <f t="shared" si="58"/>
        <v>17</v>
      </c>
      <c r="Y55" s="15">
        <f t="shared" si="58"/>
        <v>18</v>
      </c>
      <c r="Z55" s="15" t="str">
        <f t="shared" si="58"/>
        <v>In</v>
      </c>
      <c r="AA55" s="15" t="s">
        <v>7</v>
      </c>
      <c r="AB55" s="12"/>
      <c r="AC55" s="1"/>
      <c r="AD55" s="1"/>
    </row>
    <row r="56" ht="15.0" customHeight="1">
      <c r="A56" s="1"/>
      <c r="B56" s="1"/>
      <c r="C56" s="7"/>
      <c r="D56" s="1"/>
      <c r="E56" s="15" t="str">
        <f t="shared" ref="E56:O56" si="59">E31</f>
        <v>Color</v>
      </c>
      <c r="F56" s="15" t="str">
        <f t="shared" si="59"/>
        <v/>
      </c>
      <c r="G56" s="15" t="str">
        <f t="shared" si="59"/>
        <v/>
      </c>
      <c r="H56" s="15" t="str">
        <f t="shared" si="59"/>
        <v/>
      </c>
      <c r="I56" s="15" t="str">
        <f t="shared" si="59"/>
        <v/>
      </c>
      <c r="J56" s="15" t="str">
        <f t="shared" si="59"/>
        <v/>
      </c>
      <c r="K56" s="15" t="str">
        <f t="shared" si="59"/>
        <v/>
      </c>
      <c r="L56" s="15" t="str">
        <f t="shared" si="59"/>
        <v/>
      </c>
      <c r="M56" s="15" t="str">
        <f t="shared" si="59"/>
        <v/>
      </c>
      <c r="N56" s="15" t="str">
        <f t="shared" si="59"/>
        <v/>
      </c>
      <c r="O56" s="15">
        <f t="shared" si="59"/>
        <v>0</v>
      </c>
      <c r="P56" s="17"/>
      <c r="Q56" s="15" t="str">
        <f t="shared" ref="Q56:Z56" si="60">Q31</f>
        <v/>
      </c>
      <c r="R56" s="15" t="str">
        <f t="shared" si="60"/>
        <v/>
      </c>
      <c r="S56" s="15" t="str">
        <f t="shared" si="60"/>
        <v/>
      </c>
      <c r="T56" s="15" t="str">
        <f t="shared" si="60"/>
        <v/>
      </c>
      <c r="U56" s="15" t="str">
        <f t="shared" si="60"/>
        <v/>
      </c>
      <c r="V56" s="15" t="str">
        <f t="shared" si="60"/>
        <v/>
      </c>
      <c r="W56" s="15" t="str">
        <f t="shared" si="60"/>
        <v/>
      </c>
      <c r="X56" s="15" t="str">
        <f t="shared" si="60"/>
        <v/>
      </c>
      <c r="Y56" s="15" t="str">
        <f t="shared" si="60"/>
        <v/>
      </c>
      <c r="Z56" s="15">
        <f t="shared" si="60"/>
        <v>0</v>
      </c>
      <c r="AA56" s="15">
        <f t="shared" ref="AA56:AA57" si="63">Z56+O56</f>
        <v>0</v>
      </c>
      <c r="AB56" s="12"/>
      <c r="AC56" s="1"/>
      <c r="AD56" s="1"/>
    </row>
    <row r="57" ht="15.0" customHeight="1">
      <c r="A57" s="1"/>
      <c r="B57" s="1"/>
      <c r="C57" s="7"/>
      <c r="D57" s="1"/>
      <c r="E57" s="15" t="s">
        <v>9</v>
      </c>
      <c r="F57" s="15" t="str">
        <f t="shared" ref="F57:O57" si="61">F32</f>
        <v/>
      </c>
      <c r="G57" s="15" t="str">
        <f t="shared" si="61"/>
        <v/>
      </c>
      <c r="H57" s="15" t="str">
        <f t="shared" si="61"/>
        <v/>
      </c>
      <c r="I57" s="15" t="str">
        <f t="shared" si="61"/>
        <v/>
      </c>
      <c r="J57" s="15" t="str">
        <f t="shared" si="61"/>
        <v/>
      </c>
      <c r="K57" s="15" t="str">
        <f t="shared" si="61"/>
        <v/>
      </c>
      <c r="L57" s="15" t="str">
        <f t="shared" si="61"/>
        <v/>
      </c>
      <c r="M57" s="15" t="str">
        <f t="shared" si="61"/>
        <v/>
      </c>
      <c r="N57" s="15" t="str">
        <f t="shared" si="61"/>
        <v/>
      </c>
      <c r="O57" s="15">
        <f t="shared" si="61"/>
        <v>0</v>
      </c>
      <c r="P57" s="17"/>
      <c r="Q57" s="15" t="str">
        <f t="shared" ref="Q57:Z57" si="62">Q32</f>
        <v/>
      </c>
      <c r="R57" s="15" t="str">
        <f t="shared" si="62"/>
        <v/>
      </c>
      <c r="S57" s="15" t="str">
        <f t="shared" si="62"/>
        <v/>
      </c>
      <c r="T57" s="15" t="str">
        <f t="shared" si="62"/>
        <v/>
      </c>
      <c r="U57" s="15" t="str">
        <f t="shared" si="62"/>
        <v/>
      </c>
      <c r="V57" s="15" t="str">
        <f t="shared" si="62"/>
        <v/>
      </c>
      <c r="W57" s="15" t="str">
        <f t="shared" si="62"/>
        <v/>
      </c>
      <c r="X57" s="15" t="str">
        <f t="shared" si="62"/>
        <v/>
      </c>
      <c r="Y57" s="15" t="str">
        <f t="shared" si="62"/>
        <v/>
      </c>
      <c r="Z57" s="15">
        <f t="shared" si="62"/>
        <v>0</v>
      </c>
      <c r="AA57" s="15">
        <f t="shared" si="63"/>
        <v>0</v>
      </c>
      <c r="AB57" s="12"/>
      <c r="AC57" s="1"/>
      <c r="AD57" s="1"/>
    </row>
    <row r="58" ht="15.0" customHeight="1">
      <c r="A58" s="1"/>
      <c r="B58" s="1"/>
      <c r="C58" s="7"/>
      <c r="D58" s="1"/>
      <c r="E58" s="15" t="s">
        <v>10</v>
      </c>
      <c r="F58" s="15" t="str">
        <f t="shared" ref="F58:N58" si="64">F33</f>
        <v/>
      </c>
      <c r="G58" s="15" t="str">
        <f t="shared" si="64"/>
        <v/>
      </c>
      <c r="H58" s="15" t="str">
        <f t="shared" si="64"/>
        <v/>
      </c>
      <c r="I58" s="15" t="str">
        <f t="shared" si="64"/>
        <v/>
      </c>
      <c r="J58" s="15" t="str">
        <f t="shared" si="64"/>
        <v/>
      </c>
      <c r="K58" s="15" t="str">
        <f t="shared" si="64"/>
        <v/>
      </c>
      <c r="L58" s="15" t="str">
        <f t="shared" si="64"/>
        <v/>
      </c>
      <c r="M58" s="15" t="str">
        <f t="shared" si="64"/>
        <v/>
      </c>
      <c r="N58" s="15" t="str">
        <f t="shared" si="64"/>
        <v/>
      </c>
      <c r="O58" s="15"/>
      <c r="P58" s="17"/>
      <c r="Q58" s="15" t="str">
        <f t="shared" ref="Q58:Y58" si="65">Q33</f>
        <v/>
      </c>
      <c r="R58" s="15" t="str">
        <f t="shared" si="65"/>
        <v/>
      </c>
      <c r="S58" s="15" t="str">
        <f t="shared" si="65"/>
        <v/>
      </c>
      <c r="T58" s="15" t="str">
        <f t="shared" si="65"/>
        <v/>
      </c>
      <c r="U58" s="15" t="str">
        <f t="shared" si="65"/>
        <v/>
      </c>
      <c r="V58" s="15" t="str">
        <f t="shared" si="65"/>
        <v/>
      </c>
      <c r="W58" s="15" t="str">
        <f t="shared" si="65"/>
        <v/>
      </c>
      <c r="X58" s="15" t="str">
        <f t="shared" si="65"/>
        <v/>
      </c>
      <c r="Y58" s="15" t="str">
        <f t="shared" si="65"/>
        <v/>
      </c>
      <c r="Z58" s="15"/>
      <c r="AA58" s="18"/>
      <c r="AB58" s="12"/>
      <c r="AC58" s="1"/>
      <c r="AD58" s="1"/>
    </row>
    <row r="59" ht="6.75" customHeight="1">
      <c r="A59" s="1"/>
      <c r="B59" s="1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2"/>
      <c r="AC59" s="1"/>
      <c r="AD59" s="1"/>
    </row>
    <row r="60" ht="11.25" customHeight="1">
      <c r="A60" s="1"/>
      <c r="B60" s="1"/>
      <c r="C60" s="7"/>
      <c r="D60" s="19"/>
      <c r="E60" s="20" t="str">
        <f>IFERROR(VLOOKUP(D60,HANDICAPS!$B$8:$G$23,$B$3,FALSE),"")</f>
        <v/>
      </c>
      <c r="F60" s="21" t="str">
        <f t="shared" ref="F60:N60" si="66">IFERROR(IF($E60&gt;18,IF(($E60-18)&gt;F$33,"**","*"),IF($E60&gt;=F$8,"*","")),"")</f>
        <v>*</v>
      </c>
      <c r="G60" s="21" t="str">
        <f t="shared" si="66"/>
        <v>*</v>
      </c>
      <c r="H60" s="21" t="str">
        <f t="shared" si="66"/>
        <v>*</v>
      </c>
      <c r="I60" s="21" t="str">
        <f t="shared" si="66"/>
        <v>*</v>
      </c>
      <c r="J60" s="21" t="str">
        <f t="shared" si="66"/>
        <v>*</v>
      </c>
      <c r="K60" s="21" t="str">
        <f t="shared" si="66"/>
        <v>*</v>
      </c>
      <c r="L60" s="21" t="str">
        <f t="shared" si="66"/>
        <v>*</v>
      </c>
      <c r="M60" s="21" t="str">
        <f t="shared" si="66"/>
        <v>*</v>
      </c>
      <c r="N60" s="21" t="str">
        <f t="shared" si="66"/>
        <v>*</v>
      </c>
      <c r="O60" s="22" t="str">
        <f>IF(F61="","",SUM(F61:N61))</f>
        <v/>
      </c>
      <c r="P60" s="23"/>
      <c r="Q60" s="21" t="str">
        <f t="shared" ref="Q60:Y60" si="67">IFERROR(IF($E60&gt;18,IF(($E60-18)&gt;Q$33,"**","*"),IF($E60&gt;=Q$8,"*","")),"")</f>
        <v>*</v>
      </c>
      <c r="R60" s="21" t="str">
        <f t="shared" si="67"/>
        <v>*</v>
      </c>
      <c r="S60" s="21" t="str">
        <f t="shared" si="67"/>
        <v>*</v>
      </c>
      <c r="T60" s="21" t="str">
        <f t="shared" si="67"/>
        <v>*</v>
      </c>
      <c r="U60" s="21" t="str">
        <f t="shared" si="67"/>
        <v>*</v>
      </c>
      <c r="V60" s="21" t="str">
        <f t="shared" si="67"/>
        <v>*</v>
      </c>
      <c r="W60" s="21" t="str">
        <f t="shared" si="67"/>
        <v>*</v>
      </c>
      <c r="X60" s="21" t="str">
        <f t="shared" si="67"/>
        <v>*</v>
      </c>
      <c r="Y60" s="21" t="str">
        <f t="shared" si="67"/>
        <v>*</v>
      </c>
      <c r="Z60" s="22" t="str">
        <f>IF(Q61="","",SUM(Q61:Y61))</f>
        <v/>
      </c>
      <c r="AA60" s="22" t="str">
        <f>IF(Z60="","",SUM(O60,Z60))</f>
        <v/>
      </c>
      <c r="AB60" s="12"/>
      <c r="AC60" s="1"/>
      <c r="AD60" s="1"/>
    </row>
    <row r="61" ht="18.75" customHeight="1">
      <c r="A61" s="1"/>
      <c r="B61" s="1"/>
      <c r="C61" s="7"/>
      <c r="D61" s="24"/>
      <c r="E61" s="25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23"/>
      <c r="Q61" s="28"/>
      <c r="R61" s="28"/>
      <c r="S61" s="28"/>
      <c r="T61" s="28"/>
      <c r="U61" s="28"/>
      <c r="V61" s="28"/>
      <c r="W61" s="28"/>
      <c r="X61" s="28"/>
      <c r="Y61" s="28"/>
      <c r="Z61" s="27"/>
      <c r="AA61" s="27"/>
      <c r="AB61" s="12"/>
      <c r="AC61" s="1"/>
      <c r="AD61" s="1"/>
    </row>
    <row r="62" ht="11.25" customHeight="1">
      <c r="A62" s="1"/>
      <c r="B62" s="1"/>
      <c r="C62" s="7"/>
      <c r="D62" s="19"/>
      <c r="E62" s="20" t="str">
        <f>IFERROR(VLOOKUP(D62,HANDICAPS!$B$8:$G$23,$B$3,FALSE),"")</f>
        <v/>
      </c>
      <c r="F62" s="21" t="str">
        <f t="shared" ref="F62:N62" si="68">IFERROR(IF($E62&gt;18,IF(($E62-18)&gt;F$33,"**","*"),IF($E62&gt;=F$8,"*","")),"")</f>
        <v>*</v>
      </c>
      <c r="G62" s="21" t="str">
        <f t="shared" si="68"/>
        <v>*</v>
      </c>
      <c r="H62" s="21" t="str">
        <f t="shared" si="68"/>
        <v>*</v>
      </c>
      <c r="I62" s="21" t="str">
        <f t="shared" si="68"/>
        <v>*</v>
      </c>
      <c r="J62" s="21" t="str">
        <f t="shared" si="68"/>
        <v>*</v>
      </c>
      <c r="K62" s="21" t="str">
        <f t="shared" si="68"/>
        <v>*</v>
      </c>
      <c r="L62" s="21" t="str">
        <f t="shared" si="68"/>
        <v>*</v>
      </c>
      <c r="M62" s="21" t="str">
        <f t="shared" si="68"/>
        <v>*</v>
      </c>
      <c r="N62" s="21" t="str">
        <f t="shared" si="68"/>
        <v>*</v>
      </c>
      <c r="O62" s="22" t="str">
        <f>IF(F63="","",SUM(F63:N63))</f>
        <v/>
      </c>
      <c r="P62" s="23"/>
      <c r="Q62" s="21" t="str">
        <f t="shared" ref="Q62:Y62" si="69">IFERROR(IF($E62&gt;18,IF(($E62-18)&gt;Q$33,"**","*"),IF($E62&gt;=Q$8,"*","")),"")</f>
        <v>*</v>
      </c>
      <c r="R62" s="21" t="str">
        <f t="shared" si="69"/>
        <v>*</v>
      </c>
      <c r="S62" s="21" t="str">
        <f t="shared" si="69"/>
        <v>*</v>
      </c>
      <c r="T62" s="21" t="str">
        <f t="shared" si="69"/>
        <v>*</v>
      </c>
      <c r="U62" s="21" t="str">
        <f t="shared" si="69"/>
        <v>*</v>
      </c>
      <c r="V62" s="21" t="str">
        <f t="shared" si="69"/>
        <v>*</v>
      </c>
      <c r="W62" s="21" t="str">
        <f t="shared" si="69"/>
        <v>*</v>
      </c>
      <c r="X62" s="21" t="str">
        <f t="shared" si="69"/>
        <v>*</v>
      </c>
      <c r="Y62" s="21" t="str">
        <f t="shared" si="69"/>
        <v>*</v>
      </c>
      <c r="Z62" s="22" t="str">
        <f>IF(Q63="","",SUM(Q63:Y63))</f>
        <v/>
      </c>
      <c r="AA62" s="22" t="str">
        <f>IF(Z62="","",SUM(O62,Z62))</f>
        <v/>
      </c>
      <c r="AB62" s="12"/>
      <c r="AC62" s="1"/>
      <c r="AD62" s="1"/>
    </row>
    <row r="63" ht="18.75" customHeight="1">
      <c r="A63" s="1"/>
      <c r="B63" s="1"/>
      <c r="C63" s="7"/>
      <c r="D63" s="24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7"/>
      <c r="P63" s="23"/>
      <c r="Q63" s="28"/>
      <c r="R63" s="28"/>
      <c r="S63" s="28"/>
      <c r="T63" s="28"/>
      <c r="U63" s="28"/>
      <c r="V63" s="28"/>
      <c r="W63" s="28"/>
      <c r="X63" s="28"/>
      <c r="Y63" s="28"/>
      <c r="Z63" s="27"/>
      <c r="AA63" s="27"/>
      <c r="AB63" s="12"/>
      <c r="AC63" s="1"/>
      <c r="AD63" s="1"/>
    </row>
    <row r="64" ht="6.75" customHeight="1">
      <c r="A64" s="1"/>
      <c r="B64" s="1"/>
      <c r="C64" s="7"/>
      <c r="D64" s="16"/>
      <c r="E64" s="16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12"/>
      <c r="AC64" s="1"/>
      <c r="AD64" s="1"/>
    </row>
    <row r="65" ht="27.75" customHeight="1">
      <c r="A65" s="1"/>
      <c r="B65" s="1"/>
      <c r="C65" s="7"/>
      <c r="D65" s="29" t="s">
        <v>11</v>
      </c>
      <c r="E65" s="30"/>
      <c r="F65" s="31" t="str">
        <f t="shared" ref="F65:N65" si="70">IF(F61="","",MIN(IF(F60="**",F61-2,IF(F60="*",F61-1,F61)),(IF(F62="**",F63-2,IF(F62="*",F63-1,F63)))))</f>
        <v/>
      </c>
      <c r="G65" s="31" t="str">
        <f t="shared" si="70"/>
        <v/>
      </c>
      <c r="H65" s="31" t="str">
        <f t="shared" si="70"/>
        <v/>
      </c>
      <c r="I65" s="31" t="str">
        <f t="shared" si="70"/>
        <v/>
      </c>
      <c r="J65" s="31" t="str">
        <f t="shared" si="70"/>
        <v/>
      </c>
      <c r="K65" s="31" t="str">
        <f t="shared" si="70"/>
        <v/>
      </c>
      <c r="L65" s="31" t="str">
        <f t="shared" si="70"/>
        <v/>
      </c>
      <c r="M65" s="31" t="str">
        <f t="shared" si="70"/>
        <v/>
      </c>
      <c r="N65" s="31" t="str">
        <f t="shared" si="70"/>
        <v/>
      </c>
      <c r="O65" s="31" t="str">
        <f t="shared" ref="O65:O66" si="73">IF(F65="","",SUM(F65:N65))</f>
        <v/>
      </c>
      <c r="P65" s="23"/>
      <c r="Q65" s="31" t="str">
        <f t="shared" ref="Q65:Y65" si="71">IF(Q61="","",MIN(IF(Q60="**",Q61-2,IF(Q60="*",Q61-1,Q61)),(IF(Q62="**",Q63-2,IF(Q62="*",Q63-1,Q63)))))</f>
        <v/>
      </c>
      <c r="R65" s="31" t="str">
        <f t="shared" si="71"/>
        <v/>
      </c>
      <c r="S65" s="31" t="str">
        <f t="shared" si="71"/>
        <v/>
      </c>
      <c r="T65" s="31" t="str">
        <f t="shared" si="71"/>
        <v/>
      </c>
      <c r="U65" s="31" t="str">
        <f t="shared" si="71"/>
        <v/>
      </c>
      <c r="V65" s="31" t="str">
        <f t="shared" si="71"/>
        <v/>
      </c>
      <c r="W65" s="31" t="str">
        <f t="shared" si="71"/>
        <v/>
      </c>
      <c r="X65" s="31" t="str">
        <f t="shared" si="71"/>
        <v/>
      </c>
      <c r="Y65" s="31" t="str">
        <f t="shared" si="71"/>
        <v/>
      </c>
      <c r="Z65" s="32" t="str">
        <f t="shared" ref="Z65:Z66" si="75">IF(Q65="","",SUM(Q65:Y65))</f>
        <v/>
      </c>
      <c r="AA65" s="31" t="str">
        <f t="shared" ref="AA65:AA66" si="76">IF(Z65="","",Z65+O65)</f>
        <v/>
      </c>
      <c r="AB65" s="12"/>
      <c r="AC65" s="1"/>
      <c r="AD65" s="1"/>
    </row>
    <row r="66" ht="27.75" customHeight="1">
      <c r="A66" s="1"/>
      <c r="B66" s="1"/>
      <c r="C66" s="7"/>
      <c r="D66" s="29" t="s">
        <v>12</v>
      </c>
      <c r="E66" s="30"/>
      <c r="F66" s="33" t="str">
        <f t="shared" ref="F66:N66" si="72">IF(F65="","",IF(F65=F73,0.5,IF(F65&lt;F73,1,0)))</f>
        <v/>
      </c>
      <c r="G66" s="33" t="str">
        <f t="shared" si="72"/>
        <v/>
      </c>
      <c r="H66" s="33" t="str">
        <f t="shared" si="72"/>
        <v/>
      </c>
      <c r="I66" s="33" t="str">
        <f t="shared" si="72"/>
        <v/>
      </c>
      <c r="J66" s="33" t="str">
        <f t="shared" si="72"/>
        <v/>
      </c>
      <c r="K66" s="33" t="str">
        <f t="shared" si="72"/>
        <v/>
      </c>
      <c r="L66" s="33" t="str">
        <f t="shared" si="72"/>
        <v/>
      </c>
      <c r="M66" s="33" t="str">
        <f t="shared" si="72"/>
        <v/>
      </c>
      <c r="N66" s="33" t="str">
        <f t="shared" si="72"/>
        <v/>
      </c>
      <c r="O66" s="33" t="str">
        <f t="shared" si="73"/>
        <v/>
      </c>
      <c r="P66" s="23"/>
      <c r="Q66" s="33" t="str">
        <f t="shared" ref="Q66:Y66" si="74">IF(Q65="","",IF(Q65=Q73,0.5,IF(Q65&lt;Q73,1,0)))</f>
        <v/>
      </c>
      <c r="R66" s="33" t="str">
        <f t="shared" si="74"/>
        <v/>
      </c>
      <c r="S66" s="33" t="str">
        <f t="shared" si="74"/>
        <v/>
      </c>
      <c r="T66" s="33" t="str">
        <f t="shared" si="74"/>
        <v/>
      </c>
      <c r="U66" s="33" t="str">
        <f t="shared" si="74"/>
        <v/>
      </c>
      <c r="V66" s="33" t="str">
        <f t="shared" si="74"/>
        <v/>
      </c>
      <c r="W66" s="33" t="str">
        <f t="shared" si="74"/>
        <v/>
      </c>
      <c r="X66" s="33" t="str">
        <f t="shared" si="74"/>
        <v/>
      </c>
      <c r="Y66" s="33" t="str">
        <f t="shared" si="74"/>
        <v/>
      </c>
      <c r="Z66" s="34" t="str">
        <f t="shared" si="75"/>
        <v/>
      </c>
      <c r="AA66" s="33" t="str">
        <f t="shared" si="76"/>
        <v/>
      </c>
      <c r="AB66" s="12"/>
      <c r="AC66" s="1"/>
      <c r="AD66" s="1"/>
    </row>
    <row r="67" ht="6.75" customHeight="1">
      <c r="A67" s="1"/>
      <c r="B67" s="1"/>
      <c r="C67" s="7"/>
      <c r="D67" s="16"/>
      <c r="E67" s="16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12"/>
      <c r="AC67" s="1"/>
      <c r="AD67" s="1"/>
    </row>
    <row r="68" ht="11.25" customHeight="1">
      <c r="A68" s="1"/>
      <c r="B68" s="1"/>
      <c r="C68" s="7"/>
      <c r="D68" s="19"/>
      <c r="E68" s="20" t="str">
        <f>IFERROR(VLOOKUP(D68,HANDICAPS!$B$8:$G$23,$B$3,FALSE),"")</f>
        <v/>
      </c>
      <c r="F68" s="21" t="str">
        <f t="shared" ref="F68:N68" si="77">IFERROR(IF($E68&gt;18,IF(($E68-18)&gt;F$33,"**","*"),IF($E68&gt;=F$8,"*","")),"")</f>
        <v>*</v>
      </c>
      <c r="G68" s="21" t="str">
        <f t="shared" si="77"/>
        <v>*</v>
      </c>
      <c r="H68" s="21" t="str">
        <f t="shared" si="77"/>
        <v>*</v>
      </c>
      <c r="I68" s="21" t="str">
        <f t="shared" si="77"/>
        <v>*</v>
      </c>
      <c r="J68" s="21" t="str">
        <f t="shared" si="77"/>
        <v>*</v>
      </c>
      <c r="K68" s="21" t="str">
        <f t="shared" si="77"/>
        <v>*</v>
      </c>
      <c r="L68" s="21" t="str">
        <f t="shared" si="77"/>
        <v>*</v>
      </c>
      <c r="M68" s="21" t="str">
        <f t="shared" si="77"/>
        <v>*</v>
      </c>
      <c r="N68" s="21" t="str">
        <f t="shared" si="77"/>
        <v>*</v>
      </c>
      <c r="O68" s="22" t="str">
        <f>IF(F69="","",SUM(F69:N69))</f>
        <v/>
      </c>
      <c r="P68" s="23"/>
      <c r="Q68" s="21" t="str">
        <f t="shared" ref="Q68:Y68" si="78">IFERROR(IF($E68&gt;18,IF(($E68-18)&gt;Q$33,"**","*"),IF($E68&gt;=Q$8,"*","")),"")</f>
        <v>*</v>
      </c>
      <c r="R68" s="21" t="str">
        <f t="shared" si="78"/>
        <v>*</v>
      </c>
      <c r="S68" s="21" t="str">
        <f t="shared" si="78"/>
        <v>*</v>
      </c>
      <c r="T68" s="21" t="str">
        <f t="shared" si="78"/>
        <v>*</v>
      </c>
      <c r="U68" s="21" t="str">
        <f t="shared" si="78"/>
        <v>*</v>
      </c>
      <c r="V68" s="21" t="str">
        <f t="shared" si="78"/>
        <v>*</v>
      </c>
      <c r="W68" s="21" t="str">
        <f t="shared" si="78"/>
        <v>*</v>
      </c>
      <c r="X68" s="21" t="str">
        <f t="shared" si="78"/>
        <v>*</v>
      </c>
      <c r="Y68" s="21" t="str">
        <f t="shared" si="78"/>
        <v>*</v>
      </c>
      <c r="Z68" s="22" t="str">
        <f>IF(Q69="","",SUM(Q69:Y69))</f>
        <v/>
      </c>
      <c r="AA68" s="22" t="str">
        <f>IF(Z68="","",SUM(O68,Z68))</f>
        <v/>
      </c>
      <c r="AB68" s="12"/>
      <c r="AC68" s="1"/>
      <c r="AD68" s="1"/>
    </row>
    <row r="69" ht="18.75" customHeight="1">
      <c r="A69" s="1"/>
      <c r="B69" s="1"/>
      <c r="C69" s="7"/>
      <c r="D69" s="24"/>
      <c r="E69" s="25"/>
      <c r="F69" s="26"/>
      <c r="G69" s="26"/>
      <c r="H69" s="26"/>
      <c r="I69" s="26"/>
      <c r="J69" s="26"/>
      <c r="K69" s="26"/>
      <c r="L69" s="26"/>
      <c r="M69" s="26"/>
      <c r="N69" s="26"/>
      <c r="O69" s="27"/>
      <c r="P69" s="23"/>
      <c r="Q69" s="28"/>
      <c r="R69" s="28"/>
      <c r="S69" s="28"/>
      <c r="T69" s="28"/>
      <c r="U69" s="28"/>
      <c r="V69" s="28"/>
      <c r="W69" s="28"/>
      <c r="X69" s="28"/>
      <c r="Y69" s="28"/>
      <c r="Z69" s="27"/>
      <c r="AA69" s="27"/>
      <c r="AB69" s="12"/>
      <c r="AC69" s="1"/>
      <c r="AD69" s="1"/>
    </row>
    <row r="70" ht="11.25" customHeight="1">
      <c r="A70" s="1"/>
      <c r="B70" s="1"/>
      <c r="C70" s="7"/>
      <c r="D70" s="19"/>
      <c r="E70" s="20" t="str">
        <f>IFERROR(VLOOKUP(D70,HANDICAPS!$B$8:$G$23,$B$3,FALSE),"")</f>
        <v/>
      </c>
      <c r="F70" s="21" t="str">
        <f t="shared" ref="F70:N70" si="79">IFERROR(IF($E70&gt;18,IF(($E70-18)&gt;F$33,"**","*"),IF($E70&gt;=F$8,"*","")),"")</f>
        <v>*</v>
      </c>
      <c r="G70" s="21" t="str">
        <f t="shared" si="79"/>
        <v>*</v>
      </c>
      <c r="H70" s="21" t="str">
        <f t="shared" si="79"/>
        <v>*</v>
      </c>
      <c r="I70" s="21" t="str">
        <f t="shared" si="79"/>
        <v>*</v>
      </c>
      <c r="J70" s="21" t="str">
        <f t="shared" si="79"/>
        <v>*</v>
      </c>
      <c r="K70" s="21" t="str">
        <f t="shared" si="79"/>
        <v>*</v>
      </c>
      <c r="L70" s="21" t="str">
        <f t="shared" si="79"/>
        <v>*</v>
      </c>
      <c r="M70" s="21" t="str">
        <f t="shared" si="79"/>
        <v>*</v>
      </c>
      <c r="N70" s="21" t="str">
        <f t="shared" si="79"/>
        <v>*</v>
      </c>
      <c r="O70" s="22" t="str">
        <f>IF(F71="","",SUM(F71:N71))</f>
        <v/>
      </c>
      <c r="P70" s="23"/>
      <c r="Q70" s="21" t="str">
        <f t="shared" ref="Q70:Y70" si="80">IFERROR(IF($E70&gt;18,IF(($E70-18)&gt;Q$33,"**","*"),IF($E70&gt;=Q$8,"*","")),"")</f>
        <v>*</v>
      </c>
      <c r="R70" s="21" t="str">
        <f t="shared" si="80"/>
        <v>*</v>
      </c>
      <c r="S70" s="21" t="str">
        <f t="shared" si="80"/>
        <v>*</v>
      </c>
      <c r="T70" s="21" t="str">
        <f t="shared" si="80"/>
        <v>*</v>
      </c>
      <c r="U70" s="21" t="str">
        <f t="shared" si="80"/>
        <v>*</v>
      </c>
      <c r="V70" s="21" t="str">
        <f t="shared" si="80"/>
        <v>*</v>
      </c>
      <c r="W70" s="21" t="str">
        <f t="shared" si="80"/>
        <v>*</v>
      </c>
      <c r="X70" s="21" t="str">
        <f t="shared" si="80"/>
        <v>*</v>
      </c>
      <c r="Y70" s="21" t="str">
        <f t="shared" si="80"/>
        <v>*</v>
      </c>
      <c r="Z70" s="22" t="str">
        <f>IF(Q71="","",SUM(Q71:Y71))</f>
        <v/>
      </c>
      <c r="AA70" s="22" t="str">
        <f>IF(Z70="","",SUM(O70,Z70))</f>
        <v/>
      </c>
      <c r="AB70" s="12"/>
      <c r="AC70" s="1"/>
      <c r="AD70" s="1"/>
    </row>
    <row r="71" ht="18.75" customHeight="1">
      <c r="A71" s="1"/>
      <c r="B71" s="1"/>
      <c r="C71" s="7"/>
      <c r="D71" s="24"/>
      <c r="E71" s="25"/>
      <c r="F71" s="26"/>
      <c r="G71" s="26"/>
      <c r="H71" s="26"/>
      <c r="I71" s="26"/>
      <c r="J71" s="26"/>
      <c r="K71" s="26"/>
      <c r="L71" s="26"/>
      <c r="M71" s="26"/>
      <c r="N71" s="26"/>
      <c r="O71" s="27"/>
      <c r="P71" s="23"/>
      <c r="Q71" s="28"/>
      <c r="R71" s="28"/>
      <c r="S71" s="28"/>
      <c r="T71" s="28"/>
      <c r="U71" s="28"/>
      <c r="V71" s="28"/>
      <c r="W71" s="28"/>
      <c r="X71" s="28"/>
      <c r="Y71" s="28"/>
      <c r="Z71" s="27"/>
      <c r="AA71" s="27"/>
      <c r="AB71" s="12"/>
      <c r="AC71" s="1"/>
      <c r="AD71" s="1"/>
    </row>
    <row r="72" ht="6.75" customHeight="1">
      <c r="A72" s="1"/>
      <c r="B72" s="1"/>
      <c r="C72" s="7"/>
      <c r="D72" s="16"/>
      <c r="E72" s="16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12"/>
      <c r="AC72" s="1"/>
      <c r="AD72" s="1"/>
    </row>
    <row r="73" ht="27.75" customHeight="1">
      <c r="A73" s="1"/>
      <c r="B73" s="1"/>
      <c r="C73" s="7"/>
      <c r="D73" s="29" t="s">
        <v>11</v>
      </c>
      <c r="E73" s="30"/>
      <c r="F73" s="31" t="str">
        <f t="shared" ref="F73:N73" si="81">IF(F69="","",MIN(IF(F68="**",F69-2,IF(F68="*",F69-1,F69)),(IF(F70="**",F71-2,IF(F70="*",F71-1,F71)))))</f>
        <v/>
      </c>
      <c r="G73" s="31" t="str">
        <f t="shared" si="81"/>
        <v/>
      </c>
      <c r="H73" s="31" t="str">
        <f t="shared" si="81"/>
        <v/>
      </c>
      <c r="I73" s="31" t="str">
        <f t="shared" si="81"/>
        <v/>
      </c>
      <c r="J73" s="31" t="str">
        <f t="shared" si="81"/>
        <v/>
      </c>
      <c r="K73" s="31" t="str">
        <f t="shared" si="81"/>
        <v/>
      </c>
      <c r="L73" s="31" t="str">
        <f t="shared" si="81"/>
        <v/>
      </c>
      <c r="M73" s="31" t="str">
        <f t="shared" si="81"/>
        <v/>
      </c>
      <c r="N73" s="31" t="str">
        <f t="shared" si="81"/>
        <v/>
      </c>
      <c r="O73" s="31" t="str">
        <f t="shared" ref="O73:O74" si="84">IF(F73="","",SUM(F73:N73))</f>
        <v/>
      </c>
      <c r="P73" s="23"/>
      <c r="Q73" s="31" t="str">
        <f t="shared" ref="Q73:Y73" si="82">IF(Q69="","",MIN(IF(Q68="**",Q69-2,IF(Q68="*",Q69-1,Q69)),(IF(Q70="**",Q71-2,IF(Q70="*",Q71-1,Q71)))))</f>
        <v/>
      </c>
      <c r="R73" s="31" t="str">
        <f t="shared" si="82"/>
        <v/>
      </c>
      <c r="S73" s="31" t="str">
        <f t="shared" si="82"/>
        <v/>
      </c>
      <c r="T73" s="31" t="str">
        <f t="shared" si="82"/>
        <v/>
      </c>
      <c r="U73" s="31" t="str">
        <f t="shared" si="82"/>
        <v/>
      </c>
      <c r="V73" s="31" t="str">
        <f t="shared" si="82"/>
        <v/>
      </c>
      <c r="W73" s="31" t="str">
        <f t="shared" si="82"/>
        <v/>
      </c>
      <c r="X73" s="31" t="str">
        <f t="shared" si="82"/>
        <v/>
      </c>
      <c r="Y73" s="31" t="str">
        <f t="shared" si="82"/>
        <v/>
      </c>
      <c r="Z73" s="31" t="str">
        <f t="shared" ref="Z73:Z74" si="86">IF(Q73="","",SUM(Q73:Y73))</f>
        <v/>
      </c>
      <c r="AA73" s="31" t="str">
        <f t="shared" ref="AA73:AA74" si="87">IF(Z73="","",Z73+O73)</f>
        <v/>
      </c>
      <c r="AB73" s="12"/>
      <c r="AC73" s="1"/>
      <c r="AD73" s="1"/>
    </row>
    <row r="74" ht="27.75" customHeight="1">
      <c r="A74" s="1"/>
      <c r="B74" s="1"/>
      <c r="C74" s="7"/>
      <c r="D74" s="29" t="s">
        <v>12</v>
      </c>
      <c r="E74" s="30"/>
      <c r="F74" s="33" t="str">
        <f t="shared" ref="F74:N74" si="83">IF(F73="","",IF(F73=F65,0.5,IF(F73&lt;F65,1,0)))</f>
        <v/>
      </c>
      <c r="G74" s="33" t="str">
        <f t="shared" si="83"/>
        <v/>
      </c>
      <c r="H74" s="33" t="str">
        <f t="shared" si="83"/>
        <v/>
      </c>
      <c r="I74" s="33" t="str">
        <f t="shared" si="83"/>
        <v/>
      </c>
      <c r="J74" s="33" t="str">
        <f t="shared" si="83"/>
        <v/>
      </c>
      <c r="K74" s="33" t="str">
        <f t="shared" si="83"/>
        <v/>
      </c>
      <c r="L74" s="33" t="str">
        <f t="shared" si="83"/>
        <v/>
      </c>
      <c r="M74" s="33" t="str">
        <f t="shared" si="83"/>
        <v/>
      </c>
      <c r="N74" s="33" t="str">
        <f t="shared" si="83"/>
        <v/>
      </c>
      <c r="O74" s="33" t="str">
        <f t="shared" si="84"/>
        <v/>
      </c>
      <c r="P74" s="23"/>
      <c r="Q74" s="33" t="str">
        <f t="shared" ref="Q74:Y74" si="85">IF(Q73="","",IF(Q73=Q65,0.5,IF(Q73&lt;Q65,1,0)))</f>
        <v/>
      </c>
      <c r="R74" s="33" t="str">
        <f t="shared" si="85"/>
        <v/>
      </c>
      <c r="S74" s="33" t="str">
        <f t="shared" si="85"/>
        <v/>
      </c>
      <c r="T74" s="33" t="str">
        <f t="shared" si="85"/>
        <v/>
      </c>
      <c r="U74" s="33" t="str">
        <f t="shared" si="85"/>
        <v/>
      </c>
      <c r="V74" s="33" t="str">
        <f t="shared" si="85"/>
        <v/>
      </c>
      <c r="W74" s="33" t="str">
        <f t="shared" si="85"/>
        <v/>
      </c>
      <c r="X74" s="33" t="str">
        <f t="shared" si="85"/>
        <v/>
      </c>
      <c r="Y74" s="33" t="str">
        <f t="shared" si="85"/>
        <v/>
      </c>
      <c r="Z74" s="33" t="str">
        <f t="shared" si="86"/>
        <v/>
      </c>
      <c r="AA74" s="33" t="str">
        <f t="shared" si="87"/>
        <v/>
      </c>
      <c r="AB74" s="12"/>
      <c r="AC74" s="1"/>
      <c r="AD74" s="1"/>
    </row>
    <row r="75" ht="6.75" customHeight="1">
      <c r="A75" s="1"/>
      <c r="B75" s="1"/>
      <c r="C75" s="35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7"/>
      <c r="AC75" s="1"/>
      <c r="AD75" s="1"/>
    </row>
    <row r="76" ht="6.75" customHeight="1">
      <c r="A76" s="1"/>
      <c r="B76" s="1"/>
      <c r="C76" s="3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6.75" customHeight="1">
      <c r="A77" s="1"/>
      <c r="B77" s="1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1"/>
      <c r="AD77" s="1"/>
    </row>
    <row r="78" ht="15.75" customHeight="1">
      <c r="A78" s="1"/>
      <c r="B78" s="1"/>
      <c r="C78" s="7"/>
      <c r="D78" s="8" t="str">
        <f>D53</f>
        <v>Course</v>
      </c>
      <c r="E78" s="6"/>
      <c r="F78" s="6"/>
      <c r="G78" s="6"/>
      <c r="H78" s="9"/>
      <c r="I78" s="9"/>
      <c r="J78" s="9"/>
      <c r="K78" s="10" t="str">
        <f>K53</f>
        <v>Pure Michigan Open 2k21</v>
      </c>
      <c r="U78" s="11"/>
      <c r="V78" s="11"/>
      <c r="W78" s="11"/>
      <c r="X78" s="11"/>
      <c r="Y78" s="1"/>
      <c r="Z78" s="1"/>
      <c r="AA78" s="1"/>
      <c r="AB78" s="12"/>
      <c r="AC78" s="1"/>
      <c r="AD78" s="1"/>
    </row>
    <row r="79" ht="18.75" customHeight="1">
      <c r="A79" s="1"/>
      <c r="B79" s="1"/>
      <c r="C79" s="7"/>
      <c r="D79" s="1"/>
      <c r="E79" s="1"/>
      <c r="F79" s="1"/>
      <c r="G79" s="1"/>
      <c r="H79" s="13" t="str">
        <f>H54</f>
        <v>Front</v>
      </c>
      <c r="I79" s="14"/>
      <c r="J79" s="14"/>
      <c r="K79" s="14"/>
      <c r="L79" s="14"/>
      <c r="M79" s="1"/>
      <c r="N79" s="1"/>
      <c r="O79" s="1"/>
      <c r="P79" s="1"/>
      <c r="Q79" s="1"/>
      <c r="R79" s="1"/>
      <c r="S79" s="1"/>
      <c r="T79" s="13" t="str">
        <f>T54</f>
        <v>Back</v>
      </c>
      <c r="U79" s="14"/>
      <c r="V79" s="14"/>
      <c r="W79" s="14"/>
      <c r="X79" s="14"/>
      <c r="Y79" s="1"/>
      <c r="Z79" s="1"/>
      <c r="AA79" s="1"/>
      <c r="AB79" s="12"/>
      <c r="AC79" s="1"/>
      <c r="AD79" s="1"/>
    </row>
    <row r="80" ht="15.0" customHeight="1">
      <c r="A80" s="1"/>
      <c r="B80" s="1"/>
      <c r="C80" s="7"/>
      <c r="D80" s="1"/>
      <c r="E80" s="15" t="s">
        <v>4</v>
      </c>
      <c r="F80" s="15">
        <f t="shared" ref="F80:O80" si="88">F55</f>
        <v>1</v>
      </c>
      <c r="G80" s="15">
        <f t="shared" si="88"/>
        <v>2</v>
      </c>
      <c r="H80" s="15">
        <f t="shared" si="88"/>
        <v>3</v>
      </c>
      <c r="I80" s="15">
        <f t="shared" si="88"/>
        <v>4</v>
      </c>
      <c r="J80" s="15">
        <f t="shared" si="88"/>
        <v>5</v>
      </c>
      <c r="K80" s="15">
        <f t="shared" si="88"/>
        <v>6</v>
      </c>
      <c r="L80" s="15">
        <f t="shared" si="88"/>
        <v>7</v>
      </c>
      <c r="M80" s="15">
        <f t="shared" si="88"/>
        <v>8</v>
      </c>
      <c r="N80" s="15">
        <f t="shared" si="88"/>
        <v>9</v>
      </c>
      <c r="O80" s="15" t="str">
        <f t="shared" si="88"/>
        <v>Out</v>
      </c>
      <c r="P80" s="16"/>
      <c r="Q80" s="15">
        <f t="shared" ref="Q80:Z80" si="89">Q55</f>
        <v>10</v>
      </c>
      <c r="R80" s="15">
        <f t="shared" si="89"/>
        <v>11</v>
      </c>
      <c r="S80" s="15">
        <f t="shared" si="89"/>
        <v>12</v>
      </c>
      <c r="T80" s="15">
        <f t="shared" si="89"/>
        <v>13</v>
      </c>
      <c r="U80" s="15">
        <f t="shared" si="89"/>
        <v>14</v>
      </c>
      <c r="V80" s="15">
        <f t="shared" si="89"/>
        <v>15</v>
      </c>
      <c r="W80" s="15">
        <f t="shared" si="89"/>
        <v>16</v>
      </c>
      <c r="X80" s="15">
        <f t="shared" si="89"/>
        <v>17</v>
      </c>
      <c r="Y80" s="15">
        <f t="shared" si="89"/>
        <v>18</v>
      </c>
      <c r="Z80" s="15" t="str">
        <f t="shared" si="89"/>
        <v>In</v>
      </c>
      <c r="AA80" s="15" t="s">
        <v>7</v>
      </c>
      <c r="AB80" s="12"/>
      <c r="AC80" s="1"/>
      <c r="AD80" s="1"/>
    </row>
    <row r="81" ht="15.0" customHeight="1">
      <c r="A81" s="1"/>
      <c r="B81" s="1"/>
      <c r="C81" s="7"/>
      <c r="D81" s="1"/>
      <c r="E81" s="15" t="str">
        <f t="shared" ref="E81:O81" si="90">E56</f>
        <v>Color</v>
      </c>
      <c r="F81" s="15" t="str">
        <f t="shared" si="90"/>
        <v/>
      </c>
      <c r="G81" s="15" t="str">
        <f t="shared" si="90"/>
        <v/>
      </c>
      <c r="H81" s="15" t="str">
        <f t="shared" si="90"/>
        <v/>
      </c>
      <c r="I81" s="15" t="str">
        <f t="shared" si="90"/>
        <v/>
      </c>
      <c r="J81" s="15" t="str">
        <f t="shared" si="90"/>
        <v/>
      </c>
      <c r="K81" s="15" t="str">
        <f t="shared" si="90"/>
        <v/>
      </c>
      <c r="L81" s="15" t="str">
        <f t="shared" si="90"/>
        <v/>
      </c>
      <c r="M81" s="15" t="str">
        <f t="shared" si="90"/>
        <v/>
      </c>
      <c r="N81" s="15" t="str">
        <f t="shared" si="90"/>
        <v/>
      </c>
      <c r="O81" s="15">
        <f t="shared" si="90"/>
        <v>0</v>
      </c>
      <c r="P81" s="17"/>
      <c r="Q81" s="15" t="str">
        <f t="shared" ref="Q81:Z81" si="91">Q56</f>
        <v/>
      </c>
      <c r="R81" s="15" t="str">
        <f t="shared" si="91"/>
        <v/>
      </c>
      <c r="S81" s="15" t="str">
        <f t="shared" si="91"/>
        <v/>
      </c>
      <c r="T81" s="15" t="str">
        <f t="shared" si="91"/>
        <v/>
      </c>
      <c r="U81" s="15" t="str">
        <f t="shared" si="91"/>
        <v/>
      </c>
      <c r="V81" s="15" t="str">
        <f t="shared" si="91"/>
        <v/>
      </c>
      <c r="W81" s="15" t="str">
        <f t="shared" si="91"/>
        <v/>
      </c>
      <c r="X81" s="15" t="str">
        <f t="shared" si="91"/>
        <v/>
      </c>
      <c r="Y81" s="15" t="str">
        <f t="shared" si="91"/>
        <v/>
      </c>
      <c r="Z81" s="15">
        <f t="shared" si="91"/>
        <v>0</v>
      </c>
      <c r="AA81" s="15">
        <f t="shared" ref="AA81:AA82" si="94">Z81+O81</f>
        <v>0</v>
      </c>
      <c r="AB81" s="12"/>
      <c r="AC81" s="1"/>
      <c r="AD81" s="1"/>
    </row>
    <row r="82" ht="15.75" customHeight="1">
      <c r="A82" s="1"/>
      <c r="B82" s="1"/>
      <c r="C82" s="7"/>
      <c r="D82" s="1"/>
      <c r="E82" s="15" t="s">
        <v>9</v>
      </c>
      <c r="F82" s="15" t="str">
        <f t="shared" ref="F82:O82" si="92">F57</f>
        <v/>
      </c>
      <c r="G82" s="15" t="str">
        <f t="shared" si="92"/>
        <v/>
      </c>
      <c r="H82" s="15" t="str">
        <f t="shared" si="92"/>
        <v/>
      </c>
      <c r="I82" s="15" t="str">
        <f t="shared" si="92"/>
        <v/>
      </c>
      <c r="J82" s="15" t="str">
        <f t="shared" si="92"/>
        <v/>
      </c>
      <c r="K82" s="15" t="str">
        <f t="shared" si="92"/>
        <v/>
      </c>
      <c r="L82" s="15" t="str">
        <f t="shared" si="92"/>
        <v/>
      </c>
      <c r="M82" s="15" t="str">
        <f t="shared" si="92"/>
        <v/>
      </c>
      <c r="N82" s="15" t="str">
        <f t="shared" si="92"/>
        <v/>
      </c>
      <c r="O82" s="15">
        <f t="shared" si="92"/>
        <v>0</v>
      </c>
      <c r="P82" s="17"/>
      <c r="Q82" s="15" t="str">
        <f t="shared" ref="Q82:Z82" si="93">Q57</f>
        <v/>
      </c>
      <c r="R82" s="15" t="str">
        <f t="shared" si="93"/>
        <v/>
      </c>
      <c r="S82" s="15" t="str">
        <f t="shared" si="93"/>
        <v/>
      </c>
      <c r="T82" s="15" t="str">
        <f t="shared" si="93"/>
        <v/>
      </c>
      <c r="U82" s="15" t="str">
        <f t="shared" si="93"/>
        <v/>
      </c>
      <c r="V82" s="15" t="str">
        <f t="shared" si="93"/>
        <v/>
      </c>
      <c r="W82" s="15" t="str">
        <f t="shared" si="93"/>
        <v/>
      </c>
      <c r="X82" s="15" t="str">
        <f t="shared" si="93"/>
        <v/>
      </c>
      <c r="Y82" s="15" t="str">
        <f t="shared" si="93"/>
        <v/>
      </c>
      <c r="Z82" s="15">
        <f t="shared" si="93"/>
        <v>0</v>
      </c>
      <c r="AA82" s="15">
        <f t="shared" si="94"/>
        <v>0</v>
      </c>
      <c r="AB82" s="12"/>
      <c r="AC82" s="1"/>
      <c r="AD82" s="1"/>
    </row>
    <row r="83" ht="15.0" customHeight="1">
      <c r="A83" s="1"/>
      <c r="B83" s="1"/>
      <c r="C83" s="7"/>
      <c r="D83" s="1"/>
      <c r="E83" s="15" t="s">
        <v>10</v>
      </c>
      <c r="F83" s="15" t="str">
        <f t="shared" ref="F83:N83" si="95">F58</f>
        <v/>
      </c>
      <c r="G83" s="15" t="str">
        <f t="shared" si="95"/>
        <v/>
      </c>
      <c r="H83" s="15" t="str">
        <f t="shared" si="95"/>
        <v/>
      </c>
      <c r="I83" s="15" t="str">
        <f t="shared" si="95"/>
        <v/>
      </c>
      <c r="J83" s="15" t="str">
        <f t="shared" si="95"/>
        <v/>
      </c>
      <c r="K83" s="15" t="str">
        <f t="shared" si="95"/>
        <v/>
      </c>
      <c r="L83" s="15" t="str">
        <f t="shared" si="95"/>
        <v/>
      </c>
      <c r="M83" s="15" t="str">
        <f t="shared" si="95"/>
        <v/>
      </c>
      <c r="N83" s="15" t="str">
        <f t="shared" si="95"/>
        <v/>
      </c>
      <c r="O83" s="15"/>
      <c r="P83" s="17"/>
      <c r="Q83" s="15" t="str">
        <f t="shared" ref="Q83:Y83" si="96">Q58</f>
        <v/>
      </c>
      <c r="R83" s="15" t="str">
        <f t="shared" si="96"/>
        <v/>
      </c>
      <c r="S83" s="15" t="str">
        <f t="shared" si="96"/>
        <v/>
      </c>
      <c r="T83" s="15" t="str">
        <f t="shared" si="96"/>
        <v/>
      </c>
      <c r="U83" s="15" t="str">
        <f t="shared" si="96"/>
        <v/>
      </c>
      <c r="V83" s="15" t="str">
        <f t="shared" si="96"/>
        <v/>
      </c>
      <c r="W83" s="15" t="str">
        <f t="shared" si="96"/>
        <v/>
      </c>
      <c r="X83" s="15" t="str">
        <f t="shared" si="96"/>
        <v/>
      </c>
      <c r="Y83" s="15" t="str">
        <f t="shared" si="96"/>
        <v/>
      </c>
      <c r="Z83" s="15"/>
      <c r="AA83" s="18"/>
      <c r="AB83" s="12"/>
      <c r="AC83" s="1"/>
      <c r="AD83" s="1"/>
    </row>
    <row r="84" ht="6.75" customHeight="1">
      <c r="A84" s="1"/>
      <c r="B84" s="1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2"/>
      <c r="AC84" s="1"/>
      <c r="AD84" s="1"/>
    </row>
    <row r="85" ht="11.25" customHeight="1">
      <c r="A85" s="1"/>
      <c r="B85" s="1"/>
      <c r="C85" s="7"/>
      <c r="D85" s="19"/>
      <c r="E85" s="20" t="str">
        <f>IFERROR(VLOOKUP(D85,HANDICAPS!$B$8:$G$23,$B$3,FALSE),"")</f>
        <v/>
      </c>
      <c r="F85" s="21" t="str">
        <f t="shared" ref="F85:N85" si="97">IFERROR(IF($E85&gt;18,IF(($E85-18)&gt;F$33,"**","*"),IF($E85&gt;=F$8,"*","")),"")</f>
        <v>*</v>
      </c>
      <c r="G85" s="21" t="str">
        <f t="shared" si="97"/>
        <v>*</v>
      </c>
      <c r="H85" s="21" t="str">
        <f t="shared" si="97"/>
        <v>*</v>
      </c>
      <c r="I85" s="21" t="str">
        <f t="shared" si="97"/>
        <v>*</v>
      </c>
      <c r="J85" s="21" t="str">
        <f t="shared" si="97"/>
        <v>*</v>
      </c>
      <c r="K85" s="21" t="str">
        <f t="shared" si="97"/>
        <v>*</v>
      </c>
      <c r="L85" s="21" t="str">
        <f t="shared" si="97"/>
        <v>*</v>
      </c>
      <c r="M85" s="21" t="str">
        <f t="shared" si="97"/>
        <v>*</v>
      </c>
      <c r="N85" s="21" t="str">
        <f t="shared" si="97"/>
        <v>*</v>
      </c>
      <c r="O85" s="22" t="str">
        <f>IF(F86="","",SUM(F86:N86))</f>
        <v/>
      </c>
      <c r="P85" s="23"/>
      <c r="Q85" s="21" t="str">
        <f t="shared" ref="Q85:Y85" si="98">IFERROR(IF($E85&gt;18,IF(($E85-18)&gt;Q$33,"**","*"),IF($E85&gt;=Q$8,"*","")),"")</f>
        <v>*</v>
      </c>
      <c r="R85" s="21" t="str">
        <f t="shared" si="98"/>
        <v>*</v>
      </c>
      <c r="S85" s="21" t="str">
        <f t="shared" si="98"/>
        <v>*</v>
      </c>
      <c r="T85" s="21" t="str">
        <f t="shared" si="98"/>
        <v>*</v>
      </c>
      <c r="U85" s="21" t="str">
        <f t="shared" si="98"/>
        <v>*</v>
      </c>
      <c r="V85" s="21" t="str">
        <f t="shared" si="98"/>
        <v>*</v>
      </c>
      <c r="W85" s="21" t="str">
        <f t="shared" si="98"/>
        <v>*</v>
      </c>
      <c r="X85" s="21" t="str">
        <f t="shared" si="98"/>
        <v>*</v>
      </c>
      <c r="Y85" s="21" t="str">
        <f t="shared" si="98"/>
        <v>*</v>
      </c>
      <c r="Z85" s="22" t="str">
        <f>IF(Q86="","",SUM(Q86:Y86))</f>
        <v/>
      </c>
      <c r="AA85" s="22" t="str">
        <f>IF(Z85="","",SUM(O85,Z85))</f>
        <v/>
      </c>
      <c r="AB85" s="12"/>
      <c r="AC85" s="1"/>
      <c r="AD85" s="1"/>
    </row>
    <row r="86" ht="18.75" customHeight="1">
      <c r="A86" s="1"/>
      <c r="B86" s="1"/>
      <c r="C86" s="7"/>
      <c r="D86" s="24"/>
      <c r="E86" s="25"/>
      <c r="F86" s="26"/>
      <c r="G86" s="26"/>
      <c r="H86" s="26"/>
      <c r="I86" s="26"/>
      <c r="J86" s="26"/>
      <c r="K86" s="26"/>
      <c r="L86" s="26"/>
      <c r="M86" s="26"/>
      <c r="N86" s="26"/>
      <c r="O86" s="27"/>
      <c r="P86" s="23"/>
      <c r="Q86" s="28"/>
      <c r="R86" s="28"/>
      <c r="S86" s="28"/>
      <c r="T86" s="28"/>
      <c r="U86" s="28"/>
      <c r="V86" s="28"/>
      <c r="W86" s="28"/>
      <c r="X86" s="28"/>
      <c r="Y86" s="28"/>
      <c r="Z86" s="27"/>
      <c r="AA86" s="27"/>
      <c r="AB86" s="12"/>
      <c r="AC86" s="1"/>
      <c r="AD86" s="1"/>
    </row>
    <row r="87" ht="11.25" customHeight="1">
      <c r="A87" s="1"/>
      <c r="B87" s="1"/>
      <c r="C87" s="7"/>
      <c r="D87" s="19"/>
      <c r="E87" s="20" t="str">
        <f>IFERROR(VLOOKUP(D87,HANDICAPS!$B$8:$G$23,$B$3,FALSE),"")</f>
        <v/>
      </c>
      <c r="F87" s="21" t="str">
        <f t="shared" ref="F87:N87" si="99">IFERROR(IF($E87&gt;18,IF(($E87-18)&gt;F$33,"**","*"),IF($E87&gt;=F$8,"*","")),"")</f>
        <v>*</v>
      </c>
      <c r="G87" s="21" t="str">
        <f t="shared" si="99"/>
        <v>*</v>
      </c>
      <c r="H87" s="21" t="str">
        <f t="shared" si="99"/>
        <v>*</v>
      </c>
      <c r="I87" s="21" t="str">
        <f t="shared" si="99"/>
        <v>*</v>
      </c>
      <c r="J87" s="21" t="str">
        <f t="shared" si="99"/>
        <v>*</v>
      </c>
      <c r="K87" s="21" t="str">
        <f t="shared" si="99"/>
        <v>*</v>
      </c>
      <c r="L87" s="21" t="str">
        <f t="shared" si="99"/>
        <v>*</v>
      </c>
      <c r="M87" s="21" t="str">
        <f t="shared" si="99"/>
        <v>*</v>
      </c>
      <c r="N87" s="21" t="str">
        <f t="shared" si="99"/>
        <v>*</v>
      </c>
      <c r="O87" s="22" t="str">
        <f>IF(F88="","",SUM(F88:N88))</f>
        <v/>
      </c>
      <c r="P87" s="23"/>
      <c r="Q87" s="21" t="str">
        <f t="shared" ref="Q87:Y87" si="100">IFERROR(IF($E87&gt;18,IF(($E87-18)&gt;Q$33,"**","*"),IF($E87&gt;=Q$8,"*","")),"")</f>
        <v>*</v>
      </c>
      <c r="R87" s="21" t="str">
        <f t="shared" si="100"/>
        <v>*</v>
      </c>
      <c r="S87" s="21" t="str">
        <f t="shared" si="100"/>
        <v>*</v>
      </c>
      <c r="T87" s="21" t="str">
        <f t="shared" si="100"/>
        <v>*</v>
      </c>
      <c r="U87" s="21" t="str">
        <f t="shared" si="100"/>
        <v>*</v>
      </c>
      <c r="V87" s="21" t="str">
        <f t="shared" si="100"/>
        <v>*</v>
      </c>
      <c r="W87" s="21" t="str">
        <f t="shared" si="100"/>
        <v>*</v>
      </c>
      <c r="X87" s="21" t="str">
        <f t="shared" si="100"/>
        <v>*</v>
      </c>
      <c r="Y87" s="21" t="str">
        <f t="shared" si="100"/>
        <v>*</v>
      </c>
      <c r="Z87" s="22" t="str">
        <f>IF(Q88="","",SUM(Q88:Y88))</f>
        <v/>
      </c>
      <c r="AA87" s="22" t="str">
        <f>IF(Z87="","",SUM(O87,Z87))</f>
        <v/>
      </c>
      <c r="AB87" s="12"/>
      <c r="AC87" s="1"/>
      <c r="AD87" s="1"/>
    </row>
    <row r="88" ht="18.75" customHeight="1">
      <c r="A88" s="1"/>
      <c r="B88" s="1"/>
      <c r="C88" s="7"/>
      <c r="D88" s="24"/>
      <c r="E88" s="25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23"/>
      <c r="Q88" s="28"/>
      <c r="R88" s="28"/>
      <c r="S88" s="28"/>
      <c r="T88" s="28"/>
      <c r="U88" s="28"/>
      <c r="V88" s="28"/>
      <c r="W88" s="28"/>
      <c r="X88" s="28"/>
      <c r="Y88" s="28"/>
      <c r="Z88" s="27"/>
      <c r="AA88" s="27"/>
      <c r="AB88" s="12"/>
      <c r="AC88" s="1"/>
      <c r="AD88" s="1"/>
    </row>
    <row r="89" ht="6.75" customHeight="1">
      <c r="A89" s="1"/>
      <c r="B89" s="1"/>
      <c r="C89" s="7"/>
      <c r="D89" s="16"/>
      <c r="E89" s="16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12"/>
      <c r="AC89" s="1"/>
      <c r="AD89" s="1"/>
    </row>
    <row r="90" ht="27.75" customHeight="1">
      <c r="A90" s="1"/>
      <c r="B90" s="1"/>
      <c r="C90" s="7"/>
      <c r="D90" s="29" t="s">
        <v>11</v>
      </c>
      <c r="E90" s="30"/>
      <c r="F90" s="31" t="str">
        <f t="shared" ref="F90:N90" si="101">IF(F86="","",MIN(IF(F85="**",F86-2,IF(F85="*",F86-1,F86)),(IF(F87="**",F88-2,IF(F87="*",F88-1,F88)))))</f>
        <v/>
      </c>
      <c r="G90" s="31" t="str">
        <f t="shared" si="101"/>
        <v/>
      </c>
      <c r="H90" s="31" t="str">
        <f t="shared" si="101"/>
        <v/>
      </c>
      <c r="I90" s="31" t="str">
        <f t="shared" si="101"/>
        <v/>
      </c>
      <c r="J90" s="31" t="str">
        <f t="shared" si="101"/>
        <v/>
      </c>
      <c r="K90" s="31" t="str">
        <f t="shared" si="101"/>
        <v/>
      </c>
      <c r="L90" s="31" t="str">
        <f t="shared" si="101"/>
        <v/>
      </c>
      <c r="M90" s="31" t="str">
        <f t="shared" si="101"/>
        <v/>
      </c>
      <c r="N90" s="31" t="str">
        <f t="shared" si="101"/>
        <v/>
      </c>
      <c r="O90" s="31" t="str">
        <f t="shared" ref="O90:O91" si="104">IF(F90="","",SUM(F90:N90))</f>
        <v/>
      </c>
      <c r="P90" s="23"/>
      <c r="Q90" s="31" t="str">
        <f t="shared" ref="Q90:Y90" si="102">IF(Q86="","",MIN(IF(Q85="**",Q86-2,IF(Q85="*",Q86-1,Q86)),(IF(Q87="**",Q88-2,IF(Q87="*",Q88-1,Q88)))))</f>
        <v/>
      </c>
      <c r="R90" s="31" t="str">
        <f t="shared" si="102"/>
        <v/>
      </c>
      <c r="S90" s="31" t="str">
        <f t="shared" si="102"/>
        <v/>
      </c>
      <c r="T90" s="31" t="str">
        <f t="shared" si="102"/>
        <v/>
      </c>
      <c r="U90" s="31" t="str">
        <f t="shared" si="102"/>
        <v/>
      </c>
      <c r="V90" s="31" t="str">
        <f t="shared" si="102"/>
        <v/>
      </c>
      <c r="W90" s="31" t="str">
        <f t="shared" si="102"/>
        <v/>
      </c>
      <c r="X90" s="31" t="str">
        <f t="shared" si="102"/>
        <v/>
      </c>
      <c r="Y90" s="31" t="str">
        <f t="shared" si="102"/>
        <v/>
      </c>
      <c r="Z90" s="32" t="str">
        <f t="shared" ref="Z90:Z91" si="106">IF(Q90="","",SUM(Q90:Y90))</f>
        <v/>
      </c>
      <c r="AA90" s="31" t="str">
        <f t="shared" ref="AA90:AA91" si="107">IF(Z90="","",Z90+O90)</f>
        <v/>
      </c>
      <c r="AB90" s="12"/>
      <c r="AC90" s="1"/>
      <c r="AD90" s="1"/>
    </row>
    <row r="91" ht="27.75" customHeight="1">
      <c r="A91" s="1"/>
      <c r="B91" s="1"/>
      <c r="C91" s="7"/>
      <c r="D91" s="29" t="s">
        <v>12</v>
      </c>
      <c r="E91" s="30"/>
      <c r="F91" s="33" t="str">
        <f t="shared" ref="F91:N91" si="103">IF(F90="","",IF(F90=F98,0.5,IF(F90&lt;F98,1,0)))</f>
        <v/>
      </c>
      <c r="G91" s="33" t="str">
        <f t="shared" si="103"/>
        <v/>
      </c>
      <c r="H91" s="33" t="str">
        <f t="shared" si="103"/>
        <v/>
      </c>
      <c r="I91" s="33" t="str">
        <f t="shared" si="103"/>
        <v/>
      </c>
      <c r="J91" s="33" t="str">
        <f t="shared" si="103"/>
        <v/>
      </c>
      <c r="K91" s="33" t="str">
        <f t="shared" si="103"/>
        <v/>
      </c>
      <c r="L91" s="33" t="str">
        <f t="shared" si="103"/>
        <v/>
      </c>
      <c r="M91" s="33" t="str">
        <f t="shared" si="103"/>
        <v/>
      </c>
      <c r="N91" s="33" t="str">
        <f t="shared" si="103"/>
        <v/>
      </c>
      <c r="O91" s="33" t="str">
        <f t="shared" si="104"/>
        <v/>
      </c>
      <c r="P91" s="23"/>
      <c r="Q91" s="33" t="str">
        <f t="shared" ref="Q91:Y91" si="105">IF(Q90="","",IF(Q90=Q98,0.5,IF(Q90&lt;Q98,1,0)))</f>
        <v/>
      </c>
      <c r="R91" s="33" t="str">
        <f t="shared" si="105"/>
        <v/>
      </c>
      <c r="S91" s="33" t="str">
        <f t="shared" si="105"/>
        <v/>
      </c>
      <c r="T91" s="33" t="str">
        <f t="shared" si="105"/>
        <v/>
      </c>
      <c r="U91" s="33" t="str">
        <f t="shared" si="105"/>
        <v/>
      </c>
      <c r="V91" s="33" t="str">
        <f t="shared" si="105"/>
        <v/>
      </c>
      <c r="W91" s="33" t="str">
        <f t="shared" si="105"/>
        <v/>
      </c>
      <c r="X91" s="33" t="str">
        <f t="shared" si="105"/>
        <v/>
      </c>
      <c r="Y91" s="33" t="str">
        <f t="shared" si="105"/>
        <v/>
      </c>
      <c r="Z91" s="34" t="str">
        <f t="shared" si="106"/>
        <v/>
      </c>
      <c r="AA91" s="33" t="str">
        <f t="shared" si="107"/>
        <v/>
      </c>
      <c r="AB91" s="12"/>
      <c r="AC91" s="1"/>
      <c r="AD91" s="1"/>
    </row>
    <row r="92" ht="6.75" customHeight="1">
      <c r="A92" s="1"/>
      <c r="B92" s="1"/>
      <c r="C92" s="7"/>
      <c r="D92" s="16"/>
      <c r="E92" s="16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12"/>
      <c r="AC92" s="1"/>
      <c r="AD92" s="1"/>
    </row>
    <row r="93" ht="11.25" customHeight="1">
      <c r="A93" s="1"/>
      <c r="B93" s="1"/>
      <c r="C93" s="7"/>
      <c r="D93" s="19"/>
      <c r="E93" s="20" t="str">
        <f>IFERROR(VLOOKUP(D93,HANDICAPS!$B$8:$G$23,$B$3,FALSE),"")</f>
        <v/>
      </c>
      <c r="F93" s="21" t="str">
        <f t="shared" ref="F93:N93" si="108">IFERROR(IF($E93&gt;18,IF(($E93-18)&gt;F$33,"**","*"),IF($E93&gt;=F$8,"*","")),"")</f>
        <v>*</v>
      </c>
      <c r="G93" s="21" t="str">
        <f t="shared" si="108"/>
        <v>*</v>
      </c>
      <c r="H93" s="21" t="str">
        <f t="shared" si="108"/>
        <v>*</v>
      </c>
      <c r="I93" s="21" t="str">
        <f t="shared" si="108"/>
        <v>*</v>
      </c>
      <c r="J93" s="21" t="str">
        <f t="shared" si="108"/>
        <v>*</v>
      </c>
      <c r="K93" s="21" t="str">
        <f t="shared" si="108"/>
        <v>*</v>
      </c>
      <c r="L93" s="21" t="str">
        <f t="shared" si="108"/>
        <v>*</v>
      </c>
      <c r="M93" s="21" t="str">
        <f t="shared" si="108"/>
        <v>*</v>
      </c>
      <c r="N93" s="21" t="str">
        <f t="shared" si="108"/>
        <v>*</v>
      </c>
      <c r="O93" s="22" t="str">
        <f>IF(F94="","",SUM(F94:N94))</f>
        <v/>
      </c>
      <c r="P93" s="23"/>
      <c r="Q93" s="21" t="str">
        <f t="shared" ref="Q93:Y93" si="109">IFERROR(IF($E93&gt;18,IF(($E93-18)&gt;Q$33,"**","*"),IF($E93&gt;=Q$8,"*","")),"")</f>
        <v>*</v>
      </c>
      <c r="R93" s="21" t="str">
        <f t="shared" si="109"/>
        <v>*</v>
      </c>
      <c r="S93" s="21" t="str">
        <f t="shared" si="109"/>
        <v>*</v>
      </c>
      <c r="T93" s="21" t="str">
        <f t="shared" si="109"/>
        <v>*</v>
      </c>
      <c r="U93" s="21" t="str">
        <f t="shared" si="109"/>
        <v>*</v>
      </c>
      <c r="V93" s="21" t="str">
        <f t="shared" si="109"/>
        <v>*</v>
      </c>
      <c r="W93" s="21" t="str">
        <f t="shared" si="109"/>
        <v>*</v>
      </c>
      <c r="X93" s="21" t="str">
        <f t="shared" si="109"/>
        <v>*</v>
      </c>
      <c r="Y93" s="21" t="str">
        <f t="shared" si="109"/>
        <v>*</v>
      </c>
      <c r="Z93" s="22" t="str">
        <f>IF(Q94="","",SUM(Q94:Y94))</f>
        <v/>
      </c>
      <c r="AA93" s="22" t="str">
        <f>IF(Z93="","",SUM(O93,Z93))</f>
        <v/>
      </c>
      <c r="AB93" s="12"/>
      <c r="AC93" s="1"/>
      <c r="AD93" s="1"/>
    </row>
    <row r="94" ht="18.75" customHeight="1">
      <c r="A94" s="1"/>
      <c r="B94" s="1"/>
      <c r="C94" s="7"/>
      <c r="D94" s="24"/>
      <c r="E94" s="25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23"/>
      <c r="Q94" s="28"/>
      <c r="R94" s="28"/>
      <c r="S94" s="28"/>
      <c r="T94" s="28"/>
      <c r="U94" s="28"/>
      <c r="V94" s="28"/>
      <c r="W94" s="28"/>
      <c r="X94" s="28"/>
      <c r="Y94" s="28"/>
      <c r="Z94" s="27"/>
      <c r="AA94" s="27"/>
      <c r="AB94" s="12"/>
      <c r="AC94" s="1"/>
      <c r="AD94" s="1"/>
    </row>
    <row r="95" ht="11.25" customHeight="1">
      <c r="A95" s="1"/>
      <c r="B95" s="1"/>
      <c r="C95" s="7"/>
      <c r="D95" s="19"/>
      <c r="E95" s="20" t="str">
        <f>IFERROR(VLOOKUP(D95,HANDICAPS!$B$8:$G$23,$B$3,FALSE),"")</f>
        <v/>
      </c>
      <c r="F95" s="21" t="str">
        <f t="shared" ref="F95:N95" si="110">IFERROR(IF($E95&gt;18,IF(($E95-18)&gt;F$33,"**","*"),IF($E95&gt;=F$8,"*","")),"")</f>
        <v>*</v>
      </c>
      <c r="G95" s="21" t="str">
        <f t="shared" si="110"/>
        <v>*</v>
      </c>
      <c r="H95" s="21" t="str">
        <f t="shared" si="110"/>
        <v>*</v>
      </c>
      <c r="I95" s="21" t="str">
        <f t="shared" si="110"/>
        <v>*</v>
      </c>
      <c r="J95" s="21" t="str">
        <f t="shared" si="110"/>
        <v>*</v>
      </c>
      <c r="K95" s="21" t="str">
        <f t="shared" si="110"/>
        <v>*</v>
      </c>
      <c r="L95" s="21" t="str">
        <f t="shared" si="110"/>
        <v>*</v>
      </c>
      <c r="M95" s="21" t="str">
        <f t="shared" si="110"/>
        <v>*</v>
      </c>
      <c r="N95" s="21" t="str">
        <f t="shared" si="110"/>
        <v>*</v>
      </c>
      <c r="O95" s="22" t="str">
        <f>IF(F96="","",SUM(F96:N96))</f>
        <v/>
      </c>
      <c r="P95" s="23"/>
      <c r="Q95" s="21" t="str">
        <f t="shared" ref="Q95:Y95" si="111">IFERROR(IF($E95&gt;18,IF(($E95-18)&gt;Q$33,"**","*"),IF($E95&gt;=Q$8,"*","")),"")</f>
        <v>*</v>
      </c>
      <c r="R95" s="21" t="str">
        <f t="shared" si="111"/>
        <v>*</v>
      </c>
      <c r="S95" s="21" t="str">
        <f t="shared" si="111"/>
        <v>*</v>
      </c>
      <c r="T95" s="21" t="str">
        <f t="shared" si="111"/>
        <v>*</v>
      </c>
      <c r="U95" s="21" t="str">
        <f t="shared" si="111"/>
        <v>*</v>
      </c>
      <c r="V95" s="21" t="str">
        <f t="shared" si="111"/>
        <v>*</v>
      </c>
      <c r="W95" s="21" t="str">
        <f t="shared" si="111"/>
        <v>*</v>
      </c>
      <c r="X95" s="21" t="str">
        <f t="shared" si="111"/>
        <v>*</v>
      </c>
      <c r="Y95" s="21" t="str">
        <f t="shared" si="111"/>
        <v>*</v>
      </c>
      <c r="Z95" s="22" t="str">
        <f>IF(Q96="","",SUM(Q96:Y96))</f>
        <v/>
      </c>
      <c r="AA95" s="22" t="str">
        <f>IF(Z95="","",SUM(O95,Z95))</f>
        <v/>
      </c>
      <c r="AB95" s="12"/>
      <c r="AC95" s="1"/>
      <c r="AD95" s="1"/>
    </row>
    <row r="96" ht="18.75" customHeight="1">
      <c r="A96" s="1"/>
      <c r="B96" s="1"/>
      <c r="C96" s="7"/>
      <c r="D96" s="24"/>
      <c r="E96" s="25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23"/>
      <c r="Q96" s="28"/>
      <c r="R96" s="28"/>
      <c r="S96" s="28"/>
      <c r="T96" s="28"/>
      <c r="U96" s="28"/>
      <c r="V96" s="28"/>
      <c r="W96" s="28"/>
      <c r="X96" s="28"/>
      <c r="Y96" s="28"/>
      <c r="Z96" s="27"/>
      <c r="AA96" s="27"/>
      <c r="AB96" s="12"/>
      <c r="AC96" s="1"/>
      <c r="AD96" s="1"/>
    </row>
    <row r="97" ht="6.75" customHeight="1">
      <c r="A97" s="1"/>
      <c r="B97" s="1"/>
      <c r="C97" s="7"/>
      <c r="D97" s="16"/>
      <c r="E97" s="16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12"/>
      <c r="AC97" s="1"/>
      <c r="AD97" s="1"/>
    </row>
    <row r="98" ht="27.75" customHeight="1">
      <c r="A98" s="1"/>
      <c r="B98" s="1"/>
      <c r="C98" s="7"/>
      <c r="D98" s="29" t="s">
        <v>11</v>
      </c>
      <c r="E98" s="30"/>
      <c r="F98" s="31" t="str">
        <f t="shared" ref="F98:N98" si="112">IF(F94="","",MIN(IF(F93="**",F94-2,IF(F93="*",F94-1,F94)),(IF(F95="**",F96-2,IF(F95="*",F96-1,F96)))))</f>
        <v/>
      </c>
      <c r="G98" s="31" t="str">
        <f t="shared" si="112"/>
        <v/>
      </c>
      <c r="H98" s="31" t="str">
        <f t="shared" si="112"/>
        <v/>
      </c>
      <c r="I98" s="31" t="str">
        <f t="shared" si="112"/>
        <v/>
      </c>
      <c r="J98" s="31" t="str">
        <f t="shared" si="112"/>
        <v/>
      </c>
      <c r="K98" s="31" t="str">
        <f t="shared" si="112"/>
        <v/>
      </c>
      <c r="L98" s="31" t="str">
        <f t="shared" si="112"/>
        <v/>
      </c>
      <c r="M98" s="31" t="str">
        <f t="shared" si="112"/>
        <v/>
      </c>
      <c r="N98" s="31" t="str">
        <f t="shared" si="112"/>
        <v/>
      </c>
      <c r="O98" s="31" t="str">
        <f t="shared" ref="O98:O99" si="115">IF(F98="","",SUM(F98:N98))</f>
        <v/>
      </c>
      <c r="P98" s="23"/>
      <c r="Q98" s="31" t="str">
        <f t="shared" ref="Q98:Y98" si="113">IF(Q94="","",MIN(IF(Q93="**",Q94-2,IF(Q93="*",Q94-1,Q94)),(IF(Q95="**",Q96-2,IF(Q95="*",Q96-1,Q96)))))</f>
        <v/>
      </c>
      <c r="R98" s="31" t="str">
        <f t="shared" si="113"/>
        <v/>
      </c>
      <c r="S98" s="31" t="str">
        <f t="shared" si="113"/>
        <v/>
      </c>
      <c r="T98" s="31" t="str">
        <f t="shared" si="113"/>
        <v/>
      </c>
      <c r="U98" s="31" t="str">
        <f t="shared" si="113"/>
        <v/>
      </c>
      <c r="V98" s="31" t="str">
        <f t="shared" si="113"/>
        <v/>
      </c>
      <c r="W98" s="31" t="str">
        <f t="shared" si="113"/>
        <v/>
      </c>
      <c r="X98" s="31" t="str">
        <f t="shared" si="113"/>
        <v/>
      </c>
      <c r="Y98" s="31" t="str">
        <f t="shared" si="113"/>
        <v/>
      </c>
      <c r="Z98" s="31" t="str">
        <f t="shared" ref="Z98:Z99" si="117">IF(Q98="","",SUM(Q98:Y98))</f>
        <v/>
      </c>
      <c r="AA98" s="31" t="str">
        <f t="shared" ref="AA98:AA99" si="118">IF(Z98="","",Z98+O98)</f>
        <v/>
      </c>
      <c r="AB98" s="12"/>
      <c r="AC98" s="1"/>
      <c r="AD98" s="1"/>
    </row>
    <row r="99" ht="27.75" customHeight="1">
      <c r="A99" s="1"/>
      <c r="B99" s="1"/>
      <c r="C99" s="7"/>
      <c r="D99" s="29" t="s">
        <v>12</v>
      </c>
      <c r="E99" s="30"/>
      <c r="F99" s="33" t="str">
        <f t="shared" ref="F99:N99" si="114">IF(F98="","",IF(F98=F90,0.5,IF(F98&lt;F90,1,0)))</f>
        <v/>
      </c>
      <c r="G99" s="33" t="str">
        <f t="shared" si="114"/>
        <v/>
      </c>
      <c r="H99" s="33" t="str">
        <f t="shared" si="114"/>
        <v/>
      </c>
      <c r="I99" s="33" t="str">
        <f t="shared" si="114"/>
        <v/>
      </c>
      <c r="J99" s="33" t="str">
        <f t="shared" si="114"/>
        <v/>
      </c>
      <c r="K99" s="33" t="str">
        <f t="shared" si="114"/>
        <v/>
      </c>
      <c r="L99" s="33" t="str">
        <f t="shared" si="114"/>
        <v/>
      </c>
      <c r="M99" s="33" t="str">
        <f t="shared" si="114"/>
        <v/>
      </c>
      <c r="N99" s="33" t="str">
        <f t="shared" si="114"/>
        <v/>
      </c>
      <c r="O99" s="33" t="str">
        <f t="shared" si="115"/>
        <v/>
      </c>
      <c r="P99" s="23"/>
      <c r="Q99" s="33" t="str">
        <f t="shared" ref="Q99:Y99" si="116">IF(Q98="","",IF(Q98=Q90,0.5,IF(Q98&lt;Q90,1,0)))</f>
        <v/>
      </c>
      <c r="R99" s="33" t="str">
        <f t="shared" si="116"/>
        <v/>
      </c>
      <c r="S99" s="33" t="str">
        <f t="shared" si="116"/>
        <v/>
      </c>
      <c r="T99" s="33" t="str">
        <f t="shared" si="116"/>
        <v/>
      </c>
      <c r="U99" s="33" t="str">
        <f t="shared" si="116"/>
        <v/>
      </c>
      <c r="V99" s="33" t="str">
        <f t="shared" si="116"/>
        <v/>
      </c>
      <c r="W99" s="33" t="str">
        <f t="shared" si="116"/>
        <v/>
      </c>
      <c r="X99" s="33" t="str">
        <f t="shared" si="116"/>
        <v/>
      </c>
      <c r="Y99" s="33" t="str">
        <f t="shared" si="116"/>
        <v/>
      </c>
      <c r="Z99" s="33" t="str">
        <f t="shared" si="117"/>
        <v/>
      </c>
      <c r="AA99" s="33" t="str">
        <f t="shared" si="118"/>
        <v/>
      </c>
      <c r="AB99" s="12"/>
      <c r="AC99" s="1"/>
      <c r="AD99" s="1"/>
    </row>
    <row r="100" ht="6.75" customHeight="1">
      <c r="A100" s="1"/>
      <c r="B100" s="1"/>
      <c r="C100" s="35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7"/>
      <c r="AC100" s="1"/>
      <c r="AD100" s="1"/>
    </row>
    <row r="101" ht="6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6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4.25" hidden="1" customHeight="1">
      <c r="A113" s="1"/>
      <c r="B113" s="1"/>
      <c r="C113" s="1"/>
      <c r="D113" s="39" t="s">
        <v>13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4.25" hidden="1" customHeight="1">
      <c r="A114" s="1"/>
      <c r="B114" s="1"/>
      <c r="C114" s="1"/>
      <c r="D114" s="1" t="str">
        <f>D10</f>
        <v/>
      </c>
      <c r="E114" s="1"/>
      <c r="F114" s="40" t="str">
        <f t="shared" ref="F114:N114" si="119">F11</f>
        <v/>
      </c>
      <c r="G114" s="40" t="str">
        <f t="shared" si="119"/>
        <v/>
      </c>
      <c r="H114" s="40" t="str">
        <f t="shared" si="119"/>
        <v/>
      </c>
      <c r="I114" s="40" t="str">
        <f t="shared" si="119"/>
        <v/>
      </c>
      <c r="J114" s="40" t="str">
        <f t="shared" si="119"/>
        <v/>
      </c>
      <c r="K114" s="40" t="str">
        <f t="shared" si="119"/>
        <v/>
      </c>
      <c r="L114" s="40" t="str">
        <f t="shared" si="119"/>
        <v/>
      </c>
      <c r="M114" s="40" t="str">
        <f t="shared" si="119"/>
        <v/>
      </c>
      <c r="N114" s="40" t="str">
        <f t="shared" si="119"/>
        <v/>
      </c>
      <c r="O114" s="40"/>
      <c r="P114" s="40"/>
      <c r="Q114" s="40" t="str">
        <f t="shared" ref="Q114:Y114" si="120">Q11</f>
        <v/>
      </c>
      <c r="R114" s="40" t="str">
        <f t="shared" si="120"/>
        <v/>
      </c>
      <c r="S114" s="40" t="str">
        <f t="shared" si="120"/>
        <v/>
      </c>
      <c r="T114" s="40" t="str">
        <f t="shared" si="120"/>
        <v/>
      </c>
      <c r="U114" s="40" t="str">
        <f t="shared" si="120"/>
        <v/>
      </c>
      <c r="V114" s="40" t="str">
        <f t="shared" si="120"/>
        <v/>
      </c>
      <c r="W114" s="40" t="str">
        <f t="shared" si="120"/>
        <v/>
      </c>
      <c r="X114" s="40" t="str">
        <f t="shared" si="120"/>
        <v/>
      </c>
      <c r="Y114" s="40" t="str">
        <f t="shared" si="120"/>
        <v/>
      </c>
      <c r="Z114" s="1"/>
      <c r="AA114" s="1"/>
      <c r="AB114" s="1"/>
      <c r="AC114" s="1"/>
      <c r="AD114" s="1"/>
    </row>
    <row r="115" ht="14.25" hidden="1" customHeight="1">
      <c r="A115" s="1"/>
      <c r="B115" s="1"/>
      <c r="C115" s="1"/>
      <c r="D115" s="1" t="str">
        <f>D12</f>
        <v/>
      </c>
      <c r="E115" s="1"/>
      <c r="F115" s="40" t="str">
        <f t="shared" ref="F115:N115" si="121">F13</f>
        <v/>
      </c>
      <c r="G115" s="40" t="str">
        <f t="shared" si="121"/>
        <v/>
      </c>
      <c r="H115" s="40" t="str">
        <f t="shared" si="121"/>
        <v/>
      </c>
      <c r="I115" s="40" t="str">
        <f t="shared" si="121"/>
        <v/>
      </c>
      <c r="J115" s="40" t="str">
        <f t="shared" si="121"/>
        <v/>
      </c>
      <c r="K115" s="40" t="str">
        <f t="shared" si="121"/>
        <v/>
      </c>
      <c r="L115" s="40" t="str">
        <f t="shared" si="121"/>
        <v/>
      </c>
      <c r="M115" s="40" t="str">
        <f t="shared" si="121"/>
        <v/>
      </c>
      <c r="N115" s="40" t="str">
        <f t="shared" si="121"/>
        <v/>
      </c>
      <c r="O115" s="40"/>
      <c r="P115" s="40"/>
      <c r="Q115" s="40" t="str">
        <f t="shared" ref="Q115:Y115" si="122">Q13</f>
        <v/>
      </c>
      <c r="R115" s="40" t="str">
        <f t="shared" si="122"/>
        <v/>
      </c>
      <c r="S115" s="40" t="str">
        <f t="shared" si="122"/>
        <v/>
      </c>
      <c r="T115" s="40" t="str">
        <f t="shared" si="122"/>
        <v/>
      </c>
      <c r="U115" s="40" t="str">
        <f t="shared" si="122"/>
        <v/>
      </c>
      <c r="V115" s="40" t="str">
        <f t="shared" si="122"/>
        <v/>
      </c>
      <c r="W115" s="40" t="str">
        <f t="shared" si="122"/>
        <v/>
      </c>
      <c r="X115" s="40" t="str">
        <f t="shared" si="122"/>
        <v/>
      </c>
      <c r="Y115" s="40" t="str">
        <f t="shared" si="122"/>
        <v/>
      </c>
      <c r="Z115" s="1"/>
      <c r="AA115" s="1"/>
      <c r="AB115" s="1"/>
      <c r="AC115" s="1"/>
      <c r="AD115" s="1"/>
    </row>
    <row r="116" ht="14.25" hidden="1" customHeight="1">
      <c r="A116" s="1"/>
      <c r="B116" s="1"/>
      <c r="C116" s="1"/>
      <c r="D116" s="1" t="str">
        <f>D18</f>
        <v/>
      </c>
      <c r="E116" s="1"/>
      <c r="F116" s="40" t="str">
        <f t="shared" ref="F116:N116" si="123">F19</f>
        <v/>
      </c>
      <c r="G116" s="40" t="str">
        <f t="shared" si="123"/>
        <v/>
      </c>
      <c r="H116" s="40" t="str">
        <f t="shared" si="123"/>
        <v/>
      </c>
      <c r="I116" s="40" t="str">
        <f t="shared" si="123"/>
        <v/>
      </c>
      <c r="J116" s="40" t="str">
        <f t="shared" si="123"/>
        <v/>
      </c>
      <c r="K116" s="40" t="str">
        <f t="shared" si="123"/>
        <v/>
      </c>
      <c r="L116" s="40" t="str">
        <f t="shared" si="123"/>
        <v/>
      </c>
      <c r="M116" s="40" t="str">
        <f t="shared" si="123"/>
        <v/>
      </c>
      <c r="N116" s="40" t="str">
        <f t="shared" si="123"/>
        <v/>
      </c>
      <c r="O116" s="40"/>
      <c r="P116" s="40"/>
      <c r="Q116" s="40" t="str">
        <f t="shared" ref="Q116:Y116" si="124">Q19</f>
        <v/>
      </c>
      <c r="R116" s="40" t="str">
        <f t="shared" si="124"/>
        <v/>
      </c>
      <c r="S116" s="40" t="str">
        <f t="shared" si="124"/>
        <v/>
      </c>
      <c r="T116" s="40" t="str">
        <f t="shared" si="124"/>
        <v/>
      </c>
      <c r="U116" s="40" t="str">
        <f t="shared" si="124"/>
        <v/>
      </c>
      <c r="V116" s="40" t="str">
        <f t="shared" si="124"/>
        <v/>
      </c>
      <c r="W116" s="40" t="str">
        <f t="shared" si="124"/>
        <v/>
      </c>
      <c r="X116" s="40" t="str">
        <f t="shared" si="124"/>
        <v/>
      </c>
      <c r="Y116" s="40" t="str">
        <f t="shared" si="124"/>
        <v/>
      </c>
      <c r="Z116" s="1"/>
      <c r="AA116" s="1"/>
      <c r="AB116" s="1"/>
      <c r="AC116" s="1"/>
      <c r="AD116" s="1"/>
    </row>
    <row r="117" ht="14.25" hidden="1" customHeight="1">
      <c r="A117" s="1"/>
      <c r="B117" s="1"/>
      <c r="C117" s="1"/>
      <c r="D117" s="1" t="str">
        <f>D20</f>
        <v/>
      </c>
      <c r="E117" s="1"/>
      <c r="F117" s="40" t="str">
        <f t="shared" ref="F117:N117" si="125">F21</f>
        <v/>
      </c>
      <c r="G117" s="40" t="str">
        <f t="shared" si="125"/>
        <v/>
      </c>
      <c r="H117" s="40" t="str">
        <f t="shared" si="125"/>
        <v/>
      </c>
      <c r="I117" s="40" t="str">
        <f t="shared" si="125"/>
        <v/>
      </c>
      <c r="J117" s="40" t="str">
        <f t="shared" si="125"/>
        <v/>
      </c>
      <c r="K117" s="40" t="str">
        <f t="shared" si="125"/>
        <v/>
      </c>
      <c r="L117" s="40" t="str">
        <f t="shared" si="125"/>
        <v/>
      </c>
      <c r="M117" s="40" t="str">
        <f t="shared" si="125"/>
        <v/>
      </c>
      <c r="N117" s="40" t="str">
        <f t="shared" si="125"/>
        <v/>
      </c>
      <c r="O117" s="40"/>
      <c r="P117" s="40"/>
      <c r="Q117" s="40" t="str">
        <f t="shared" ref="Q117:Y117" si="126">Q21</f>
        <v/>
      </c>
      <c r="R117" s="40" t="str">
        <f t="shared" si="126"/>
        <v/>
      </c>
      <c r="S117" s="40" t="str">
        <f t="shared" si="126"/>
        <v/>
      </c>
      <c r="T117" s="40" t="str">
        <f t="shared" si="126"/>
        <v/>
      </c>
      <c r="U117" s="40" t="str">
        <f t="shared" si="126"/>
        <v/>
      </c>
      <c r="V117" s="40" t="str">
        <f t="shared" si="126"/>
        <v/>
      </c>
      <c r="W117" s="40" t="str">
        <f t="shared" si="126"/>
        <v/>
      </c>
      <c r="X117" s="40" t="str">
        <f t="shared" si="126"/>
        <v/>
      </c>
      <c r="Y117" s="40" t="str">
        <f t="shared" si="126"/>
        <v/>
      </c>
      <c r="Z117" s="1"/>
      <c r="AA117" s="1"/>
      <c r="AB117" s="1"/>
      <c r="AC117" s="1"/>
      <c r="AD117" s="1"/>
    </row>
    <row r="118" ht="14.25" hidden="1" customHeight="1">
      <c r="A118" s="1"/>
      <c r="B118" s="1"/>
      <c r="C118" s="1"/>
      <c r="D118" s="1" t="str">
        <f>D35</f>
        <v/>
      </c>
      <c r="E118" s="1"/>
      <c r="F118" s="40" t="str">
        <f t="shared" ref="F118:N118" si="127">F36</f>
        <v/>
      </c>
      <c r="G118" s="40" t="str">
        <f t="shared" si="127"/>
        <v/>
      </c>
      <c r="H118" s="40" t="str">
        <f t="shared" si="127"/>
        <v/>
      </c>
      <c r="I118" s="40" t="str">
        <f t="shared" si="127"/>
        <v/>
      </c>
      <c r="J118" s="40" t="str">
        <f t="shared" si="127"/>
        <v/>
      </c>
      <c r="K118" s="40" t="str">
        <f t="shared" si="127"/>
        <v/>
      </c>
      <c r="L118" s="40" t="str">
        <f t="shared" si="127"/>
        <v/>
      </c>
      <c r="M118" s="40" t="str">
        <f t="shared" si="127"/>
        <v/>
      </c>
      <c r="N118" s="40" t="str">
        <f t="shared" si="127"/>
        <v/>
      </c>
      <c r="O118" s="40"/>
      <c r="P118" s="40"/>
      <c r="Q118" s="40" t="str">
        <f t="shared" ref="Q118:Y118" si="128">Q36</f>
        <v/>
      </c>
      <c r="R118" s="40" t="str">
        <f t="shared" si="128"/>
        <v/>
      </c>
      <c r="S118" s="40" t="str">
        <f t="shared" si="128"/>
        <v/>
      </c>
      <c r="T118" s="40" t="str">
        <f t="shared" si="128"/>
        <v/>
      </c>
      <c r="U118" s="40" t="str">
        <f t="shared" si="128"/>
        <v/>
      </c>
      <c r="V118" s="40" t="str">
        <f t="shared" si="128"/>
        <v/>
      </c>
      <c r="W118" s="40" t="str">
        <f t="shared" si="128"/>
        <v/>
      </c>
      <c r="X118" s="40" t="str">
        <f t="shared" si="128"/>
        <v/>
      </c>
      <c r="Y118" s="40" t="str">
        <f t="shared" si="128"/>
        <v/>
      </c>
      <c r="Z118" s="1"/>
      <c r="AA118" s="1"/>
      <c r="AB118" s="1"/>
      <c r="AC118" s="1"/>
      <c r="AD118" s="1"/>
    </row>
    <row r="119" ht="14.25" hidden="1" customHeight="1">
      <c r="A119" s="1"/>
      <c r="B119" s="1"/>
      <c r="C119" s="1"/>
      <c r="D119" s="1" t="str">
        <f>D37</f>
        <v/>
      </c>
      <c r="E119" s="1"/>
      <c r="F119" s="40" t="str">
        <f t="shared" ref="F119:N119" si="129">F38</f>
        <v/>
      </c>
      <c r="G119" s="40" t="str">
        <f t="shared" si="129"/>
        <v/>
      </c>
      <c r="H119" s="40" t="str">
        <f t="shared" si="129"/>
        <v/>
      </c>
      <c r="I119" s="40" t="str">
        <f t="shared" si="129"/>
        <v/>
      </c>
      <c r="J119" s="40" t="str">
        <f t="shared" si="129"/>
        <v/>
      </c>
      <c r="K119" s="40" t="str">
        <f t="shared" si="129"/>
        <v/>
      </c>
      <c r="L119" s="40" t="str">
        <f t="shared" si="129"/>
        <v/>
      </c>
      <c r="M119" s="40" t="str">
        <f t="shared" si="129"/>
        <v/>
      </c>
      <c r="N119" s="40" t="str">
        <f t="shared" si="129"/>
        <v/>
      </c>
      <c r="O119" s="40"/>
      <c r="P119" s="40"/>
      <c r="Q119" s="40" t="str">
        <f t="shared" ref="Q119:Y119" si="130">Q38</f>
        <v/>
      </c>
      <c r="R119" s="40" t="str">
        <f t="shared" si="130"/>
        <v/>
      </c>
      <c r="S119" s="40" t="str">
        <f t="shared" si="130"/>
        <v/>
      </c>
      <c r="T119" s="40" t="str">
        <f t="shared" si="130"/>
        <v/>
      </c>
      <c r="U119" s="40" t="str">
        <f t="shared" si="130"/>
        <v/>
      </c>
      <c r="V119" s="40" t="str">
        <f t="shared" si="130"/>
        <v/>
      </c>
      <c r="W119" s="40" t="str">
        <f t="shared" si="130"/>
        <v/>
      </c>
      <c r="X119" s="40" t="str">
        <f t="shared" si="130"/>
        <v/>
      </c>
      <c r="Y119" s="40" t="str">
        <f t="shared" si="130"/>
        <v/>
      </c>
      <c r="Z119" s="1"/>
      <c r="AA119" s="1"/>
      <c r="AB119" s="1"/>
      <c r="AC119" s="1"/>
      <c r="AD119" s="1"/>
    </row>
    <row r="120" ht="14.25" hidden="1" customHeight="1">
      <c r="A120" s="1"/>
      <c r="B120" s="1"/>
      <c r="C120" s="1"/>
      <c r="D120" s="1" t="str">
        <f>D43</f>
        <v/>
      </c>
      <c r="E120" s="1"/>
      <c r="F120" s="40" t="str">
        <f t="shared" ref="F120:N120" si="131">F44</f>
        <v/>
      </c>
      <c r="G120" s="40" t="str">
        <f t="shared" si="131"/>
        <v/>
      </c>
      <c r="H120" s="40" t="str">
        <f t="shared" si="131"/>
        <v/>
      </c>
      <c r="I120" s="40" t="str">
        <f t="shared" si="131"/>
        <v/>
      </c>
      <c r="J120" s="40" t="str">
        <f t="shared" si="131"/>
        <v/>
      </c>
      <c r="K120" s="40" t="str">
        <f t="shared" si="131"/>
        <v/>
      </c>
      <c r="L120" s="40" t="str">
        <f t="shared" si="131"/>
        <v/>
      </c>
      <c r="M120" s="40" t="str">
        <f t="shared" si="131"/>
        <v/>
      </c>
      <c r="N120" s="40" t="str">
        <f t="shared" si="131"/>
        <v/>
      </c>
      <c r="O120" s="40"/>
      <c r="P120" s="40"/>
      <c r="Q120" s="40" t="str">
        <f t="shared" ref="Q120:Y120" si="132">Q44</f>
        <v/>
      </c>
      <c r="R120" s="40" t="str">
        <f t="shared" si="132"/>
        <v/>
      </c>
      <c r="S120" s="40" t="str">
        <f t="shared" si="132"/>
        <v/>
      </c>
      <c r="T120" s="40" t="str">
        <f t="shared" si="132"/>
        <v/>
      </c>
      <c r="U120" s="40" t="str">
        <f t="shared" si="132"/>
        <v/>
      </c>
      <c r="V120" s="40" t="str">
        <f t="shared" si="132"/>
        <v/>
      </c>
      <c r="W120" s="40" t="str">
        <f t="shared" si="132"/>
        <v/>
      </c>
      <c r="X120" s="40" t="str">
        <f t="shared" si="132"/>
        <v/>
      </c>
      <c r="Y120" s="40" t="str">
        <f t="shared" si="132"/>
        <v/>
      </c>
      <c r="Z120" s="1"/>
      <c r="AA120" s="1"/>
      <c r="AB120" s="1"/>
      <c r="AC120" s="1"/>
      <c r="AD120" s="1"/>
    </row>
    <row r="121" ht="14.25" hidden="1" customHeight="1">
      <c r="A121" s="1"/>
      <c r="B121" s="1"/>
      <c r="C121" s="1"/>
      <c r="D121" s="1" t="str">
        <f>D45</f>
        <v/>
      </c>
      <c r="E121" s="1"/>
      <c r="F121" s="40" t="str">
        <f t="shared" ref="F121:N121" si="133">F46</f>
        <v/>
      </c>
      <c r="G121" s="40" t="str">
        <f t="shared" si="133"/>
        <v/>
      </c>
      <c r="H121" s="40" t="str">
        <f t="shared" si="133"/>
        <v/>
      </c>
      <c r="I121" s="40" t="str">
        <f t="shared" si="133"/>
        <v/>
      </c>
      <c r="J121" s="40" t="str">
        <f t="shared" si="133"/>
        <v/>
      </c>
      <c r="K121" s="40" t="str">
        <f t="shared" si="133"/>
        <v/>
      </c>
      <c r="L121" s="40" t="str">
        <f t="shared" si="133"/>
        <v/>
      </c>
      <c r="M121" s="40" t="str">
        <f t="shared" si="133"/>
        <v/>
      </c>
      <c r="N121" s="40" t="str">
        <f t="shared" si="133"/>
        <v/>
      </c>
      <c r="O121" s="40"/>
      <c r="P121" s="40"/>
      <c r="Q121" s="40" t="str">
        <f t="shared" ref="Q121:Y121" si="134">Q46</f>
        <v/>
      </c>
      <c r="R121" s="40" t="str">
        <f t="shared" si="134"/>
        <v/>
      </c>
      <c r="S121" s="40" t="str">
        <f t="shared" si="134"/>
        <v/>
      </c>
      <c r="T121" s="40" t="str">
        <f t="shared" si="134"/>
        <v/>
      </c>
      <c r="U121" s="40" t="str">
        <f t="shared" si="134"/>
        <v/>
      </c>
      <c r="V121" s="40" t="str">
        <f t="shared" si="134"/>
        <v/>
      </c>
      <c r="W121" s="40" t="str">
        <f t="shared" si="134"/>
        <v/>
      </c>
      <c r="X121" s="40" t="str">
        <f t="shared" si="134"/>
        <v/>
      </c>
      <c r="Y121" s="40" t="str">
        <f t="shared" si="134"/>
        <v/>
      </c>
      <c r="Z121" s="1"/>
      <c r="AA121" s="1"/>
      <c r="AB121" s="1"/>
      <c r="AC121" s="1"/>
      <c r="AD121" s="1"/>
    </row>
    <row r="122" ht="14.25" hidden="1" customHeight="1">
      <c r="A122" s="1"/>
      <c r="B122" s="1"/>
      <c r="C122" s="1"/>
      <c r="D122" s="1" t="str">
        <f>D60</f>
        <v/>
      </c>
      <c r="E122" s="1"/>
      <c r="F122" s="40" t="str">
        <f t="shared" ref="F122:N122" si="135">F61</f>
        <v/>
      </c>
      <c r="G122" s="40" t="str">
        <f t="shared" si="135"/>
        <v/>
      </c>
      <c r="H122" s="40" t="str">
        <f t="shared" si="135"/>
        <v/>
      </c>
      <c r="I122" s="40" t="str">
        <f t="shared" si="135"/>
        <v/>
      </c>
      <c r="J122" s="40" t="str">
        <f t="shared" si="135"/>
        <v/>
      </c>
      <c r="K122" s="40" t="str">
        <f t="shared" si="135"/>
        <v/>
      </c>
      <c r="L122" s="40" t="str">
        <f t="shared" si="135"/>
        <v/>
      </c>
      <c r="M122" s="40" t="str">
        <f t="shared" si="135"/>
        <v/>
      </c>
      <c r="N122" s="40" t="str">
        <f t="shared" si="135"/>
        <v/>
      </c>
      <c r="O122" s="40"/>
      <c r="P122" s="40"/>
      <c r="Q122" s="40" t="str">
        <f t="shared" ref="Q122:Y122" si="136">Q61</f>
        <v/>
      </c>
      <c r="R122" s="40" t="str">
        <f t="shared" si="136"/>
        <v/>
      </c>
      <c r="S122" s="40" t="str">
        <f t="shared" si="136"/>
        <v/>
      </c>
      <c r="T122" s="40" t="str">
        <f t="shared" si="136"/>
        <v/>
      </c>
      <c r="U122" s="40" t="str">
        <f t="shared" si="136"/>
        <v/>
      </c>
      <c r="V122" s="40" t="str">
        <f t="shared" si="136"/>
        <v/>
      </c>
      <c r="W122" s="40" t="str">
        <f t="shared" si="136"/>
        <v/>
      </c>
      <c r="X122" s="40" t="str">
        <f t="shared" si="136"/>
        <v/>
      </c>
      <c r="Y122" s="40" t="str">
        <f t="shared" si="136"/>
        <v/>
      </c>
      <c r="Z122" s="1"/>
      <c r="AA122" s="1"/>
      <c r="AB122" s="1"/>
      <c r="AC122" s="1"/>
      <c r="AD122" s="1"/>
    </row>
    <row r="123" ht="14.25" hidden="1" customHeight="1">
      <c r="A123" s="1"/>
      <c r="B123" s="1"/>
      <c r="C123" s="1"/>
      <c r="D123" s="1" t="str">
        <f>D62</f>
        <v/>
      </c>
      <c r="E123" s="1"/>
      <c r="F123" s="40" t="str">
        <f t="shared" ref="F123:N123" si="137">F63</f>
        <v/>
      </c>
      <c r="G123" s="40" t="str">
        <f t="shared" si="137"/>
        <v/>
      </c>
      <c r="H123" s="40" t="str">
        <f t="shared" si="137"/>
        <v/>
      </c>
      <c r="I123" s="40" t="str">
        <f t="shared" si="137"/>
        <v/>
      </c>
      <c r="J123" s="40" t="str">
        <f t="shared" si="137"/>
        <v/>
      </c>
      <c r="K123" s="40" t="str">
        <f t="shared" si="137"/>
        <v/>
      </c>
      <c r="L123" s="40" t="str">
        <f t="shared" si="137"/>
        <v/>
      </c>
      <c r="M123" s="40" t="str">
        <f t="shared" si="137"/>
        <v/>
      </c>
      <c r="N123" s="40" t="str">
        <f t="shared" si="137"/>
        <v/>
      </c>
      <c r="O123" s="40"/>
      <c r="P123" s="40"/>
      <c r="Q123" s="40" t="str">
        <f t="shared" ref="Q123:Y123" si="138">Q63</f>
        <v/>
      </c>
      <c r="R123" s="40" t="str">
        <f t="shared" si="138"/>
        <v/>
      </c>
      <c r="S123" s="40" t="str">
        <f t="shared" si="138"/>
        <v/>
      </c>
      <c r="T123" s="40" t="str">
        <f t="shared" si="138"/>
        <v/>
      </c>
      <c r="U123" s="40" t="str">
        <f t="shared" si="138"/>
        <v/>
      </c>
      <c r="V123" s="40" t="str">
        <f t="shared" si="138"/>
        <v/>
      </c>
      <c r="W123" s="40" t="str">
        <f t="shared" si="138"/>
        <v/>
      </c>
      <c r="X123" s="40" t="str">
        <f t="shared" si="138"/>
        <v/>
      </c>
      <c r="Y123" s="40" t="str">
        <f t="shared" si="138"/>
        <v/>
      </c>
      <c r="Z123" s="1"/>
      <c r="AA123" s="1"/>
      <c r="AB123" s="1"/>
      <c r="AC123" s="1"/>
      <c r="AD123" s="1"/>
    </row>
    <row r="124" ht="14.25" hidden="1" customHeight="1">
      <c r="A124" s="1"/>
      <c r="B124" s="1"/>
      <c r="C124" s="1"/>
      <c r="D124" s="1" t="str">
        <f>D68</f>
        <v/>
      </c>
      <c r="E124" s="1"/>
      <c r="F124" s="40" t="str">
        <f t="shared" ref="F124:N124" si="139">F69</f>
        <v/>
      </c>
      <c r="G124" s="40" t="str">
        <f t="shared" si="139"/>
        <v/>
      </c>
      <c r="H124" s="40" t="str">
        <f t="shared" si="139"/>
        <v/>
      </c>
      <c r="I124" s="40" t="str">
        <f t="shared" si="139"/>
        <v/>
      </c>
      <c r="J124" s="40" t="str">
        <f t="shared" si="139"/>
        <v/>
      </c>
      <c r="K124" s="40" t="str">
        <f t="shared" si="139"/>
        <v/>
      </c>
      <c r="L124" s="40" t="str">
        <f t="shared" si="139"/>
        <v/>
      </c>
      <c r="M124" s="40" t="str">
        <f t="shared" si="139"/>
        <v/>
      </c>
      <c r="N124" s="40" t="str">
        <f t="shared" si="139"/>
        <v/>
      </c>
      <c r="O124" s="40"/>
      <c r="P124" s="40"/>
      <c r="Q124" s="40" t="str">
        <f t="shared" ref="Q124:Y124" si="140">Q69</f>
        <v/>
      </c>
      <c r="R124" s="40" t="str">
        <f t="shared" si="140"/>
        <v/>
      </c>
      <c r="S124" s="40" t="str">
        <f t="shared" si="140"/>
        <v/>
      </c>
      <c r="T124" s="40" t="str">
        <f t="shared" si="140"/>
        <v/>
      </c>
      <c r="U124" s="40" t="str">
        <f t="shared" si="140"/>
        <v/>
      </c>
      <c r="V124" s="40" t="str">
        <f t="shared" si="140"/>
        <v/>
      </c>
      <c r="W124" s="40" t="str">
        <f t="shared" si="140"/>
        <v/>
      </c>
      <c r="X124" s="40" t="str">
        <f t="shared" si="140"/>
        <v/>
      </c>
      <c r="Y124" s="40" t="str">
        <f t="shared" si="140"/>
        <v/>
      </c>
      <c r="Z124" s="1"/>
      <c r="AA124" s="1"/>
      <c r="AB124" s="1"/>
      <c r="AC124" s="1"/>
      <c r="AD124" s="1"/>
    </row>
    <row r="125" ht="14.25" hidden="1" customHeight="1">
      <c r="A125" s="1"/>
      <c r="B125" s="1"/>
      <c r="C125" s="1"/>
      <c r="D125" s="1" t="str">
        <f>D70</f>
        <v/>
      </c>
      <c r="E125" s="1"/>
      <c r="F125" s="40" t="str">
        <f t="shared" ref="F125:N125" si="141">F71</f>
        <v/>
      </c>
      <c r="G125" s="40" t="str">
        <f t="shared" si="141"/>
        <v/>
      </c>
      <c r="H125" s="40" t="str">
        <f t="shared" si="141"/>
        <v/>
      </c>
      <c r="I125" s="40" t="str">
        <f t="shared" si="141"/>
        <v/>
      </c>
      <c r="J125" s="40" t="str">
        <f t="shared" si="141"/>
        <v/>
      </c>
      <c r="K125" s="40" t="str">
        <f t="shared" si="141"/>
        <v/>
      </c>
      <c r="L125" s="40" t="str">
        <f t="shared" si="141"/>
        <v/>
      </c>
      <c r="M125" s="40" t="str">
        <f t="shared" si="141"/>
        <v/>
      </c>
      <c r="N125" s="40" t="str">
        <f t="shared" si="141"/>
        <v/>
      </c>
      <c r="O125" s="40"/>
      <c r="P125" s="40"/>
      <c r="Q125" s="40" t="str">
        <f t="shared" ref="Q125:Y125" si="142">Q71</f>
        <v/>
      </c>
      <c r="R125" s="40" t="str">
        <f t="shared" si="142"/>
        <v/>
      </c>
      <c r="S125" s="40" t="str">
        <f t="shared" si="142"/>
        <v/>
      </c>
      <c r="T125" s="40" t="str">
        <f t="shared" si="142"/>
        <v/>
      </c>
      <c r="U125" s="40" t="str">
        <f t="shared" si="142"/>
        <v/>
      </c>
      <c r="V125" s="40" t="str">
        <f t="shared" si="142"/>
        <v/>
      </c>
      <c r="W125" s="40" t="str">
        <f t="shared" si="142"/>
        <v/>
      </c>
      <c r="X125" s="40" t="str">
        <f t="shared" si="142"/>
        <v/>
      </c>
      <c r="Y125" s="40" t="str">
        <f t="shared" si="142"/>
        <v/>
      </c>
      <c r="Z125" s="1"/>
      <c r="AA125" s="1"/>
      <c r="AB125" s="1"/>
      <c r="AC125" s="1"/>
      <c r="AD125" s="1"/>
    </row>
    <row r="126" ht="14.25" hidden="1" customHeight="1">
      <c r="A126" s="1"/>
      <c r="B126" s="1"/>
      <c r="C126" s="1"/>
      <c r="D126" s="1" t="str">
        <f>D85</f>
        <v/>
      </c>
      <c r="E126" s="1"/>
      <c r="F126" s="40" t="str">
        <f t="shared" ref="F126:N126" si="143">F86</f>
        <v/>
      </c>
      <c r="G126" s="40" t="str">
        <f t="shared" si="143"/>
        <v/>
      </c>
      <c r="H126" s="40" t="str">
        <f t="shared" si="143"/>
        <v/>
      </c>
      <c r="I126" s="40" t="str">
        <f t="shared" si="143"/>
        <v/>
      </c>
      <c r="J126" s="40" t="str">
        <f t="shared" si="143"/>
        <v/>
      </c>
      <c r="K126" s="40" t="str">
        <f t="shared" si="143"/>
        <v/>
      </c>
      <c r="L126" s="40" t="str">
        <f t="shared" si="143"/>
        <v/>
      </c>
      <c r="M126" s="40" t="str">
        <f t="shared" si="143"/>
        <v/>
      </c>
      <c r="N126" s="40" t="str">
        <f t="shared" si="143"/>
        <v/>
      </c>
      <c r="O126" s="40"/>
      <c r="P126" s="40"/>
      <c r="Q126" s="40" t="str">
        <f t="shared" ref="Q126:Y126" si="144">Q86</f>
        <v/>
      </c>
      <c r="R126" s="40" t="str">
        <f t="shared" si="144"/>
        <v/>
      </c>
      <c r="S126" s="40" t="str">
        <f t="shared" si="144"/>
        <v/>
      </c>
      <c r="T126" s="40" t="str">
        <f t="shared" si="144"/>
        <v/>
      </c>
      <c r="U126" s="40" t="str">
        <f t="shared" si="144"/>
        <v/>
      </c>
      <c r="V126" s="40" t="str">
        <f t="shared" si="144"/>
        <v/>
      </c>
      <c r="W126" s="40" t="str">
        <f t="shared" si="144"/>
        <v/>
      </c>
      <c r="X126" s="40" t="str">
        <f t="shared" si="144"/>
        <v/>
      </c>
      <c r="Y126" s="40" t="str">
        <f t="shared" si="144"/>
        <v/>
      </c>
      <c r="Z126" s="1"/>
      <c r="AA126" s="1"/>
      <c r="AB126" s="1"/>
      <c r="AC126" s="1"/>
      <c r="AD126" s="1"/>
    </row>
    <row r="127" ht="14.25" hidden="1" customHeight="1">
      <c r="A127" s="1"/>
      <c r="B127" s="1"/>
      <c r="C127" s="1"/>
      <c r="D127" s="1" t="str">
        <f>D87</f>
        <v/>
      </c>
      <c r="E127" s="1"/>
      <c r="F127" s="40" t="str">
        <f t="shared" ref="F127:N127" si="145">F88</f>
        <v/>
      </c>
      <c r="G127" s="40" t="str">
        <f t="shared" si="145"/>
        <v/>
      </c>
      <c r="H127" s="40" t="str">
        <f t="shared" si="145"/>
        <v/>
      </c>
      <c r="I127" s="40" t="str">
        <f t="shared" si="145"/>
        <v/>
      </c>
      <c r="J127" s="40" t="str">
        <f t="shared" si="145"/>
        <v/>
      </c>
      <c r="K127" s="40" t="str">
        <f t="shared" si="145"/>
        <v/>
      </c>
      <c r="L127" s="40" t="str">
        <f t="shared" si="145"/>
        <v/>
      </c>
      <c r="M127" s="40" t="str">
        <f t="shared" si="145"/>
        <v/>
      </c>
      <c r="N127" s="40" t="str">
        <f t="shared" si="145"/>
        <v/>
      </c>
      <c r="O127" s="40"/>
      <c r="P127" s="40"/>
      <c r="Q127" s="40" t="str">
        <f t="shared" ref="Q127:Y127" si="146">Q88</f>
        <v/>
      </c>
      <c r="R127" s="40" t="str">
        <f t="shared" si="146"/>
        <v/>
      </c>
      <c r="S127" s="40" t="str">
        <f t="shared" si="146"/>
        <v/>
      </c>
      <c r="T127" s="40" t="str">
        <f t="shared" si="146"/>
        <v/>
      </c>
      <c r="U127" s="40" t="str">
        <f t="shared" si="146"/>
        <v/>
      </c>
      <c r="V127" s="40" t="str">
        <f t="shared" si="146"/>
        <v/>
      </c>
      <c r="W127" s="40" t="str">
        <f t="shared" si="146"/>
        <v/>
      </c>
      <c r="X127" s="40" t="str">
        <f t="shared" si="146"/>
        <v/>
      </c>
      <c r="Y127" s="40" t="str">
        <f t="shared" si="146"/>
        <v/>
      </c>
      <c r="Z127" s="1"/>
      <c r="AA127" s="1"/>
      <c r="AB127" s="1"/>
      <c r="AC127" s="1"/>
      <c r="AD127" s="1"/>
    </row>
    <row r="128" ht="14.25" hidden="1" customHeight="1">
      <c r="A128" s="1"/>
      <c r="B128" s="1"/>
      <c r="C128" s="1"/>
      <c r="D128" s="1" t="str">
        <f>D93</f>
        <v/>
      </c>
      <c r="E128" s="1"/>
      <c r="F128" s="40" t="str">
        <f t="shared" ref="F128:N128" si="147">F94</f>
        <v/>
      </c>
      <c r="G128" s="40" t="str">
        <f t="shared" si="147"/>
        <v/>
      </c>
      <c r="H128" s="40" t="str">
        <f t="shared" si="147"/>
        <v/>
      </c>
      <c r="I128" s="40" t="str">
        <f t="shared" si="147"/>
        <v/>
      </c>
      <c r="J128" s="40" t="str">
        <f t="shared" si="147"/>
        <v/>
      </c>
      <c r="K128" s="40" t="str">
        <f t="shared" si="147"/>
        <v/>
      </c>
      <c r="L128" s="40" t="str">
        <f t="shared" si="147"/>
        <v/>
      </c>
      <c r="M128" s="40" t="str">
        <f t="shared" si="147"/>
        <v/>
      </c>
      <c r="N128" s="40" t="str">
        <f t="shared" si="147"/>
        <v/>
      </c>
      <c r="O128" s="40"/>
      <c r="P128" s="40"/>
      <c r="Q128" s="40" t="str">
        <f t="shared" ref="Q128:Y128" si="148">Q94</f>
        <v/>
      </c>
      <c r="R128" s="40" t="str">
        <f t="shared" si="148"/>
        <v/>
      </c>
      <c r="S128" s="40" t="str">
        <f t="shared" si="148"/>
        <v/>
      </c>
      <c r="T128" s="40" t="str">
        <f t="shared" si="148"/>
        <v/>
      </c>
      <c r="U128" s="40" t="str">
        <f t="shared" si="148"/>
        <v/>
      </c>
      <c r="V128" s="40" t="str">
        <f t="shared" si="148"/>
        <v/>
      </c>
      <c r="W128" s="40" t="str">
        <f t="shared" si="148"/>
        <v/>
      </c>
      <c r="X128" s="40" t="str">
        <f t="shared" si="148"/>
        <v/>
      </c>
      <c r="Y128" s="40" t="str">
        <f t="shared" si="148"/>
        <v/>
      </c>
      <c r="Z128" s="1"/>
      <c r="AA128" s="1"/>
      <c r="AB128" s="1"/>
      <c r="AC128" s="1"/>
      <c r="AD128" s="1"/>
    </row>
    <row r="129" ht="14.25" hidden="1" customHeight="1">
      <c r="A129" s="1"/>
      <c r="B129" s="1"/>
      <c r="C129" s="1"/>
      <c r="D129" s="1" t="str">
        <f>D95</f>
        <v/>
      </c>
      <c r="E129" s="1"/>
      <c r="F129" s="40" t="str">
        <f t="shared" ref="F129:N129" si="149">F96</f>
        <v/>
      </c>
      <c r="G129" s="40" t="str">
        <f t="shared" si="149"/>
        <v/>
      </c>
      <c r="H129" s="40" t="str">
        <f t="shared" si="149"/>
        <v/>
      </c>
      <c r="I129" s="40" t="str">
        <f t="shared" si="149"/>
        <v/>
      </c>
      <c r="J129" s="40" t="str">
        <f t="shared" si="149"/>
        <v/>
      </c>
      <c r="K129" s="40" t="str">
        <f t="shared" si="149"/>
        <v/>
      </c>
      <c r="L129" s="40" t="str">
        <f t="shared" si="149"/>
        <v/>
      </c>
      <c r="M129" s="40" t="str">
        <f t="shared" si="149"/>
        <v/>
      </c>
      <c r="N129" s="40" t="str">
        <f t="shared" si="149"/>
        <v/>
      </c>
      <c r="O129" s="40"/>
      <c r="P129" s="40"/>
      <c r="Q129" s="40" t="str">
        <f t="shared" ref="Q129:Y129" si="150">Q96</f>
        <v/>
      </c>
      <c r="R129" s="40" t="str">
        <f t="shared" si="150"/>
        <v/>
      </c>
      <c r="S129" s="40" t="str">
        <f t="shared" si="150"/>
        <v/>
      </c>
      <c r="T129" s="40" t="str">
        <f t="shared" si="150"/>
        <v/>
      </c>
      <c r="U129" s="40" t="str">
        <f t="shared" si="150"/>
        <v/>
      </c>
      <c r="V129" s="40" t="str">
        <f t="shared" si="150"/>
        <v/>
      </c>
      <c r="W129" s="40" t="str">
        <f t="shared" si="150"/>
        <v/>
      </c>
      <c r="X129" s="40" t="str">
        <f t="shared" si="150"/>
        <v/>
      </c>
      <c r="Y129" s="40" t="str">
        <f t="shared" si="150"/>
        <v/>
      </c>
      <c r="Z129" s="1"/>
      <c r="AA129" s="1"/>
      <c r="AB129" s="1"/>
      <c r="AC129" s="1"/>
      <c r="AD129" s="1"/>
    </row>
    <row r="130" ht="14.25" hidden="1" customHeight="1">
      <c r="A130" s="1"/>
      <c r="B130" s="1"/>
      <c r="C130" s="1"/>
      <c r="D130" s="1"/>
      <c r="E130" s="1"/>
      <c r="F130" s="40">
        <v>24.0</v>
      </c>
      <c r="G130" s="40">
        <f t="shared" ref="G130:N130" si="151">F130-1</f>
        <v>23</v>
      </c>
      <c r="H130" s="40">
        <f t="shared" si="151"/>
        <v>22</v>
      </c>
      <c r="I130" s="40">
        <f t="shared" si="151"/>
        <v>21</v>
      </c>
      <c r="J130" s="40">
        <f t="shared" si="151"/>
        <v>20</v>
      </c>
      <c r="K130" s="40">
        <f t="shared" si="151"/>
        <v>19</v>
      </c>
      <c r="L130" s="40">
        <f t="shared" si="151"/>
        <v>18</v>
      </c>
      <c r="M130" s="40">
        <f t="shared" si="151"/>
        <v>17</v>
      </c>
      <c r="N130" s="40">
        <f t="shared" si="151"/>
        <v>16</v>
      </c>
      <c r="O130" s="40"/>
      <c r="P130" s="40"/>
      <c r="Q130" s="40">
        <f>N130-3</f>
        <v>13</v>
      </c>
      <c r="R130" s="40">
        <f t="shared" ref="R130:Y130" si="152">Q130-1</f>
        <v>12</v>
      </c>
      <c r="S130" s="40">
        <f t="shared" si="152"/>
        <v>11</v>
      </c>
      <c r="T130" s="40">
        <f t="shared" si="152"/>
        <v>10</v>
      </c>
      <c r="U130" s="40">
        <f t="shared" si="152"/>
        <v>9</v>
      </c>
      <c r="V130" s="40">
        <f t="shared" si="152"/>
        <v>8</v>
      </c>
      <c r="W130" s="40">
        <f t="shared" si="152"/>
        <v>7</v>
      </c>
      <c r="X130" s="40">
        <f t="shared" si="152"/>
        <v>6</v>
      </c>
      <c r="Y130" s="40">
        <f t="shared" si="152"/>
        <v>5</v>
      </c>
      <c r="Z130" s="1"/>
      <c r="AA130" s="1"/>
      <c r="AB130" s="1"/>
      <c r="AC130" s="1"/>
      <c r="AD130" s="1"/>
    </row>
    <row r="131" ht="14.25" hidden="1" customHeight="1">
      <c r="A131" s="1"/>
      <c r="B131" s="1"/>
      <c r="C131" s="1"/>
      <c r="D131" s="41"/>
      <c r="E131" s="1"/>
      <c r="F131" s="42">
        <v>3.0</v>
      </c>
      <c r="G131" s="42">
        <f t="shared" ref="G131:N131" si="153">F131+1</f>
        <v>4</v>
      </c>
      <c r="H131" s="42">
        <f t="shared" si="153"/>
        <v>5</v>
      </c>
      <c r="I131" s="42">
        <f t="shared" si="153"/>
        <v>6</v>
      </c>
      <c r="J131" s="42">
        <f t="shared" si="153"/>
        <v>7</v>
      </c>
      <c r="K131" s="42">
        <f t="shared" si="153"/>
        <v>8</v>
      </c>
      <c r="L131" s="42">
        <f t="shared" si="153"/>
        <v>9</v>
      </c>
      <c r="M131" s="42">
        <f t="shared" si="153"/>
        <v>10</v>
      </c>
      <c r="N131" s="42">
        <f t="shared" si="153"/>
        <v>11</v>
      </c>
      <c r="O131" s="42"/>
      <c r="P131" s="42"/>
      <c r="Q131" s="42">
        <f>N131+3</f>
        <v>14</v>
      </c>
      <c r="R131" s="42">
        <f t="shared" ref="R131:Y131" si="154">Q131+1</f>
        <v>15</v>
      </c>
      <c r="S131" s="42">
        <f t="shared" si="154"/>
        <v>16</v>
      </c>
      <c r="T131" s="42">
        <f t="shared" si="154"/>
        <v>17</v>
      </c>
      <c r="U131" s="42">
        <f t="shared" si="154"/>
        <v>18</v>
      </c>
      <c r="V131" s="42">
        <f t="shared" si="154"/>
        <v>19</v>
      </c>
      <c r="W131" s="42">
        <f t="shared" si="154"/>
        <v>20</v>
      </c>
      <c r="X131" s="42">
        <f t="shared" si="154"/>
        <v>21</v>
      </c>
      <c r="Y131" s="42">
        <f t="shared" si="154"/>
        <v>22</v>
      </c>
      <c r="Z131" s="1"/>
      <c r="AA131" s="1"/>
      <c r="AB131" s="1"/>
      <c r="AC131" s="1"/>
      <c r="AD131" s="1"/>
    </row>
    <row r="132" ht="27.75" customHeight="1">
      <c r="A132" s="1"/>
      <c r="B132" s="1"/>
      <c r="C132" s="1"/>
      <c r="D132" s="41" t="s">
        <v>14</v>
      </c>
      <c r="E132" s="43" t="s">
        <v>9</v>
      </c>
      <c r="F132" s="44" t="str">
        <f t="shared" ref="F132:N132" si="155">F7</f>
        <v/>
      </c>
      <c r="G132" s="44" t="str">
        <f t="shared" si="155"/>
        <v/>
      </c>
      <c r="H132" s="44" t="str">
        <f t="shared" si="155"/>
        <v/>
      </c>
      <c r="I132" s="44" t="str">
        <f t="shared" si="155"/>
        <v/>
      </c>
      <c r="J132" s="44" t="str">
        <f t="shared" si="155"/>
        <v/>
      </c>
      <c r="K132" s="44" t="str">
        <f t="shared" si="155"/>
        <v/>
      </c>
      <c r="L132" s="44" t="str">
        <f t="shared" si="155"/>
        <v/>
      </c>
      <c r="M132" s="44" t="str">
        <f t="shared" si="155"/>
        <v/>
      </c>
      <c r="N132" s="44" t="str">
        <f t="shared" si="155"/>
        <v/>
      </c>
      <c r="O132" s="10"/>
      <c r="P132" s="10"/>
      <c r="Q132" s="44" t="str">
        <f t="shared" ref="Q132:Y132" si="156">Q7</f>
        <v/>
      </c>
      <c r="R132" s="44" t="str">
        <f t="shared" si="156"/>
        <v/>
      </c>
      <c r="S132" s="44" t="str">
        <f t="shared" si="156"/>
        <v/>
      </c>
      <c r="T132" s="44" t="str">
        <f t="shared" si="156"/>
        <v/>
      </c>
      <c r="U132" s="44" t="str">
        <f t="shared" si="156"/>
        <v/>
      </c>
      <c r="V132" s="44" t="str">
        <f t="shared" si="156"/>
        <v/>
      </c>
      <c r="W132" s="44" t="str">
        <f t="shared" si="156"/>
        <v/>
      </c>
      <c r="X132" s="44" t="str">
        <f t="shared" si="156"/>
        <v/>
      </c>
      <c r="Y132" s="44" t="str">
        <f t="shared" si="156"/>
        <v/>
      </c>
      <c r="Z132" s="6"/>
      <c r="AA132" s="6"/>
      <c r="AB132" s="6"/>
      <c r="AC132" s="6"/>
      <c r="AD132" s="6"/>
    </row>
    <row r="133" ht="27.75" customHeight="1">
      <c r="A133" s="1"/>
      <c r="B133" s="1"/>
      <c r="C133" s="1"/>
      <c r="D133" s="41" t="s">
        <v>13</v>
      </c>
      <c r="E133" s="45" t="s">
        <v>15</v>
      </c>
      <c r="F133" s="44">
        <v>1.0</v>
      </c>
      <c r="G133" s="44">
        <v>2.0</v>
      </c>
      <c r="H133" s="44">
        <v>3.0</v>
      </c>
      <c r="I133" s="44">
        <v>4.0</v>
      </c>
      <c r="J133" s="44">
        <v>5.0</v>
      </c>
      <c r="K133" s="44">
        <v>6.0</v>
      </c>
      <c r="L133" s="44">
        <v>7.0</v>
      </c>
      <c r="M133" s="44">
        <v>8.0</v>
      </c>
      <c r="N133" s="44">
        <v>9.0</v>
      </c>
      <c r="O133" s="10"/>
      <c r="P133" s="10"/>
      <c r="Q133" s="44">
        <v>10.0</v>
      </c>
      <c r="R133" s="44">
        <v>11.0</v>
      </c>
      <c r="S133" s="44">
        <v>12.0</v>
      </c>
      <c r="T133" s="44">
        <v>13.0</v>
      </c>
      <c r="U133" s="44">
        <v>14.0</v>
      </c>
      <c r="V133" s="44">
        <v>15.0</v>
      </c>
      <c r="W133" s="44">
        <v>16.0</v>
      </c>
      <c r="X133" s="44">
        <v>17.0</v>
      </c>
      <c r="Y133" s="44">
        <v>18.0</v>
      </c>
      <c r="Z133" s="6"/>
      <c r="AA133" s="6"/>
      <c r="AB133" s="6"/>
      <c r="AC133" s="43" t="s">
        <v>16</v>
      </c>
      <c r="AD133" s="46">
        <f>COUNTIF(E134:E149,"Y")*10</f>
        <v>160</v>
      </c>
    </row>
    <row r="134" ht="27.75" customHeight="1">
      <c r="A134" s="1"/>
      <c r="B134" s="11" t="s">
        <v>17</v>
      </c>
      <c r="C134" s="1"/>
      <c r="D134" s="47"/>
      <c r="E134" s="48" t="s">
        <v>17</v>
      </c>
      <c r="F134" s="49" t="str">
        <f t="shared" ref="F134:N134" si="157">IFERROR(IF(VLOOKUP($D134,$D$114:$Y$129,F$131,FALSE)=0,"",VLOOKUP($D134,$D$114:$Y$129,F$131,FALSE)-IF(VLOOKUP($D134,$D$10:$Y$100,F$131,FALSE)="**",2,IF(VLOOKUP($D134,$D$10:$Y$100,F$131,FALSE)="*",1,0))),"")</f>
        <v/>
      </c>
      <c r="G134" s="50" t="str">
        <f t="shared" si="157"/>
        <v/>
      </c>
      <c r="H134" s="50" t="str">
        <f t="shared" si="157"/>
        <v/>
      </c>
      <c r="I134" s="50" t="str">
        <f t="shared" si="157"/>
        <v/>
      </c>
      <c r="J134" s="50" t="str">
        <f t="shared" si="157"/>
        <v/>
      </c>
      <c r="K134" s="50" t="str">
        <f t="shared" si="157"/>
        <v/>
      </c>
      <c r="L134" s="50" t="str">
        <f t="shared" si="157"/>
        <v/>
      </c>
      <c r="M134" s="50" t="str">
        <f t="shared" si="157"/>
        <v/>
      </c>
      <c r="N134" s="50" t="str">
        <f t="shared" si="157"/>
        <v/>
      </c>
      <c r="O134" s="51"/>
      <c r="P134" s="51"/>
      <c r="Q134" s="50" t="str">
        <f t="shared" ref="Q134:Y134" si="158">IFERROR(IF(VLOOKUP($D134,$D$114:$Y$129,Q$131,FALSE)=0,"",VLOOKUP($D134,$D$114:$Y$129,Q$131,FALSE)-IF(VLOOKUP($D134,$D$10:$Y$100,Q$131,FALSE)="**",2,IF(VLOOKUP($D134,$D$10:$Y$100,Q$131,FALSE)="*",1,0))),"")</f>
        <v/>
      </c>
      <c r="R134" s="50" t="str">
        <f t="shared" si="158"/>
        <v/>
      </c>
      <c r="S134" s="50" t="str">
        <f t="shared" si="158"/>
        <v/>
      </c>
      <c r="T134" s="50" t="str">
        <f t="shared" si="158"/>
        <v/>
      </c>
      <c r="U134" s="50" t="str">
        <f t="shared" si="158"/>
        <v/>
      </c>
      <c r="V134" s="50" t="str">
        <f t="shared" si="158"/>
        <v/>
      </c>
      <c r="W134" s="50" t="str">
        <f t="shared" si="158"/>
        <v/>
      </c>
      <c r="X134" s="50" t="str">
        <f t="shared" si="158"/>
        <v/>
      </c>
      <c r="Y134" s="50" t="str">
        <f t="shared" si="158"/>
        <v/>
      </c>
      <c r="Z134" s="6"/>
      <c r="AA134" s="6"/>
      <c r="AB134" s="6"/>
      <c r="AC134" s="52" t="str">
        <f t="shared" ref="AC134:AC149" si="161">D134</f>
        <v/>
      </c>
      <c r="AD134" s="53">
        <f t="shared" ref="AD134:AD149" si="162">IFERROR(AD133/$Z$153*COUNTIF($F$154:$Y$154,AC134),0)</f>
        <v>0</v>
      </c>
    </row>
    <row r="135" ht="27.75" customHeight="1">
      <c r="A135" s="1"/>
      <c r="B135" s="11" t="s">
        <v>18</v>
      </c>
      <c r="C135" s="1"/>
      <c r="D135" s="47"/>
      <c r="E135" s="48" t="s">
        <v>17</v>
      </c>
      <c r="F135" s="49" t="str">
        <f t="shared" ref="F135:N135" si="159">IFERROR(IF(VLOOKUP($D135,$D$114:$Y$129,F$131,FALSE)=0,"",VLOOKUP($D135,$D$114:$Y$129,F$131,FALSE)-IF(VLOOKUP($D135,$D$10:$Y$100,F$131,FALSE)="**",2,IF(VLOOKUP($D135,$D$10:$Y$100,F$131,FALSE)="*",1,0))),"")</f>
        <v/>
      </c>
      <c r="G135" s="50" t="str">
        <f t="shared" si="159"/>
        <v/>
      </c>
      <c r="H135" s="50" t="str">
        <f t="shared" si="159"/>
        <v/>
      </c>
      <c r="I135" s="50" t="str">
        <f t="shared" si="159"/>
        <v/>
      </c>
      <c r="J135" s="50" t="str">
        <f t="shared" si="159"/>
        <v/>
      </c>
      <c r="K135" s="50" t="str">
        <f t="shared" si="159"/>
        <v/>
      </c>
      <c r="L135" s="50" t="str">
        <f t="shared" si="159"/>
        <v/>
      </c>
      <c r="M135" s="50" t="str">
        <f t="shared" si="159"/>
        <v/>
      </c>
      <c r="N135" s="50" t="str">
        <f t="shared" si="159"/>
        <v/>
      </c>
      <c r="O135" s="51"/>
      <c r="P135" s="51"/>
      <c r="Q135" s="50" t="str">
        <f t="shared" ref="Q135:Y135" si="160">IFERROR(IF(VLOOKUP($D135,$D$114:$Y$129,Q$131,FALSE)=0,"",VLOOKUP($D135,$D$114:$Y$129,Q$131,FALSE)-IF(VLOOKUP($D135,$D$10:$Y$100,Q$131,FALSE)="**",2,IF(VLOOKUP($D135,$D$10:$Y$100,Q$131,FALSE)="*",1,0))),"")</f>
        <v/>
      </c>
      <c r="R135" s="50" t="str">
        <f t="shared" si="160"/>
        <v/>
      </c>
      <c r="S135" s="50" t="str">
        <f t="shared" si="160"/>
        <v/>
      </c>
      <c r="T135" s="50" t="str">
        <f t="shared" si="160"/>
        <v/>
      </c>
      <c r="U135" s="50" t="str">
        <f t="shared" si="160"/>
        <v/>
      </c>
      <c r="V135" s="50" t="str">
        <f t="shared" si="160"/>
        <v/>
      </c>
      <c r="W135" s="50" t="str">
        <f t="shared" si="160"/>
        <v/>
      </c>
      <c r="X135" s="50" t="str">
        <f t="shared" si="160"/>
        <v/>
      </c>
      <c r="Y135" s="50" t="str">
        <f t="shared" si="160"/>
        <v/>
      </c>
      <c r="Z135" s="6"/>
      <c r="AA135" s="6"/>
      <c r="AB135" s="6"/>
      <c r="AC135" s="52" t="str">
        <f t="shared" si="161"/>
        <v/>
      </c>
      <c r="AD135" s="53">
        <f t="shared" si="162"/>
        <v>0</v>
      </c>
    </row>
    <row r="136" ht="27.75" customHeight="1">
      <c r="A136" s="1"/>
      <c r="B136" s="1"/>
      <c r="C136" s="1"/>
      <c r="D136" s="47"/>
      <c r="E136" s="48" t="s">
        <v>17</v>
      </c>
      <c r="F136" s="49" t="str">
        <f t="shared" ref="F136:N136" si="163">IFERROR(IF(VLOOKUP($D136,$D$114:$Y$129,F$131,FALSE)=0,"",VLOOKUP($D136,$D$114:$Y$129,F$131,FALSE)-IF(VLOOKUP($D136,$D$10:$Y$100,F$131,FALSE)="**",2,IF(VLOOKUP($D136,$D$10:$Y$100,F$131,FALSE)="*",1,0))),"")</f>
        <v/>
      </c>
      <c r="G136" s="50" t="str">
        <f t="shared" si="163"/>
        <v/>
      </c>
      <c r="H136" s="50" t="str">
        <f t="shared" si="163"/>
        <v/>
      </c>
      <c r="I136" s="50" t="str">
        <f t="shared" si="163"/>
        <v/>
      </c>
      <c r="J136" s="50" t="str">
        <f t="shared" si="163"/>
        <v/>
      </c>
      <c r="K136" s="50" t="str">
        <f t="shared" si="163"/>
        <v/>
      </c>
      <c r="L136" s="50" t="str">
        <f t="shared" si="163"/>
        <v/>
      </c>
      <c r="M136" s="50" t="str">
        <f t="shared" si="163"/>
        <v/>
      </c>
      <c r="N136" s="50" t="str">
        <f t="shared" si="163"/>
        <v/>
      </c>
      <c r="O136" s="51"/>
      <c r="P136" s="51"/>
      <c r="Q136" s="50" t="str">
        <f t="shared" ref="Q136:Y136" si="164">IFERROR(IF(VLOOKUP($D136,$D$114:$Y$129,Q$131,FALSE)=0,"",VLOOKUP($D136,$D$114:$Y$129,Q$131,FALSE)-IF(VLOOKUP($D136,$D$10:$Y$100,Q$131,FALSE)="**",2,IF(VLOOKUP($D136,$D$10:$Y$100,Q$131,FALSE)="*",1,0))),"")</f>
        <v/>
      </c>
      <c r="R136" s="50" t="str">
        <f t="shared" si="164"/>
        <v/>
      </c>
      <c r="S136" s="50" t="str">
        <f t="shared" si="164"/>
        <v/>
      </c>
      <c r="T136" s="50" t="str">
        <f t="shared" si="164"/>
        <v/>
      </c>
      <c r="U136" s="50" t="str">
        <f t="shared" si="164"/>
        <v/>
      </c>
      <c r="V136" s="50" t="str">
        <f t="shared" si="164"/>
        <v/>
      </c>
      <c r="W136" s="50" t="str">
        <f t="shared" si="164"/>
        <v/>
      </c>
      <c r="X136" s="50" t="str">
        <f t="shared" si="164"/>
        <v/>
      </c>
      <c r="Y136" s="50" t="str">
        <f t="shared" si="164"/>
        <v/>
      </c>
      <c r="Z136" s="6"/>
      <c r="AA136" s="6"/>
      <c r="AB136" s="6"/>
      <c r="AC136" s="52" t="str">
        <f t="shared" si="161"/>
        <v/>
      </c>
      <c r="AD136" s="53">
        <f t="shared" si="162"/>
        <v>0</v>
      </c>
    </row>
    <row r="137" ht="27.75" customHeight="1">
      <c r="A137" s="1"/>
      <c r="B137" s="1"/>
      <c r="C137" s="1"/>
      <c r="D137" s="47"/>
      <c r="E137" s="48" t="s">
        <v>17</v>
      </c>
      <c r="F137" s="49" t="str">
        <f t="shared" ref="F137:N137" si="165">IFERROR(IF(VLOOKUP($D137,$D$114:$Y$129,F$131,FALSE)=0,"",VLOOKUP($D137,$D$114:$Y$129,F$131,FALSE)-IF(VLOOKUP($D137,$D$10:$Y$100,F$131,FALSE)="**",2,IF(VLOOKUP($D137,$D$10:$Y$100,F$131,FALSE)="*",1,0))),"")</f>
        <v/>
      </c>
      <c r="G137" s="50" t="str">
        <f t="shared" si="165"/>
        <v/>
      </c>
      <c r="H137" s="50" t="str">
        <f t="shared" si="165"/>
        <v/>
      </c>
      <c r="I137" s="50" t="str">
        <f t="shared" si="165"/>
        <v/>
      </c>
      <c r="J137" s="50" t="str">
        <f t="shared" si="165"/>
        <v/>
      </c>
      <c r="K137" s="50" t="str">
        <f t="shared" si="165"/>
        <v/>
      </c>
      <c r="L137" s="50" t="str">
        <f t="shared" si="165"/>
        <v/>
      </c>
      <c r="M137" s="50" t="str">
        <f t="shared" si="165"/>
        <v/>
      </c>
      <c r="N137" s="50" t="str">
        <f t="shared" si="165"/>
        <v/>
      </c>
      <c r="O137" s="51"/>
      <c r="P137" s="51"/>
      <c r="Q137" s="50" t="str">
        <f t="shared" ref="Q137:Y137" si="166">IFERROR(IF(VLOOKUP($D137,$D$114:$Y$129,Q$131,FALSE)=0,"",VLOOKUP($D137,$D$114:$Y$129,Q$131,FALSE)-IF(VLOOKUP($D137,$D$10:$Y$100,Q$131,FALSE)="**",2,IF(VLOOKUP($D137,$D$10:$Y$100,Q$131,FALSE)="*",1,0))),"")</f>
        <v/>
      </c>
      <c r="R137" s="50" t="str">
        <f t="shared" si="166"/>
        <v/>
      </c>
      <c r="S137" s="50" t="str">
        <f t="shared" si="166"/>
        <v/>
      </c>
      <c r="T137" s="50" t="str">
        <f t="shared" si="166"/>
        <v/>
      </c>
      <c r="U137" s="50" t="str">
        <f t="shared" si="166"/>
        <v/>
      </c>
      <c r="V137" s="50" t="str">
        <f t="shared" si="166"/>
        <v/>
      </c>
      <c r="W137" s="50" t="str">
        <f t="shared" si="166"/>
        <v/>
      </c>
      <c r="X137" s="50" t="str">
        <f t="shared" si="166"/>
        <v/>
      </c>
      <c r="Y137" s="50" t="str">
        <f t="shared" si="166"/>
        <v/>
      </c>
      <c r="Z137" s="6"/>
      <c r="AA137" s="6"/>
      <c r="AB137" s="6"/>
      <c r="AC137" s="52" t="str">
        <f t="shared" si="161"/>
        <v/>
      </c>
      <c r="AD137" s="53">
        <f t="shared" si="162"/>
        <v>0</v>
      </c>
    </row>
    <row r="138" ht="27.75" customHeight="1">
      <c r="A138" s="1"/>
      <c r="B138" s="1"/>
      <c r="C138" s="1"/>
      <c r="D138" s="47"/>
      <c r="E138" s="48" t="s">
        <v>17</v>
      </c>
      <c r="F138" s="49" t="str">
        <f t="shared" ref="F138:N138" si="167">IFERROR(IF(VLOOKUP($D138,$D$114:$Y$129,F$131,FALSE)=0,"",VLOOKUP($D138,$D$114:$Y$129,F$131,FALSE)-IF(VLOOKUP($D138,$D$10:$Y$100,F$131,FALSE)="**",2,IF(VLOOKUP($D138,$D$10:$Y$100,F$131,FALSE)="*",1,0))),"")</f>
        <v/>
      </c>
      <c r="G138" s="50" t="str">
        <f t="shared" si="167"/>
        <v/>
      </c>
      <c r="H138" s="50" t="str">
        <f t="shared" si="167"/>
        <v/>
      </c>
      <c r="I138" s="50" t="str">
        <f t="shared" si="167"/>
        <v/>
      </c>
      <c r="J138" s="50" t="str">
        <f t="shared" si="167"/>
        <v/>
      </c>
      <c r="K138" s="50" t="str">
        <f t="shared" si="167"/>
        <v/>
      </c>
      <c r="L138" s="50" t="str">
        <f t="shared" si="167"/>
        <v/>
      </c>
      <c r="M138" s="50" t="str">
        <f t="shared" si="167"/>
        <v/>
      </c>
      <c r="N138" s="50" t="str">
        <f t="shared" si="167"/>
        <v/>
      </c>
      <c r="O138" s="51"/>
      <c r="P138" s="51"/>
      <c r="Q138" s="50" t="str">
        <f t="shared" ref="Q138:Y138" si="168">IFERROR(IF(VLOOKUP($D138,$D$114:$Y$129,Q$131,FALSE)=0,"",VLOOKUP($D138,$D$114:$Y$129,Q$131,FALSE)-IF(VLOOKUP($D138,$D$10:$Y$100,Q$131,FALSE)="**",2,IF(VLOOKUP($D138,$D$10:$Y$100,Q$131,FALSE)="*",1,0))),"")</f>
        <v/>
      </c>
      <c r="R138" s="50" t="str">
        <f t="shared" si="168"/>
        <v/>
      </c>
      <c r="S138" s="50" t="str">
        <f t="shared" si="168"/>
        <v/>
      </c>
      <c r="T138" s="50" t="str">
        <f t="shared" si="168"/>
        <v/>
      </c>
      <c r="U138" s="50" t="str">
        <f t="shared" si="168"/>
        <v/>
      </c>
      <c r="V138" s="50" t="str">
        <f t="shared" si="168"/>
        <v/>
      </c>
      <c r="W138" s="50" t="str">
        <f t="shared" si="168"/>
        <v/>
      </c>
      <c r="X138" s="50" t="str">
        <f t="shared" si="168"/>
        <v/>
      </c>
      <c r="Y138" s="50" t="str">
        <f t="shared" si="168"/>
        <v/>
      </c>
      <c r="Z138" s="6"/>
      <c r="AA138" s="6"/>
      <c r="AB138" s="6"/>
      <c r="AC138" s="52" t="str">
        <f t="shared" si="161"/>
        <v/>
      </c>
      <c r="AD138" s="53">
        <f t="shared" si="162"/>
        <v>0</v>
      </c>
    </row>
    <row r="139" ht="27.75" customHeight="1">
      <c r="A139" s="1"/>
      <c r="B139" s="1"/>
      <c r="C139" s="1"/>
      <c r="D139" s="47"/>
      <c r="E139" s="48" t="s">
        <v>17</v>
      </c>
      <c r="F139" s="49" t="str">
        <f t="shared" ref="F139:N139" si="169">IFERROR(IF(VLOOKUP($D139,$D$114:$Y$129,F$131,FALSE)=0,"",VLOOKUP($D139,$D$114:$Y$129,F$131,FALSE)-IF(VLOOKUP($D139,$D$10:$Y$100,F$131,FALSE)="**",2,IF(VLOOKUP($D139,$D$10:$Y$100,F$131,FALSE)="*",1,0))),"")</f>
        <v/>
      </c>
      <c r="G139" s="50" t="str">
        <f t="shared" si="169"/>
        <v/>
      </c>
      <c r="H139" s="50" t="str">
        <f t="shared" si="169"/>
        <v/>
      </c>
      <c r="I139" s="50" t="str">
        <f t="shared" si="169"/>
        <v/>
      </c>
      <c r="J139" s="50" t="str">
        <f t="shared" si="169"/>
        <v/>
      </c>
      <c r="K139" s="50" t="str">
        <f t="shared" si="169"/>
        <v/>
      </c>
      <c r="L139" s="50" t="str">
        <f t="shared" si="169"/>
        <v/>
      </c>
      <c r="M139" s="50" t="str">
        <f t="shared" si="169"/>
        <v/>
      </c>
      <c r="N139" s="50" t="str">
        <f t="shared" si="169"/>
        <v/>
      </c>
      <c r="O139" s="51"/>
      <c r="P139" s="51"/>
      <c r="Q139" s="50" t="str">
        <f t="shared" ref="Q139:Y139" si="170">IFERROR(IF(VLOOKUP($D139,$D$114:$Y$129,Q$131,FALSE)=0,"",VLOOKUP($D139,$D$114:$Y$129,Q$131,FALSE)-IF(VLOOKUP($D139,$D$10:$Y$100,Q$131,FALSE)="**",2,IF(VLOOKUP($D139,$D$10:$Y$100,Q$131,FALSE)="*",1,0))),"")</f>
        <v/>
      </c>
      <c r="R139" s="50" t="str">
        <f t="shared" si="170"/>
        <v/>
      </c>
      <c r="S139" s="50" t="str">
        <f t="shared" si="170"/>
        <v/>
      </c>
      <c r="T139" s="50" t="str">
        <f t="shared" si="170"/>
        <v/>
      </c>
      <c r="U139" s="50" t="str">
        <f t="shared" si="170"/>
        <v/>
      </c>
      <c r="V139" s="50" t="str">
        <f t="shared" si="170"/>
        <v/>
      </c>
      <c r="W139" s="50" t="str">
        <f t="shared" si="170"/>
        <v/>
      </c>
      <c r="X139" s="50" t="str">
        <f t="shared" si="170"/>
        <v/>
      </c>
      <c r="Y139" s="50" t="str">
        <f t="shared" si="170"/>
        <v/>
      </c>
      <c r="Z139" s="6"/>
      <c r="AA139" s="6"/>
      <c r="AB139" s="6"/>
      <c r="AC139" s="52" t="str">
        <f t="shared" si="161"/>
        <v/>
      </c>
      <c r="AD139" s="53">
        <f t="shared" si="162"/>
        <v>0</v>
      </c>
    </row>
    <row r="140" ht="27.75" customHeight="1">
      <c r="A140" s="1"/>
      <c r="B140" s="1"/>
      <c r="C140" s="1"/>
      <c r="D140" s="47"/>
      <c r="E140" s="48" t="s">
        <v>17</v>
      </c>
      <c r="F140" s="49" t="str">
        <f t="shared" ref="F140:N140" si="171">IFERROR(IF(VLOOKUP($D140,$D$114:$Y$129,F$131,FALSE)=0,"",VLOOKUP($D140,$D$114:$Y$129,F$131,FALSE)-IF(VLOOKUP($D140,$D$10:$Y$100,F$131,FALSE)="**",2,IF(VLOOKUP($D140,$D$10:$Y$100,F$131,FALSE)="*",1,0))),"")</f>
        <v/>
      </c>
      <c r="G140" s="50" t="str">
        <f t="shared" si="171"/>
        <v/>
      </c>
      <c r="H140" s="50" t="str">
        <f t="shared" si="171"/>
        <v/>
      </c>
      <c r="I140" s="50" t="str">
        <f t="shared" si="171"/>
        <v/>
      </c>
      <c r="J140" s="50" t="str">
        <f t="shared" si="171"/>
        <v/>
      </c>
      <c r="K140" s="50" t="str">
        <f t="shared" si="171"/>
        <v/>
      </c>
      <c r="L140" s="50" t="str">
        <f t="shared" si="171"/>
        <v/>
      </c>
      <c r="M140" s="50" t="str">
        <f t="shared" si="171"/>
        <v/>
      </c>
      <c r="N140" s="50" t="str">
        <f t="shared" si="171"/>
        <v/>
      </c>
      <c r="O140" s="51"/>
      <c r="P140" s="51"/>
      <c r="Q140" s="50" t="str">
        <f t="shared" ref="Q140:Y140" si="172">IFERROR(IF(VLOOKUP($D140,$D$114:$Y$129,Q$131,FALSE)=0,"",VLOOKUP($D140,$D$114:$Y$129,Q$131,FALSE)-IF(VLOOKUP($D140,$D$10:$Y$100,Q$131,FALSE)="**",2,IF(VLOOKUP($D140,$D$10:$Y$100,Q$131,FALSE)="*",1,0))),"")</f>
        <v/>
      </c>
      <c r="R140" s="50" t="str">
        <f t="shared" si="172"/>
        <v/>
      </c>
      <c r="S140" s="50" t="str">
        <f t="shared" si="172"/>
        <v/>
      </c>
      <c r="T140" s="50" t="str">
        <f t="shared" si="172"/>
        <v/>
      </c>
      <c r="U140" s="50" t="str">
        <f t="shared" si="172"/>
        <v/>
      </c>
      <c r="V140" s="50" t="str">
        <f t="shared" si="172"/>
        <v/>
      </c>
      <c r="W140" s="50" t="str">
        <f t="shared" si="172"/>
        <v/>
      </c>
      <c r="X140" s="50" t="str">
        <f t="shared" si="172"/>
        <v/>
      </c>
      <c r="Y140" s="50" t="str">
        <f t="shared" si="172"/>
        <v/>
      </c>
      <c r="Z140" s="6"/>
      <c r="AA140" s="6"/>
      <c r="AB140" s="6"/>
      <c r="AC140" s="52" t="str">
        <f t="shared" si="161"/>
        <v/>
      </c>
      <c r="AD140" s="53">
        <f t="shared" si="162"/>
        <v>0</v>
      </c>
    </row>
    <row r="141" ht="27.75" customHeight="1">
      <c r="A141" s="1"/>
      <c r="B141" s="1"/>
      <c r="C141" s="1"/>
      <c r="D141" s="47"/>
      <c r="E141" s="48" t="s">
        <v>17</v>
      </c>
      <c r="F141" s="49" t="str">
        <f t="shared" ref="F141:N141" si="173">IFERROR(IF(VLOOKUP($D141,$D$114:$Y$129,F$131,FALSE)=0,"",VLOOKUP($D141,$D$114:$Y$129,F$131,FALSE)-IF(VLOOKUP($D141,$D$10:$Y$100,F$131,FALSE)="**",2,IF(VLOOKUP($D141,$D$10:$Y$100,F$131,FALSE)="*",1,0))),"")</f>
        <v/>
      </c>
      <c r="G141" s="50" t="str">
        <f t="shared" si="173"/>
        <v/>
      </c>
      <c r="H141" s="50" t="str">
        <f t="shared" si="173"/>
        <v/>
      </c>
      <c r="I141" s="50" t="str">
        <f t="shared" si="173"/>
        <v/>
      </c>
      <c r="J141" s="50" t="str">
        <f t="shared" si="173"/>
        <v/>
      </c>
      <c r="K141" s="50" t="str">
        <f t="shared" si="173"/>
        <v/>
      </c>
      <c r="L141" s="50" t="str">
        <f t="shared" si="173"/>
        <v/>
      </c>
      <c r="M141" s="50" t="str">
        <f t="shared" si="173"/>
        <v/>
      </c>
      <c r="N141" s="50" t="str">
        <f t="shared" si="173"/>
        <v/>
      </c>
      <c r="O141" s="51"/>
      <c r="P141" s="51"/>
      <c r="Q141" s="50" t="str">
        <f t="shared" ref="Q141:Y141" si="174">IFERROR(IF(VLOOKUP($D141,$D$114:$Y$129,Q$131,FALSE)=0,"",VLOOKUP($D141,$D$114:$Y$129,Q$131,FALSE)-IF(VLOOKUP($D141,$D$10:$Y$100,Q$131,FALSE)="**",2,IF(VLOOKUP($D141,$D$10:$Y$100,Q$131,FALSE)="*",1,0))),"")</f>
        <v/>
      </c>
      <c r="R141" s="50" t="str">
        <f t="shared" si="174"/>
        <v/>
      </c>
      <c r="S141" s="50" t="str">
        <f t="shared" si="174"/>
        <v/>
      </c>
      <c r="T141" s="50" t="str">
        <f t="shared" si="174"/>
        <v/>
      </c>
      <c r="U141" s="50" t="str">
        <f t="shared" si="174"/>
        <v/>
      </c>
      <c r="V141" s="50" t="str">
        <f t="shared" si="174"/>
        <v/>
      </c>
      <c r="W141" s="50" t="str">
        <f t="shared" si="174"/>
        <v/>
      </c>
      <c r="X141" s="50" t="str">
        <f t="shared" si="174"/>
        <v/>
      </c>
      <c r="Y141" s="50" t="str">
        <f t="shared" si="174"/>
        <v/>
      </c>
      <c r="Z141" s="6"/>
      <c r="AA141" s="6"/>
      <c r="AB141" s="6"/>
      <c r="AC141" s="52" t="str">
        <f t="shared" si="161"/>
        <v/>
      </c>
      <c r="AD141" s="53">
        <f t="shared" si="162"/>
        <v>0</v>
      </c>
    </row>
    <row r="142" ht="27.75" customHeight="1">
      <c r="A142" s="1"/>
      <c r="B142" s="1"/>
      <c r="C142" s="1"/>
      <c r="D142" s="47"/>
      <c r="E142" s="48" t="s">
        <v>17</v>
      </c>
      <c r="F142" s="49" t="str">
        <f t="shared" ref="F142:N142" si="175">IFERROR(IF(VLOOKUP($D142,$D$114:$Y$129,F$131,FALSE)=0,"",VLOOKUP($D142,$D$114:$Y$129,F$131,FALSE)-IF(VLOOKUP($D142,$D$10:$Y$100,F$131,FALSE)="**",2,IF(VLOOKUP($D142,$D$10:$Y$100,F$131,FALSE)="*",1,0))),"")</f>
        <v/>
      </c>
      <c r="G142" s="50" t="str">
        <f t="shared" si="175"/>
        <v/>
      </c>
      <c r="H142" s="50" t="str">
        <f t="shared" si="175"/>
        <v/>
      </c>
      <c r="I142" s="50" t="str">
        <f t="shared" si="175"/>
        <v/>
      </c>
      <c r="J142" s="50" t="str">
        <f t="shared" si="175"/>
        <v/>
      </c>
      <c r="K142" s="50" t="str">
        <f t="shared" si="175"/>
        <v/>
      </c>
      <c r="L142" s="50" t="str">
        <f t="shared" si="175"/>
        <v/>
      </c>
      <c r="M142" s="50" t="str">
        <f t="shared" si="175"/>
        <v/>
      </c>
      <c r="N142" s="50" t="str">
        <f t="shared" si="175"/>
        <v/>
      </c>
      <c r="O142" s="51"/>
      <c r="P142" s="51"/>
      <c r="Q142" s="50" t="str">
        <f t="shared" ref="Q142:Y142" si="176">IFERROR(IF(VLOOKUP($D142,$D$114:$Y$129,Q$131,FALSE)=0,"",VLOOKUP($D142,$D$114:$Y$129,Q$131,FALSE)-IF(VLOOKUP($D142,$D$10:$Y$100,Q$131,FALSE)="**",2,IF(VLOOKUP($D142,$D$10:$Y$100,Q$131,FALSE)="*",1,0))),"")</f>
        <v/>
      </c>
      <c r="R142" s="50" t="str">
        <f t="shared" si="176"/>
        <v/>
      </c>
      <c r="S142" s="50" t="str">
        <f t="shared" si="176"/>
        <v/>
      </c>
      <c r="T142" s="50" t="str">
        <f t="shared" si="176"/>
        <v/>
      </c>
      <c r="U142" s="50" t="str">
        <f t="shared" si="176"/>
        <v/>
      </c>
      <c r="V142" s="50" t="str">
        <f t="shared" si="176"/>
        <v/>
      </c>
      <c r="W142" s="50" t="str">
        <f t="shared" si="176"/>
        <v/>
      </c>
      <c r="X142" s="50" t="str">
        <f t="shared" si="176"/>
        <v/>
      </c>
      <c r="Y142" s="50" t="str">
        <f t="shared" si="176"/>
        <v/>
      </c>
      <c r="Z142" s="6"/>
      <c r="AA142" s="6"/>
      <c r="AB142" s="6"/>
      <c r="AC142" s="52" t="str">
        <f t="shared" si="161"/>
        <v/>
      </c>
      <c r="AD142" s="53">
        <f t="shared" si="162"/>
        <v>0</v>
      </c>
    </row>
    <row r="143" ht="27.75" customHeight="1">
      <c r="A143" s="1"/>
      <c r="B143" s="1"/>
      <c r="C143" s="1"/>
      <c r="D143" s="47"/>
      <c r="E143" s="48" t="s">
        <v>17</v>
      </c>
      <c r="F143" s="49" t="str">
        <f t="shared" ref="F143:N143" si="177">IFERROR(IF(VLOOKUP($D143,$D$114:$Y$129,F$131,FALSE)=0,"",VLOOKUP($D143,$D$114:$Y$129,F$131,FALSE)-IF(VLOOKUP($D143,$D$10:$Y$100,F$131,FALSE)="**",2,IF(VLOOKUP($D143,$D$10:$Y$100,F$131,FALSE)="*",1,0))),"")</f>
        <v/>
      </c>
      <c r="G143" s="50" t="str">
        <f t="shared" si="177"/>
        <v/>
      </c>
      <c r="H143" s="50" t="str">
        <f t="shared" si="177"/>
        <v/>
      </c>
      <c r="I143" s="50" t="str">
        <f t="shared" si="177"/>
        <v/>
      </c>
      <c r="J143" s="50" t="str">
        <f t="shared" si="177"/>
        <v/>
      </c>
      <c r="K143" s="50" t="str">
        <f t="shared" si="177"/>
        <v/>
      </c>
      <c r="L143" s="50" t="str">
        <f t="shared" si="177"/>
        <v/>
      </c>
      <c r="M143" s="50" t="str">
        <f t="shared" si="177"/>
        <v/>
      </c>
      <c r="N143" s="50" t="str">
        <f t="shared" si="177"/>
        <v/>
      </c>
      <c r="O143" s="51"/>
      <c r="P143" s="51"/>
      <c r="Q143" s="50" t="str">
        <f t="shared" ref="Q143:Y143" si="178">IFERROR(IF(VLOOKUP($D143,$D$114:$Y$129,Q$131,FALSE)=0,"",VLOOKUP($D143,$D$114:$Y$129,Q$131,FALSE)-IF(VLOOKUP($D143,$D$10:$Y$100,Q$131,FALSE)="**",2,IF(VLOOKUP($D143,$D$10:$Y$100,Q$131,FALSE)="*",1,0))),"")</f>
        <v/>
      </c>
      <c r="R143" s="50" t="str">
        <f t="shared" si="178"/>
        <v/>
      </c>
      <c r="S143" s="50" t="str">
        <f t="shared" si="178"/>
        <v/>
      </c>
      <c r="T143" s="50" t="str">
        <f t="shared" si="178"/>
        <v/>
      </c>
      <c r="U143" s="50" t="str">
        <f t="shared" si="178"/>
        <v/>
      </c>
      <c r="V143" s="50" t="str">
        <f t="shared" si="178"/>
        <v/>
      </c>
      <c r="W143" s="50" t="str">
        <f t="shared" si="178"/>
        <v/>
      </c>
      <c r="X143" s="50" t="str">
        <f t="shared" si="178"/>
        <v/>
      </c>
      <c r="Y143" s="50" t="str">
        <f t="shared" si="178"/>
        <v/>
      </c>
      <c r="Z143" s="6"/>
      <c r="AA143" s="6"/>
      <c r="AB143" s="6"/>
      <c r="AC143" s="52" t="str">
        <f t="shared" si="161"/>
        <v/>
      </c>
      <c r="AD143" s="53">
        <f t="shared" si="162"/>
        <v>0</v>
      </c>
    </row>
    <row r="144" ht="27.75" customHeight="1">
      <c r="A144" s="1"/>
      <c r="B144" s="1"/>
      <c r="C144" s="1"/>
      <c r="D144" s="47"/>
      <c r="E144" s="48" t="s">
        <v>17</v>
      </c>
      <c r="F144" s="49" t="str">
        <f t="shared" ref="F144:N144" si="179">IFERROR(IF(VLOOKUP($D144,$D$114:$Y$129,F$131,FALSE)=0,"",VLOOKUP($D144,$D$114:$Y$129,F$131,FALSE)-IF(VLOOKUP($D144,$D$10:$Y$100,F$131,FALSE)="**",2,IF(VLOOKUP($D144,$D$10:$Y$100,F$131,FALSE)="*",1,0))),"")</f>
        <v/>
      </c>
      <c r="G144" s="50" t="str">
        <f t="shared" si="179"/>
        <v/>
      </c>
      <c r="H144" s="50" t="str">
        <f t="shared" si="179"/>
        <v/>
      </c>
      <c r="I144" s="50" t="str">
        <f t="shared" si="179"/>
        <v/>
      </c>
      <c r="J144" s="50" t="str">
        <f t="shared" si="179"/>
        <v/>
      </c>
      <c r="K144" s="50" t="str">
        <f t="shared" si="179"/>
        <v/>
      </c>
      <c r="L144" s="50" t="str">
        <f t="shared" si="179"/>
        <v/>
      </c>
      <c r="M144" s="50" t="str">
        <f t="shared" si="179"/>
        <v/>
      </c>
      <c r="N144" s="50" t="str">
        <f t="shared" si="179"/>
        <v/>
      </c>
      <c r="O144" s="51"/>
      <c r="P144" s="51"/>
      <c r="Q144" s="50" t="str">
        <f t="shared" ref="Q144:Y144" si="180">IFERROR(IF(VLOOKUP($D144,$D$114:$Y$129,Q$131,FALSE)=0,"",VLOOKUP($D144,$D$114:$Y$129,Q$131,FALSE)-IF(VLOOKUP($D144,$D$10:$Y$100,Q$131,FALSE)="**",2,IF(VLOOKUP($D144,$D$10:$Y$100,Q$131,FALSE)="*",1,0))),"")</f>
        <v/>
      </c>
      <c r="R144" s="50" t="str">
        <f t="shared" si="180"/>
        <v/>
      </c>
      <c r="S144" s="50" t="str">
        <f t="shared" si="180"/>
        <v/>
      </c>
      <c r="T144" s="50" t="str">
        <f t="shared" si="180"/>
        <v/>
      </c>
      <c r="U144" s="50" t="str">
        <f t="shared" si="180"/>
        <v/>
      </c>
      <c r="V144" s="50" t="str">
        <f t="shared" si="180"/>
        <v/>
      </c>
      <c r="W144" s="50" t="str">
        <f t="shared" si="180"/>
        <v/>
      </c>
      <c r="X144" s="50" t="str">
        <f t="shared" si="180"/>
        <v/>
      </c>
      <c r="Y144" s="50" t="str">
        <f t="shared" si="180"/>
        <v/>
      </c>
      <c r="Z144" s="6"/>
      <c r="AA144" s="6"/>
      <c r="AB144" s="6"/>
      <c r="AC144" s="52" t="str">
        <f t="shared" si="161"/>
        <v/>
      </c>
      <c r="AD144" s="53">
        <f t="shared" si="162"/>
        <v>0</v>
      </c>
    </row>
    <row r="145" ht="27.75" customHeight="1">
      <c r="A145" s="1"/>
      <c r="B145" s="1"/>
      <c r="C145" s="1"/>
      <c r="D145" s="47"/>
      <c r="E145" s="48" t="s">
        <v>17</v>
      </c>
      <c r="F145" s="49" t="str">
        <f t="shared" ref="F145:N145" si="181">IFERROR(IF(VLOOKUP($D145,$D$114:$Y$129,F$131,FALSE)=0,"",VLOOKUP($D145,$D$114:$Y$129,F$131,FALSE)-IF(VLOOKUP($D145,$D$10:$Y$100,F$131,FALSE)="**",2,IF(VLOOKUP($D145,$D$10:$Y$100,F$131,FALSE)="*",1,0))),"")</f>
        <v/>
      </c>
      <c r="G145" s="50" t="str">
        <f t="shared" si="181"/>
        <v/>
      </c>
      <c r="H145" s="50" t="str">
        <f t="shared" si="181"/>
        <v/>
      </c>
      <c r="I145" s="50" t="str">
        <f t="shared" si="181"/>
        <v/>
      </c>
      <c r="J145" s="50" t="str">
        <f t="shared" si="181"/>
        <v/>
      </c>
      <c r="K145" s="50" t="str">
        <f t="shared" si="181"/>
        <v/>
      </c>
      <c r="L145" s="50" t="str">
        <f t="shared" si="181"/>
        <v/>
      </c>
      <c r="M145" s="50" t="str">
        <f t="shared" si="181"/>
        <v/>
      </c>
      <c r="N145" s="50" t="str">
        <f t="shared" si="181"/>
        <v/>
      </c>
      <c r="O145" s="51"/>
      <c r="P145" s="51"/>
      <c r="Q145" s="50" t="str">
        <f t="shared" ref="Q145:Y145" si="182">IFERROR(IF(VLOOKUP($D145,$D$114:$Y$129,Q$131,FALSE)=0,"",VLOOKUP($D145,$D$114:$Y$129,Q$131,FALSE)-IF(VLOOKUP($D145,$D$10:$Y$100,Q$131,FALSE)="**",2,IF(VLOOKUP($D145,$D$10:$Y$100,Q$131,FALSE)="*",1,0))),"")</f>
        <v/>
      </c>
      <c r="R145" s="50" t="str">
        <f t="shared" si="182"/>
        <v/>
      </c>
      <c r="S145" s="50" t="str">
        <f t="shared" si="182"/>
        <v/>
      </c>
      <c r="T145" s="50" t="str">
        <f t="shared" si="182"/>
        <v/>
      </c>
      <c r="U145" s="50" t="str">
        <f t="shared" si="182"/>
        <v/>
      </c>
      <c r="V145" s="50" t="str">
        <f t="shared" si="182"/>
        <v/>
      </c>
      <c r="W145" s="50" t="str">
        <f t="shared" si="182"/>
        <v/>
      </c>
      <c r="X145" s="50" t="str">
        <f t="shared" si="182"/>
        <v/>
      </c>
      <c r="Y145" s="50" t="str">
        <f t="shared" si="182"/>
        <v/>
      </c>
      <c r="Z145" s="6"/>
      <c r="AA145" s="6"/>
      <c r="AB145" s="6"/>
      <c r="AC145" s="52" t="str">
        <f t="shared" si="161"/>
        <v/>
      </c>
      <c r="AD145" s="53">
        <f t="shared" si="162"/>
        <v>0</v>
      </c>
    </row>
    <row r="146" ht="27.75" customHeight="1">
      <c r="A146" s="1"/>
      <c r="B146" s="1"/>
      <c r="C146" s="1"/>
      <c r="D146" s="47"/>
      <c r="E146" s="48" t="s">
        <v>17</v>
      </c>
      <c r="F146" s="49" t="str">
        <f t="shared" ref="F146:N146" si="183">IFERROR(IF(VLOOKUP($D146,$D$114:$Y$129,F$131,FALSE)=0,"",VLOOKUP($D146,$D$114:$Y$129,F$131,FALSE)-IF(VLOOKUP($D146,$D$10:$Y$100,F$131,FALSE)="**",2,IF(VLOOKUP($D146,$D$10:$Y$100,F$131,FALSE)="*",1,0))),"")</f>
        <v/>
      </c>
      <c r="G146" s="50" t="str">
        <f t="shared" si="183"/>
        <v/>
      </c>
      <c r="H146" s="50" t="str">
        <f t="shared" si="183"/>
        <v/>
      </c>
      <c r="I146" s="50" t="str">
        <f t="shared" si="183"/>
        <v/>
      </c>
      <c r="J146" s="50" t="str">
        <f t="shared" si="183"/>
        <v/>
      </c>
      <c r="K146" s="50" t="str">
        <f t="shared" si="183"/>
        <v/>
      </c>
      <c r="L146" s="50" t="str">
        <f t="shared" si="183"/>
        <v/>
      </c>
      <c r="M146" s="50" t="str">
        <f t="shared" si="183"/>
        <v/>
      </c>
      <c r="N146" s="50" t="str">
        <f t="shared" si="183"/>
        <v/>
      </c>
      <c r="O146" s="51"/>
      <c r="P146" s="51"/>
      <c r="Q146" s="50" t="str">
        <f t="shared" ref="Q146:Y146" si="184">IFERROR(IF(VLOOKUP($D146,$D$114:$Y$129,Q$131,FALSE)=0,"",VLOOKUP($D146,$D$114:$Y$129,Q$131,FALSE)-IF(VLOOKUP($D146,$D$10:$Y$100,Q$131,FALSE)="**",2,IF(VLOOKUP($D146,$D$10:$Y$100,Q$131,FALSE)="*",1,0))),"")</f>
        <v/>
      </c>
      <c r="R146" s="50" t="str">
        <f t="shared" si="184"/>
        <v/>
      </c>
      <c r="S146" s="50" t="str">
        <f t="shared" si="184"/>
        <v/>
      </c>
      <c r="T146" s="50" t="str">
        <f t="shared" si="184"/>
        <v/>
      </c>
      <c r="U146" s="50" t="str">
        <f t="shared" si="184"/>
        <v/>
      </c>
      <c r="V146" s="50" t="str">
        <f t="shared" si="184"/>
        <v/>
      </c>
      <c r="W146" s="50" t="str">
        <f t="shared" si="184"/>
        <v/>
      </c>
      <c r="X146" s="50" t="str">
        <f t="shared" si="184"/>
        <v/>
      </c>
      <c r="Y146" s="50" t="str">
        <f t="shared" si="184"/>
        <v/>
      </c>
      <c r="Z146" s="6"/>
      <c r="AA146" s="6"/>
      <c r="AB146" s="6"/>
      <c r="AC146" s="52" t="str">
        <f t="shared" si="161"/>
        <v/>
      </c>
      <c r="AD146" s="53">
        <f t="shared" si="162"/>
        <v>0</v>
      </c>
    </row>
    <row r="147" ht="27.75" customHeight="1">
      <c r="A147" s="1"/>
      <c r="B147" s="1"/>
      <c r="C147" s="1"/>
      <c r="D147" s="47"/>
      <c r="E147" s="48" t="s">
        <v>17</v>
      </c>
      <c r="F147" s="49" t="str">
        <f t="shared" ref="F147:N147" si="185">IFERROR(IF(VLOOKUP($D147,$D$114:$Y$129,F$131,FALSE)=0,"",VLOOKUP($D147,$D$114:$Y$129,F$131,FALSE)-IF(VLOOKUP($D147,$D$10:$Y$100,F$131,FALSE)="**",2,IF(VLOOKUP($D147,$D$10:$Y$100,F$131,FALSE)="*",1,0))),"")</f>
        <v/>
      </c>
      <c r="G147" s="50" t="str">
        <f t="shared" si="185"/>
        <v/>
      </c>
      <c r="H147" s="50" t="str">
        <f t="shared" si="185"/>
        <v/>
      </c>
      <c r="I147" s="50" t="str">
        <f t="shared" si="185"/>
        <v/>
      </c>
      <c r="J147" s="50" t="str">
        <f t="shared" si="185"/>
        <v/>
      </c>
      <c r="K147" s="50" t="str">
        <f t="shared" si="185"/>
        <v/>
      </c>
      <c r="L147" s="50" t="str">
        <f t="shared" si="185"/>
        <v/>
      </c>
      <c r="M147" s="50" t="str">
        <f t="shared" si="185"/>
        <v/>
      </c>
      <c r="N147" s="50" t="str">
        <f t="shared" si="185"/>
        <v/>
      </c>
      <c r="O147" s="51"/>
      <c r="P147" s="51"/>
      <c r="Q147" s="50" t="str">
        <f t="shared" ref="Q147:Y147" si="186">IFERROR(IF(VLOOKUP($D147,$D$114:$Y$129,Q$131,FALSE)=0,"",VLOOKUP($D147,$D$114:$Y$129,Q$131,FALSE)-IF(VLOOKUP($D147,$D$10:$Y$100,Q$131,FALSE)="**",2,IF(VLOOKUP($D147,$D$10:$Y$100,Q$131,FALSE)="*",1,0))),"")</f>
        <v/>
      </c>
      <c r="R147" s="50" t="str">
        <f t="shared" si="186"/>
        <v/>
      </c>
      <c r="S147" s="50" t="str">
        <f t="shared" si="186"/>
        <v/>
      </c>
      <c r="T147" s="50" t="str">
        <f t="shared" si="186"/>
        <v/>
      </c>
      <c r="U147" s="50" t="str">
        <f t="shared" si="186"/>
        <v/>
      </c>
      <c r="V147" s="50" t="str">
        <f t="shared" si="186"/>
        <v/>
      </c>
      <c r="W147" s="50" t="str">
        <f t="shared" si="186"/>
        <v/>
      </c>
      <c r="X147" s="50" t="str">
        <f t="shared" si="186"/>
        <v/>
      </c>
      <c r="Y147" s="50" t="str">
        <f t="shared" si="186"/>
        <v/>
      </c>
      <c r="Z147" s="6"/>
      <c r="AA147" s="6"/>
      <c r="AB147" s="6"/>
      <c r="AC147" s="52" t="str">
        <f t="shared" si="161"/>
        <v/>
      </c>
      <c r="AD147" s="53">
        <f t="shared" si="162"/>
        <v>0</v>
      </c>
    </row>
    <row r="148" ht="27.75" customHeight="1">
      <c r="A148" s="1"/>
      <c r="B148" s="1"/>
      <c r="C148" s="1"/>
      <c r="D148" s="47"/>
      <c r="E148" s="48" t="s">
        <v>17</v>
      </c>
      <c r="F148" s="49" t="str">
        <f t="shared" ref="F148:N148" si="187">IFERROR(IF(VLOOKUP($D148,$D$114:$Y$129,F$131,FALSE)=0,"",VLOOKUP($D148,$D$114:$Y$129,F$131,FALSE)-IF(VLOOKUP($D148,$D$10:$Y$100,F$131,FALSE)="**",2,IF(VLOOKUP($D148,$D$10:$Y$100,F$131,FALSE)="*",1,0))),"")</f>
        <v/>
      </c>
      <c r="G148" s="50" t="str">
        <f t="shared" si="187"/>
        <v/>
      </c>
      <c r="H148" s="50" t="str">
        <f t="shared" si="187"/>
        <v/>
      </c>
      <c r="I148" s="50" t="str">
        <f t="shared" si="187"/>
        <v/>
      </c>
      <c r="J148" s="50" t="str">
        <f t="shared" si="187"/>
        <v/>
      </c>
      <c r="K148" s="50" t="str">
        <f t="shared" si="187"/>
        <v/>
      </c>
      <c r="L148" s="50" t="str">
        <f t="shared" si="187"/>
        <v/>
      </c>
      <c r="M148" s="50" t="str">
        <f t="shared" si="187"/>
        <v/>
      </c>
      <c r="N148" s="50" t="str">
        <f t="shared" si="187"/>
        <v/>
      </c>
      <c r="O148" s="51"/>
      <c r="P148" s="51"/>
      <c r="Q148" s="50" t="str">
        <f t="shared" ref="Q148:Y148" si="188">IFERROR(IF(VLOOKUP($D148,$D$114:$Y$129,Q$131,FALSE)=0,"",VLOOKUP($D148,$D$114:$Y$129,Q$131,FALSE)-IF(VLOOKUP($D148,$D$10:$Y$100,Q$131,FALSE)="**",2,IF(VLOOKUP($D148,$D$10:$Y$100,Q$131,FALSE)="*",1,0))),"")</f>
        <v/>
      </c>
      <c r="R148" s="50" t="str">
        <f t="shared" si="188"/>
        <v/>
      </c>
      <c r="S148" s="50" t="str">
        <f t="shared" si="188"/>
        <v/>
      </c>
      <c r="T148" s="50" t="str">
        <f t="shared" si="188"/>
        <v/>
      </c>
      <c r="U148" s="50" t="str">
        <f t="shared" si="188"/>
        <v/>
      </c>
      <c r="V148" s="50" t="str">
        <f t="shared" si="188"/>
        <v/>
      </c>
      <c r="W148" s="50" t="str">
        <f t="shared" si="188"/>
        <v/>
      </c>
      <c r="X148" s="50" t="str">
        <f t="shared" si="188"/>
        <v/>
      </c>
      <c r="Y148" s="50" t="str">
        <f t="shared" si="188"/>
        <v/>
      </c>
      <c r="Z148" s="6"/>
      <c r="AA148" s="6"/>
      <c r="AB148" s="6"/>
      <c r="AC148" s="52" t="str">
        <f t="shared" si="161"/>
        <v/>
      </c>
      <c r="AD148" s="53">
        <f t="shared" si="162"/>
        <v>0</v>
      </c>
    </row>
    <row r="149" ht="27.75" customHeight="1">
      <c r="A149" s="1"/>
      <c r="B149" s="1"/>
      <c r="C149" s="1"/>
      <c r="D149" s="47"/>
      <c r="E149" s="48" t="s">
        <v>17</v>
      </c>
      <c r="F149" s="49" t="str">
        <f t="shared" ref="F149:N149" si="189">IFERROR(IF(VLOOKUP($D149,$D$114:$Y$129,F$131,FALSE)=0,"",VLOOKUP($D149,$D$114:$Y$129,F$131,FALSE)-IF(VLOOKUP($D149,$D$10:$Y$100,F$131,FALSE)="**",2,IF(VLOOKUP($D149,$D$10:$Y$100,F$131,FALSE)="*",1,0))),"")</f>
        <v/>
      </c>
      <c r="G149" s="50" t="str">
        <f t="shared" si="189"/>
        <v/>
      </c>
      <c r="H149" s="50" t="str">
        <f t="shared" si="189"/>
        <v/>
      </c>
      <c r="I149" s="50" t="str">
        <f t="shared" si="189"/>
        <v/>
      </c>
      <c r="J149" s="50" t="str">
        <f t="shared" si="189"/>
        <v/>
      </c>
      <c r="K149" s="50" t="str">
        <f t="shared" si="189"/>
        <v/>
      </c>
      <c r="L149" s="50" t="str">
        <f t="shared" si="189"/>
        <v/>
      </c>
      <c r="M149" s="50" t="str">
        <f t="shared" si="189"/>
        <v/>
      </c>
      <c r="N149" s="50" t="str">
        <f t="shared" si="189"/>
        <v/>
      </c>
      <c r="O149" s="51"/>
      <c r="P149" s="51"/>
      <c r="Q149" s="50" t="str">
        <f t="shared" ref="Q149:Y149" si="190">IFERROR(IF(VLOOKUP($D149,$D$114:$Y$129,Q$131,FALSE)=0,"",VLOOKUP($D149,$D$114:$Y$129,Q$131,FALSE)-IF(VLOOKUP($D149,$D$10:$Y$100,Q$131,FALSE)="**",2,IF(VLOOKUP($D149,$D$10:$Y$100,Q$131,FALSE)="*",1,0))),"")</f>
        <v/>
      </c>
      <c r="R149" s="50" t="str">
        <f t="shared" si="190"/>
        <v/>
      </c>
      <c r="S149" s="50" t="str">
        <f t="shared" si="190"/>
        <v/>
      </c>
      <c r="T149" s="50" t="str">
        <f t="shared" si="190"/>
        <v/>
      </c>
      <c r="U149" s="50" t="str">
        <f t="shared" si="190"/>
        <v/>
      </c>
      <c r="V149" s="50" t="str">
        <f t="shared" si="190"/>
        <v/>
      </c>
      <c r="W149" s="50" t="str">
        <f t="shared" si="190"/>
        <v/>
      </c>
      <c r="X149" s="50" t="str">
        <f t="shared" si="190"/>
        <v/>
      </c>
      <c r="Y149" s="50" t="str">
        <f t="shared" si="190"/>
        <v/>
      </c>
      <c r="Z149" s="6"/>
      <c r="AA149" s="6"/>
      <c r="AB149" s="6"/>
      <c r="AC149" s="52" t="str">
        <f t="shared" si="161"/>
        <v/>
      </c>
      <c r="AD149" s="53">
        <f t="shared" si="162"/>
        <v>0</v>
      </c>
    </row>
    <row r="150" ht="6.75" customHeight="1">
      <c r="A150" s="1"/>
      <c r="B150" s="1"/>
      <c r="C150" s="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6"/>
      <c r="AA150" s="6"/>
      <c r="AB150" s="6"/>
      <c r="AC150" s="6"/>
      <c r="AD150" s="6"/>
    </row>
    <row r="151" ht="27.75" customHeight="1">
      <c r="A151" s="1"/>
      <c r="B151" s="1"/>
      <c r="C151" s="1"/>
      <c r="D151" s="54" t="s">
        <v>19</v>
      </c>
      <c r="E151" s="30"/>
      <c r="F151" s="55" t="str">
        <f t="shared" ref="F151:N151" si="191">_xludf.MINIFS(F$134:F$149,F$134:F$149,"&gt;0")</f>
        <v>#NAME?</v>
      </c>
      <c r="G151" s="44" t="str">
        <f t="shared" si="191"/>
        <v>#NAME?</v>
      </c>
      <c r="H151" s="44" t="str">
        <f t="shared" si="191"/>
        <v>#NAME?</v>
      </c>
      <c r="I151" s="44" t="str">
        <f t="shared" si="191"/>
        <v>#NAME?</v>
      </c>
      <c r="J151" s="44" t="str">
        <f t="shared" si="191"/>
        <v>#NAME?</v>
      </c>
      <c r="K151" s="44" t="str">
        <f t="shared" si="191"/>
        <v>#NAME?</v>
      </c>
      <c r="L151" s="44" t="str">
        <f t="shared" si="191"/>
        <v>#NAME?</v>
      </c>
      <c r="M151" s="44" t="str">
        <f t="shared" si="191"/>
        <v>#NAME?</v>
      </c>
      <c r="N151" s="44" t="str">
        <f t="shared" si="191"/>
        <v>#NAME?</v>
      </c>
      <c r="O151" s="51"/>
      <c r="P151" s="51"/>
      <c r="Q151" s="44" t="str">
        <f t="shared" ref="Q151:Y151" si="192">_xludf.MINIFS(Q$134:Q$149,Q$134:Q$149,"&gt;0")</f>
        <v>#NAME?</v>
      </c>
      <c r="R151" s="44" t="str">
        <f t="shared" si="192"/>
        <v>#NAME?</v>
      </c>
      <c r="S151" s="44" t="str">
        <f t="shared" si="192"/>
        <v>#NAME?</v>
      </c>
      <c r="T151" s="44" t="str">
        <f t="shared" si="192"/>
        <v>#NAME?</v>
      </c>
      <c r="U151" s="44" t="str">
        <f t="shared" si="192"/>
        <v>#NAME?</v>
      </c>
      <c r="V151" s="44" t="str">
        <f t="shared" si="192"/>
        <v>#NAME?</v>
      </c>
      <c r="W151" s="44" t="str">
        <f t="shared" si="192"/>
        <v>#NAME?</v>
      </c>
      <c r="X151" s="44" t="str">
        <f t="shared" si="192"/>
        <v>#NAME?</v>
      </c>
      <c r="Y151" s="44" t="str">
        <f t="shared" si="192"/>
        <v>#NAME?</v>
      </c>
      <c r="Z151" s="6"/>
      <c r="AA151" s="6"/>
      <c r="AB151" s="6"/>
      <c r="AC151" s="6"/>
      <c r="AD151" s="6"/>
    </row>
    <row r="152" ht="14.25" hidden="1" customHeight="1">
      <c r="A152" s="1"/>
      <c r="B152" s="1"/>
      <c r="C152" s="1"/>
      <c r="D152" s="6" t="s">
        <v>20</v>
      </c>
      <c r="E152" s="6"/>
      <c r="F152" s="51">
        <f t="shared" ref="F152:N152" si="193">COUNTIF(F$134:F$149,F$151)</f>
        <v>0</v>
      </c>
      <c r="G152" s="51">
        <f t="shared" si="193"/>
        <v>0</v>
      </c>
      <c r="H152" s="51">
        <f t="shared" si="193"/>
        <v>0</v>
      </c>
      <c r="I152" s="51">
        <f t="shared" si="193"/>
        <v>0</v>
      </c>
      <c r="J152" s="51">
        <f t="shared" si="193"/>
        <v>0</v>
      </c>
      <c r="K152" s="51">
        <f t="shared" si="193"/>
        <v>0</v>
      </c>
      <c r="L152" s="51">
        <f t="shared" si="193"/>
        <v>0</v>
      </c>
      <c r="M152" s="51">
        <f t="shared" si="193"/>
        <v>0</v>
      </c>
      <c r="N152" s="51">
        <f t="shared" si="193"/>
        <v>0</v>
      </c>
      <c r="O152" s="51"/>
      <c r="P152" s="51"/>
      <c r="Q152" s="51">
        <f t="shared" ref="Q152:Y152" si="194">COUNTIF(Q$134:Q$149,Q$151)</f>
        <v>0</v>
      </c>
      <c r="R152" s="51">
        <f t="shared" si="194"/>
        <v>0</v>
      </c>
      <c r="S152" s="51">
        <f t="shared" si="194"/>
        <v>0</v>
      </c>
      <c r="T152" s="51">
        <f t="shared" si="194"/>
        <v>0</v>
      </c>
      <c r="U152" s="51">
        <f t="shared" si="194"/>
        <v>0</v>
      </c>
      <c r="V152" s="51">
        <f t="shared" si="194"/>
        <v>0</v>
      </c>
      <c r="W152" s="51">
        <f t="shared" si="194"/>
        <v>0</v>
      </c>
      <c r="X152" s="51">
        <f t="shared" si="194"/>
        <v>0</v>
      </c>
      <c r="Y152" s="51">
        <f t="shared" si="194"/>
        <v>0</v>
      </c>
      <c r="Z152" s="6"/>
      <c r="AA152" s="6"/>
      <c r="AB152" s="6"/>
      <c r="AC152" s="6"/>
      <c r="AD152" s="6"/>
    </row>
    <row r="153" ht="14.25" hidden="1" customHeight="1">
      <c r="A153" s="1"/>
      <c r="B153" s="1"/>
      <c r="C153" s="1"/>
      <c r="D153" s="6" t="s">
        <v>21</v>
      </c>
      <c r="E153" s="6"/>
      <c r="F153" s="51" t="str">
        <f t="shared" ref="F153:N153" si="195">IF(F152=1,"1","")</f>
        <v/>
      </c>
      <c r="G153" s="51" t="str">
        <f t="shared" si="195"/>
        <v/>
      </c>
      <c r="H153" s="51" t="str">
        <f t="shared" si="195"/>
        <v/>
      </c>
      <c r="I153" s="51" t="str">
        <f t="shared" si="195"/>
        <v/>
      </c>
      <c r="J153" s="51" t="str">
        <f t="shared" si="195"/>
        <v/>
      </c>
      <c r="K153" s="51" t="str">
        <f t="shared" si="195"/>
        <v/>
      </c>
      <c r="L153" s="51" t="str">
        <f t="shared" si="195"/>
        <v/>
      </c>
      <c r="M153" s="51" t="str">
        <f t="shared" si="195"/>
        <v/>
      </c>
      <c r="N153" s="51" t="str">
        <f t="shared" si="195"/>
        <v/>
      </c>
      <c r="O153" s="51"/>
      <c r="P153" s="51"/>
      <c r="Q153" s="51" t="str">
        <f t="shared" ref="Q153:Y153" si="196">IF(Q152=1,"1","")</f>
        <v/>
      </c>
      <c r="R153" s="51" t="str">
        <f t="shared" si="196"/>
        <v/>
      </c>
      <c r="S153" s="51" t="str">
        <f t="shared" si="196"/>
        <v/>
      </c>
      <c r="T153" s="51" t="str">
        <f t="shared" si="196"/>
        <v/>
      </c>
      <c r="U153" s="51" t="str">
        <f t="shared" si="196"/>
        <v/>
      </c>
      <c r="V153" s="51" t="str">
        <f t="shared" si="196"/>
        <v/>
      </c>
      <c r="W153" s="51" t="str">
        <f t="shared" si="196"/>
        <v/>
      </c>
      <c r="X153" s="51" t="str">
        <f t="shared" si="196"/>
        <v/>
      </c>
      <c r="Y153" s="51" t="str">
        <f t="shared" si="196"/>
        <v/>
      </c>
      <c r="Z153" s="6">
        <f>COUNTIF($F$153:$Y$153,"1")</f>
        <v>0</v>
      </c>
      <c r="AA153" s="6"/>
      <c r="AB153" s="6"/>
      <c r="AC153" s="6"/>
      <c r="AD153" s="6"/>
    </row>
    <row r="154" ht="14.25" hidden="1" customHeight="1">
      <c r="A154" s="1"/>
      <c r="B154" s="1"/>
      <c r="C154" s="1"/>
      <c r="D154" s="6" t="s">
        <v>22</v>
      </c>
      <c r="E154" s="6"/>
      <c r="F154" s="6" t="str">
        <f t="shared" ref="F154:N154" si="197">IFERROR(IF(F153="1",VLOOKUP(F151,F$134:$AC$149,F$130,FALSE),""),"")</f>
        <v/>
      </c>
      <c r="G154" s="6" t="str">
        <f t="shared" si="197"/>
        <v/>
      </c>
      <c r="H154" s="6" t="str">
        <f t="shared" si="197"/>
        <v/>
      </c>
      <c r="I154" s="6" t="str">
        <f t="shared" si="197"/>
        <v/>
      </c>
      <c r="J154" s="6" t="str">
        <f t="shared" si="197"/>
        <v/>
      </c>
      <c r="K154" s="6" t="str">
        <f t="shared" si="197"/>
        <v/>
      </c>
      <c r="L154" s="6" t="str">
        <f t="shared" si="197"/>
        <v/>
      </c>
      <c r="M154" s="6" t="str">
        <f t="shared" si="197"/>
        <v/>
      </c>
      <c r="N154" s="6" t="str">
        <f t="shared" si="197"/>
        <v/>
      </c>
      <c r="O154" s="6"/>
      <c r="P154" s="6"/>
      <c r="Q154" s="6" t="str">
        <f t="shared" ref="Q154:Y154" si="198">IFERROR(IF(Q153="1",VLOOKUP(Q151,Q$134:$AC$149,Q$130,FALSE),""),"")</f>
        <v/>
      </c>
      <c r="R154" s="6" t="str">
        <f t="shared" si="198"/>
        <v/>
      </c>
      <c r="S154" s="6" t="str">
        <f t="shared" si="198"/>
        <v/>
      </c>
      <c r="T154" s="6" t="str">
        <f t="shared" si="198"/>
        <v/>
      </c>
      <c r="U154" s="6" t="str">
        <f t="shared" si="198"/>
        <v/>
      </c>
      <c r="V154" s="6" t="str">
        <f t="shared" si="198"/>
        <v/>
      </c>
      <c r="W154" s="6" t="str">
        <f t="shared" si="198"/>
        <v/>
      </c>
      <c r="X154" s="6" t="str">
        <f t="shared" si="198"/>
        <v/>
      </c>
      <c r="Y154" s="6" t="str">
        <f t="shared" si="198"/>
        <v/>
      </c>
      <c r="Z154" s="6"/>
      <c r="AA154" s="6"/>
      <c r="AB154" s="6"/>
      <c r="AC154" s="6"/>
      <c r="AD154" s="6"/>
    </row>
    <row r="155" ht="14.25" customHeight="1">
      <c r="A155" s="1"/>
      <c r="B155" s="1"/>
      <c r="C155" s="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27.75" customHeight="1">
      <c r="A156" s="1"/>
      <c r="B156" s="1"/>
      <c r="C156" s="1"/>
      <c r="D156" s="43" t="s">
        <v>23</v>
      </c>
      <c r="E156" s="43" t="s">
        <v>9</v>
      </c>
      <c r="F156" s="44" t="str">
        <f t="shared" ref="F156:N156" si="199">F7</f>
        <v/>
      </c>
      <c r="G156" s="44" t="str">
        <f t="shared" si="199"/>
        <v/>
      </c>
      <c r="H156" s="44" t="str">
        <f t="shared" si="199"/>
        <v/>
      </c>
      <c r="I156" s="44" t="str">
        <f t="shared" si="199"/>
        <v/>
      </c>
      <c r="J156" s="44" t="str">
        <f t="shared" si="199"/>
        <v/>
      </c>
      <c r="K156" s="44" t="str">
        <f t="shared" si="199"/>
        <v/>
      </c>
      <c r="L156" s="44" t="str">
        <f t="shared" si="199"/>
        <v/>
      </c>
      <c r="M156" s="44" t="str">
        <f t="shared" si="199"/>
        <v/>
      </c>
      <c r="N156" s="44" t="str">
        <f t="shared" si="199"/>
        <v/>
      </c>
      <c r="O156" s="10"/>
      <c r="P156" s="10"/>
      <c r="Q156" s="44" t="str">
        <f t="shared" ref="Q156:Y156" si="200">Q7</f>
        <v/>
      </c>
      <c r="R156" s="44" t="str">
        <f t="shared" si="200"/>
        <v/>
      </c>
      <c r="S156" s="44" t="str">
        <f t="shared" si="200"/>
        <v/>
      </c>
      <c r="T156" s="44" t="str">
        <f t="shared" si="200"/>
        <v/>
      </c>
      <c r="U156" s="44" t="str">
        <f t="shared" si="200"/>
        <v/>
      </c>
      <c r="V156" s="44" t="str">
        <f t="shared" si="200"/>
        <v/>
      </c>
      <c r="W156" s="44" t="str">
        <f t="shared" si="200"/>
        <v/>
      </c>
      <c r="X156" s="44" t="str">
        <f t="shared" si="200"/>
        <v/>
      </c>
      <c r="Y156" s="44" t="str">
        <f t="shared" si="200"/>
        <v/>
      </c>
      <c r="Z156" s="44"/>
      <c r="AA156" s="6"/>
      <c r="AB156" s="6"/>
      <c r="AC156" s="6"/>
      <c r="AD156" s="6"/>
    </row>
    <row r="157" ht="27.75" customHeight="1">
      <c r="A157" s="1"/>
      <c r="B157" s="1"/>
      <c r="C157" s="1"/>
      <c r="D157" s="43" t="s">
        <v>13</v>
      </c>
      <c r="E157" s="43" t="s">
        <v>4</v>
      </c>
      <c r="F157" s="44">
        <f t="shared" ref="F157:N157" si="201">F133</f>
        <v>1</v>
      </c>
      <c r="G157" s="44">
        <f t="shared" si="201"/>
        <v>2</v>
      </c>
      <c r="H157" s="44">
        <f t="shared" si="201"/>
        <v>3</v>
      </c>
      <c r="I157" s="44">
        <f t="shared" si="201"/>
        <v>4</v>
      </c>
      <c r="J157" s="44">
        <f t="shared" si="201"/>
        <v>5</v>
      </c>
      <c r="K157" s="44">
        <f t="shared" si="201"/>
        <v>6</v>
      </c>
      <c r="L157" s="44">
        <f t="shared" si="201"/>
        <v>7</v>
      </c>
      <c r="M157" s="44">
        <f t="shared" si="201"/>
        <v>8</v>
      </c>
      <c r="N157" s="44">
        <f t="shared" si="201"/>
        <v>9</v>
      </c>
      <c r="O157" s="10"/>
      <c r="P157" s="10"/>
      <c r="Q157" s="44">
        <f t="shared" ref="Q157:Y157" si="202">Q133</f>
        <v>10</v>
      </c>
      <c r="R157" s="44">
        <f t="shared" si="202"/>
        <v>11</v>
      </c>
      <c r="S157" s="44">
        <f t="shared" si="202"/>
        <v>12</v>
      </c>
      <c r="T157" s="44">
        <f t="shared" si="202"/>
        <v>13</v>
      </c>
      <c r="U157" s="44">
        <f t="shared" si="202"/>
        <v>14</v>
      </c>
      <c r="V157" s="44">
        <f t="shared" si="202"/>
        <v>15</v>
      </c>
      <c r="W157" s="44">
        <f t="shared" si="202"/>
        <v>16</v>
      </c>
      <c r="X157" s="44">
        <f t="shared" si="202"/>
        <v>17</v>
      </c>
      <c r="Y157" s="44">
        <f t="shared" si="202"/>
        <v>18</v>
      </c>
      <c r="Z157" s="44" t="s">
        <v>24</v>
      </c>
      <c r="AA157" s="6"/>
      <c r="AB157" s="6"/>
      <c r="AC157" s="6"/>
      <c r="AD157" s="6"/>
    </row>
    <row r="158" ht="27.75" customHeight="1">
      <c r="A158" s="1"/>
      <c r="B158" s="1"/>
      <c r="C158" s="1"/>
      <c r="D158" s="56"/>
      <c r="E158" s="30"/>
      <c r="F158" s="50" t="str">
        <f t="shared" ref="F158:N158" si="203">IFERROR(IF(VLOOKUP($D158,$D$114:$Y$129,F$131,FALSE)=0,"",IF(VLOOKUP($D158,$D$114:$Y$129,F$131,FALSE)&lt;F$156,1,0)),"")</f>
        <v/>
      </c>
      <c r="G158" s="50" t="str">
        <f t="shared" si="203"/>
        <v/>
      </c>
      <c r="H158" s="50" t="str">
        <f t="shared" si="203"/>
        <v/>
      </c>
      <c r="I158" s="50" t="str">
        <f t="shared" si="203"/>
        <v/>
      </c>
      <c r="J158" s="50" t="str">
        <f t="shared" si="203"/>
        <v/>
      </c>
      <c r="K158" s="50" t="str">
        <f t="shared" si="203"/>
        <v/>
      </c>
      <c r="L158" s="50" t="str">
        <f t="shared" si="203"/>
        <v/>
      </c>
      <c r="M158" s="50" t="str">
        <f t="shared" si="203"/>
        <v/>
      </c>
      <c r="N158" s="50" t="str">
        <f t="shared" si="203"/>
        <v/>
      </c>
      <c r="O158" s="51"/>
      <c r="P158" s="51"/>
      <c r="Q158" s="50" t="str">
        <f t="shared" ref="Q158:Y158" si="204">IFERROR(IF(VLOOKUP($D158,$D$114:$Y$129,Q$131,FALSE)=0,"",IF(VLOOKUP($D158,$D$114:$Y$129,Q$131,FALSE)&lt;Q$156,1,0)),"")</f>
        <v/>
      </c>
      <c r="R158" s="50" t="str">
        <f t="shared" si="204"/>
        <v/>
      </c>
      <c r="S158" s="50" t="str">
        <f t="shared" si="204"/>
        <v/>
      </c>
      <c r="T158" s="50" t="str">
        <f t="shared" si="204"/>
        <v/>
      </c>
      <c r="U158" s="50" t="str">
        <f t="shared" si="204"/>
        <v/>
      </c>
      <c r="V158" s="50" t="str">
        <f t="shared" si="204"/>
        <v/>
      </c>
      <c r="W158" s="50" t="str">
        <f t="shared" si="204"/>
        <v/>
      </c>
      <c r="X158" s="50" t="str">
        <f t="shared" si="204"/>
        <v/>
      </c>
      <c r="Y158" s="50" t="str">
        <f t="shared" si="204"/>
        <v/>
      </c>
      <c r="Z158" s="48">
        <f t="shared" ref="Z158:Z173" si="207">SUM(F158:Y158)</f>
        <v>0</v>
      </c>
      <c r="AA158" s="6"/>
      <c r="AB158" s="6"/>
      <c r="AC158" s="6"/>
      <c r="AD158" s="6"/>
    </row>
    <row r="159" ht="27.75" customHeight="1">
      <c r="A159" s="1"/>
      <c r="B159" s="1"/>
      <c r="C159" s="1"/>
      <c r="D159" s="56"/>
      <c r="E159" s="30"/>
      <c r="F159" s="50" t="str">
        <f t="shared" ref="F159:N159" si="205">IFERROR(IF(VLOOKUP($D159,$D$114:$Y$129,F$131,FALSE)=0,"",IF(VLOOKUP($D159,$D$114:$Y$129,F$131,FALSE)&lt;F$156,1,0)),"")</f>
        <v/>
      </c>
      <c r="G159" s="50" t="str">
        <f t="shared" si="205"/>
        <v/>
      </c>
      <c r="H159" s="50" t="str">
        <f t="shared" si="205"/>
        <v/>
      </c>
      <c r="I159" s="50" t="str">
        <f t="shared" si="205"/>
        <v/>
      </c>
      <c r="J159" s="50" t="str">
        <f t="shared" si="205"/>
        <v/>
      </c>
      <c r="K159" s="50" t="str">
        <f t="shared" si="205"/>
        <v/>
      </c>
      <c r="L159" s="50" t="str">
        <f t="shared" si="205"/>
        <v/>
      </c>
      <c r="M159" s="50" t="str">
        <f t="shared" si="205"/>
        <v/>
      </c>
      <c r="N159" s="50" t="str">
        <f t="shared" si="205"/>
        <v/>
      </c>
      <c r="O159" s="51"/>
      <c r="P159" s="51"/>
      <c r="Q159" s="50" t="str">
        <f t="shared" ref="Q159:Y159" si="206">IFERROR(IF(VLOOKUP($D159,$D$114:$Y$129,Q$131,FALSE)=0,"",IF(VLOOKUP($D159,$D$114:$Y$129,Q$131,FALSE)&lt;Q$156,1,0)),"")</f>
        <v/>
      </c>
      <c r="R159" s="50" t="str">
        <f t="shared" si="206"/>
        <v/>
      </c>
      <c r="S159" s="50" t="str">
        <f t="shared" si="206"/>
        <v/>
      </c>
      <c r="T159" s="50" t="str">
        <f t="shared" si="206"/>
        <v/>
      </c>
      <c r="U159" s="50" t="str">
        <f t="shared" si="206"/>
        <v/>
      </c>
      <c r="V159" s="50" t="str">
        <f t="shared" si="206"/>
        <v/>
      </c>
      <c r="W159" s="50" t="str">
        <f t="shared" si="206"/>
        <v/>
      </c>
      <c r="X159" s="50" t="str">
        <f t="shared" si="206"/>
        <v/>
      </c>
      <c r="Y159" s="50" t="str">
        <f t="shared" si="206"/>
        <v/>
      </c>
      <c r="Z159" s="48">
        <f t="shared" si="207"/>
        <v>0</v>
      </c>
      <c r="AA159" s="6"/>
      <c r="AB159" s="6"/>
      <c r="AC159" s="6"/>
      <c r="AD159" s="6"/>
    </row>
    <row r="160" ht="27.75" customHeight="1">
      <c r="A160" s="1"/>
      <c r="B160" s="1"/>
      <c r="C160" s="1"/>
      <c r="D160" s="56"/>
      <c r="E160" s="30"/>
      <c r="F160" s="50" t="str">
        <f t="shared" ref="F160:N160" si="208">IFERROR(IF(VLOOKUP($D160,$D$114:$Y$129,F$131,FALSE)=0,"",IF(VLOOKUP($D160,$D$114:$Y$129,F$131,FALSE)&lt;F$156,1,0)),"")</f>
        <v/>
      </c>
      <c r="G160" s="50" t="str">
        <f t="shared" si="208"/>
        <v/>
      </c>
      <c r="H160" s="50" t="str">
        <f t="shared" si="208"/>
        <v/>
      </c>
      <c r="I160" s="50" t="str">
        <f t="shared" si="208"/>
        <v/>
      </c>
      <c r="J160" s="50" t="str">
        <f t="shared" si="208"/>
        <v/>
      </c>
      <c r="K160" s="50" t="str">
        <f t="shared" si="208"/>
        <v/>
      </c>
      <c r="L160" s="50" t="str">
        <f t="shared" si="208"/>
        <v/>
      </c>
      <c r="M160" s="50" t="str">
        <f t="shared" si="208"/>
        <v/>
      </c>
      <c r="N160" s="50" t="str">
        <f t="shared" si="208"/>
        <v/>
      </c>
      <c r="O160" s="51"/>
      <c r="P160" s="51"/>
      <c r="Q160" s="50" t="str">
        <f t="shared" ref="Q160:Y160" si="209">IFERROR(IF(VLOOKUP($D160,$D$114:$Y$129,Q$131,FALSE)=0,"",IF(VLOOKUP($D160,$D$114:$Y$129,Q$131,FALSE)&lt;Q$156,1,0)),"")</f>
        <v/>
      </c>
      <c r="R160" s="50" t="str">
        <f t="shared" si="209"/>
        <v/>
      </c>
      <c r="S160" s="50" t="str">
        <f t="shared" si="209"/>
        <v/>
      </c>
      <c r="T160" s="50" t="str">
        <f t="shared" si="209"/>
        <v/>
      </c>
      <c r="U160" s="50" t="str">
        <f t="shared" si="209"/>
        <v/>
      </c>
      <c r="V160" s="50" t="str">
        <f t="shared" si="209"/>
        <v/>
      </c>
      <c r="W160" s="50" t="str">
        <f t="shared" si="209"/>
        <v/>
      </c>
      <c r="X160" s="50" t="str">
        <f t="shared" si="209"/>
        <v/>
      </c>
      <c r="Y160" s="50" t="str">
        <f t="shared" si="209"/>
        <v/>
      </c>
      <c r="Z160" s="48">
        <f t="shared" si="207"/>
        <v>0</v>
      </c>
      <c r="AA160" s="6"/>
      <c r="AB160" s="6"/>
      <c r="AC160" s="6"/>
      <c r="AD160" s="6"/>
    </row>
    <row r="161" ht="27.75" customHeight="1">
      <c r="A161" s="1"/>
      <c r="B161" s="1"/>
      <c r="C161" s="1"/>
      <c r="D161" s="56"/>
      <c r="E161" s="30"/>
      <c r="F161" s="50" t="str">
        <f t="shared" ref="F161:N161" si="210">IFERROR(IF(VLOOKUP($D161,$D$114:$Y$129,F$131,FALSE)=0,"",IF(VLOOKUP($D161,$D$114:$Y$129,F$131,FALSE)&lt;F$156,1,0)),"")</f>
        <v/>
      </c>
      <c r="G161" s="50" t="str">
        <f t="shared" si="210"/>
        <v/>
      </c>
      <c r="H161" s="50" t="str">
        <f t="shared" si="210"/>
        <v/>
      </c>
      <c r="I161" s="50" t="str">
        <f t="shared" si="210"/>
        <v/>
      </c>
      <c r="J161" s="50" t="str">
        <f t="shared" si="210"/>
        <v/>
      </c>
      <c r="K161" s="50" t="str">
        <f t="shared" si="210"/>
        <v/>
      </c>
      <c r="L161" s="50" t="str">
        <f t="shared" si="210"/>
        <v/>
      </c>
      <c r="M161" s="50" t="str">
        <f t="shared" si="210"/>
        <v/>
      </c>
      <c r="N161" s="50" t="str">
        <f t="shared" si="210"/>
        <v/>
      </c>
      <c r="O161" s="51"/>
      <c r="P161" s="51"/>
      <c r="Q161" s="50" t="str">
        <f t="shared" ref="Q161:Y161" si="211">IFERROR(IF(VLOOKUP($D161,$D$114:$Y$129,Q$131,FALSE)=0,"",IF(VLOOKUP($D161,$D$114:$Y$129,Q$131,FALSE)&lt;Q$156,1,0)),"")</f>
        <v/>
      </c>
      <c r="R161" s="50" t="str">
        <f t="shared" si="211"/>
        <v/>
      </c>
      <c r="S161" s="50" t="str">
        <f t="shared" si="211"/>
        <v/>
      </c>
      <c r="T161" s="50" t="str">
        <f t="shared" si="211"/>
        <v/>
      </c>
      <c r="U161" s="50" t="str">
        <f t="shared" si="211"/>
        <v/>
      </c>
      <c r="V161" s="50" t="str">
        <f t="shared" si="211"/>
        <v/>
      </c>
      <c r="W161" s="50" t="str">
        <f t="shared" si="211"/>
        <v/>
      </c>
      <c r="X161" s="50" t="str">
        <f t="shared" si="211"/>
        <v/>
      </c>
      <c r="Y161" s="50" t="str">
        <f t="shared" si="211"/>
        <v/>
      </c>
      <c r="Z161" s="48">
        <f t="shared" si="207"/>
        <v>0</v>
      </c>
      <c r="AA161" s="6"/>
      <c r="AB161" s="6"/>
      <c r="AC161" s="6"/>
      <c r="AD161" s="6"/>
    </row>
    <row r="162" ht="27.75" customHeight="1">
      <c r="A162" s="1"/>
      <c r="B162" s="1"/>
      <c r="C162" s="1"/>
      <c r="D162" s="56"/>
      <c r="E162" s="30"/>
      <c r="F162" s="50" t="str">
        <f t="shared" ref="F162:N162" si="212">IFERROR(IF(VLOOKUP($D162,$D$114:$Y$129,F$131,FALSE)=0,"",IF(VLOOKUP($D162,$D$114:$Y$129,F$131,FALSE)&lt;F$156,1,0)),"")</f>
        <v/>
      </c>
      <c r="G162" s="50" t="str">
        <f t="shared" si="212"/>
        <v/>
      </c>
      <c r="H162" s="50" t="str">
        <f t="shared" si="212"/>
        <v/>
      </c>
      <c r="I162" s="50" t="str">
        <f t="shared" si="212"/>
        <v/>
      </c>
      <c r="J162" s="50" t="str">
        <f t="shared" si="212"/>
        <v/>
      </c>
      <c r="K162" s="50" t="str">
        <f t="shared" si="212"/>
        <v/>
      </c>
      <c r="L162" s="50" t="str">
        <f t="shared" si="212"/>
        <v/>
      </c>
      <c r="M162" s="50" t="str">
        <f t="shared" si="212"/>
        <v/>
      </c>
      <c r="N162" s="50" t="str">
        <f t="shared" si="212"/>
        <v/>
      </c>
      <c r="O162" s="51"/>
      <c r="P162" s="51"/>
      <c r="Q162" s="50" t="str">
        <f t="shared" ref="Q162:Y162" si="213">IFERROR(IF(VLOOKUP($D162,$D$114:$Y$129,Q$131,FALSE)=0,"",IF(VLOOKUP($D162,$D$114:$Y$129,Q$131,FALSE)&lt;Q$156,1,0)),"")</f>
        <v/>
      </c>
      <c r="R162" s="50" t="str">
        <f t="shared" si="213"/>
        <v/>
      </c>
      <c r="S162" s="50" t="str">
        <f t="shared" si="213"/>
        <v/>
      </c>
      <c r="T162" s="50" t="str">
        <f t="shared" si="213"/>
        <v/>
      </c>
      <c r="U162" s="50" t="str">
        <f t="shared" si="213"/>
        <v/>
      </c>
      <c r="V162" s="50" t="str">
        <f t="shared" si="213"/>
        <v/>
      </c>
      <c r="W162" s="50" t="str">
        <f t="shared" si="213"/>
        <v/>
      </c>
      <c r="X162" s="50" t="str">
        <f t="shared" si="213"/>
        <v/>
      </c>
      <c r="Y162" s="50" t="str">
        <f t="shared" si="213"/>
        <v/>
      </c>
      <c r="Z162" s="48">
        <f t="shared" si="207"/>
        <v>0</v>
      </c>
      <c r="AA162" s="6"/>
      <c r="AB162" s="6"/>
      <c r="AC162" s="6"/>
      <c r="AD162" s="6"/>
    </row>
    <row r="163" ht="27.75" customHeight="1">
      <c r="A163" s="1"/>
      <c r="B163" s="1"/>
      <c r="C163" s="1"/>
      <c r="D163" s="56"/>
      <c r="E163" s="30"/>
      <c r="F163" s="50" t="str">
        <f t="shared" ref="F163:N163" si="214">IFERROR(IF(VLOOKUP($D163,$D$114:$Y$129,F$131,FALSE)=0,"",IF(VLOOKUP($D163,$D$114:$Y$129,F$131,FALSE)&lt;F$156,1,0)),"")</f>
        <v/>
      </c>
      <c r="G163" s="50" t="str">
        <f t="shared" si="214"/>
        <v/>
      </c>
      <c r="H163" s="50" t="str">
        <f t="shared" si="214"/>
        <v/>
      </c>
      <c r="I163" s="50" t="str">
        <f t="shared" si="214"/>
        <v/>
      </c>
      <c r="J163" s="50" t="str">
        <f t="shared" si="214"/>
        <v/>
      </c>
      <c r="K163" s="50" t="str">
        <f t="shared" si="214"/>
        <v/>
      </c>
      <c r="L163" s="50" t="str">
        <f t="shared" si="214"/>
        <v/>
      </c>
      <c r="M163" s="50" t="str">
        <f t="shared" si="214"/>
        <v/>
      </c>
      <c r="N163" s="50" t="str">
        <f t="shared" si="214"/>
        <v/>
      </c>
      <c r="O163" s="51"/>
      <c r="P163" s="51"/>
      <c r="Q163" s="50" t="str">
        <f t="shared" ref="Q163:Y163" si="215">IFERROR(IF(VLOOKUP($D163,$D$114:$Y$129,Q$131,FALSE)=0,"",IF(VLOOKUP($D163,$D$114:$Y$129,Q$131,FALSE)&lt;Q$156,1,0)),"")</f>
        <v/>
      </c>
      <c r="R163" s="50" t="str">
        <f t="shared" si="215"/>
        <v/>
      </c>
      <c r="S163" s="50" t="str">
        <f t="shared" si="215"/>
        <v/>
      </c>
      <c r="T163" s="50" t="str">
        <f t="shared" si="215"/>
        <v/>
      </c>
      <c r="U163" s="50" t="str">
        <f t="shared" si="215"/>
        <v/>
      </c>
      <c r="V163" s="50" t="str">
        <f t="shared" si="215"/>
        <v/>
      </c>
      <c r="W163" s="50" t="str">
        <f t="shared" si="215"/>
        <v/>
      </c>
      <c r="X163" s="50" t="str">
        <f t="shared" si="215"/>
        <v/>
      </c>
      <c r="Y163" s="50" t="str">
        <f t="shared" si="215"/>
        <v/>
      </c>
      <c r="Z163" s="48">
        <f t="shared" si="207"/>
        <v>0</v>
      </c>
      <c r="AA163" s="6"/>
      <c r="AB163" s="6"/>
      <c r="AC163" s="6"/>
      <c r="AD163" s="6"/>
    </row>
    <row r="164" ht="27.75" customHeight="1">
      <c r="A164" s="1"/>
      <c r="B164" s="1"/>
      <c r="C164" s="1"/>
      <c r="D164" s="56"/>
      <c r="E164" s="30"/>
      <c r="F164" s="50" t="str">
        <f t="shared" ref="F164:N164" si="216">IFERROR(IF(VLOOKUP($D164,$D$114:$Y$129,F$131,FALSE)=0,"",IF(VLOOKUP($D164,$D$114:$Y$129,F$131,FALSE)&lt;F$156,1,0)),"")</f>
        <v/>
      </c>
      <c r="G164" s="50" t="str">
        <f t="shared" si="216"/>
        <v/>
      </c>
      <c r="H164" s="50" t="str">
        <f t="shared" si="216"/>
        <v/>
      </c>
      <c r="I164" s="50" t="str">
        <f t="shared" si="216"/>
        <v/>
      </c>
      <c r="J164" s="50" t="str">
        <f t="shared" si="216"/>
        <v/>
      </c>
      <c r="K164" s="50" t="str">
        <f t="shared" si="216"/>
        <v/>
      </c>
      <c r="L164" s="50" t="str">
        <f t="shared" si="216"/>
        <v/>
      </c>
      <c r="M164" s="50" t="str">
        <f t="shared" si="216"/>
        <v/>
      </c>
      <c r="N164" s="50" t="str">
        <f t="shared" si="216"/>
        <v/>
      </c>
      <c r="O164" s="51"/>
      <c r="P164" s="51"/>
      <c r="Q164" s="50" t="str">
        <f t="shared" ref="Q164:Y164" si="217">IFERROR(IF(VLOOKUP($D164,$D$114:$Y$129,Q$131,FALSE)=0,"",IF(VLOOKUP($D164,$D$114:$Y$129,Q$131,FALSE)&lt;Q$156,1,0)),"")</f>
        <v/>
      </c>
      <c r="R164" s="50" t="str">
        <f t="shared" si="217"/>
        <v/>
      </c>
      <c r="S164" s="50" t="str">
        <f t="shared" si="217"/>
        <v/>
      </c>
      <c r="T164" s="50" t="str">
        <f t="shared" si="217"/>
        <v/>
      </c>
      <c r="U164" s="50" t="str">
        <f t="shared" si="217"/>
        <v/>
      </c>
      <c r="V164" s="50" t="str">
        <f t="shared" si="217"/>
        <v/>
      </c>
      <c r="W164" s="50" t="str">
        <f t="shared" si="217"/>
        <v/>
      </c>
      <c r="X164" s="50" t="str">
        <f t="shared" si="217"/>
        <v/>
      </c>
      <c r="Y164" s="50" t="str">
        <f t="shared" si="217"/>
        <v/>
      </c>
      <c r="Z164" s="48">
        <f t="shared" si="207"/>
        <v>0</v>
      </c>
      <c r="AA164" s="6"/>
      <c r="AB164" s="6"/>
      <c r="AC164" s="6"/>
      <c r="AD164" s="6"/>
    </row>
    <row r="165" ht="27.75" customHeight="1">
      <c r="A165" s="1"/>
      <c r="B165" s="1"/>
      <c r="C165" s="1"/>
      <c r="D165" s="56"/>
      <c r="E165" s="30"/>
      <c r="F165" s="50" t="str">
        <f t="shared" ref="F165:N165" si="218">IFERROR(IF(VLOOKUP($D165,$D$114:$Y$129,F$131,FALSE)=0,"",IF(VLOOKUP($D165,$D$114:$Y$129,F$131,FALSE)&lt;F$156,1,0)),"")</f>
        <v/>
      </c>
      <c r="G165" s="50" t="str">
        <f t="shared" si="218"/>
        <v/>
      </c>
      <c r="H165" s="50" t="str">
        <f t="shared" si="218"/>
        <v/>
      </c>
      <c r="I165" s="50" t="str">
        <f t="shared" si="218"/>
        <v/>
      </c>
      <c r="J165" s="50" t="str">
        <f t="shared" si="218"/>
        <v/>
      </c>
      <c r="K165" s="50" t="str">
        <f t="shared" si="218"/>
        <v/>
      </c>
      <c r="L165" s="50" t="str">
        <f t="shared" si="218"/>
        <v/>
      </c>
      <c r="M165" s="50" t="str">
        <f t="shared" si="218"/>
        <v/>
      </c>
      <c r="N165" s="50" t="str">
        <f t="shared" si="218"/>
        <v/>
      </c>
      <c r="O165" s="51"/>
      <c r="P165" s="51"/>
      <c r="Q165" s="50" t="str">
        <f t="shared" ref="Q165:Y165" si="219">IFERROR(IF(VLOOKUP($D165,$D$114:$Y$129,Q$131,FALSE)=0,"",IF(VLOOKUP($D165,$D$114:$Y$129,Q$131,FALSE)&lt;Q$156,1,0)),"")</f>
        <v/>
      </c>
      <c r="R165" s="50" t="str">
        <f t="shared" si="219"/>
        <v/>
      </c>
      <c r="S165" s="50" t="str">
        <f t="shared" si="219"/>
        <v/>
      </c>
      <c r="T165" s="50" t="str">
        <f t="shared" si="219"/>
        <v/>
      </c>
      <c r="U165" s="50" t="str">
        <f t="shared" si="219"/>
        <v/>
      </c>
      <c r="V165" s="50" t="str">
        <f t="shared" si="219"/>
        <v/>
      </c>
      <c r="W165" s="50" t="str">
        <f t="shared" si="219"/>
        <v/>
      </c>
      <c r="X165" s="50" t="str">
        <f t="shared" si="219"/>
        <v/>
      </c>
      <c r="Y165" s="50" t="str">
        <f t="shared" si="219"/>
        <v/>
      </c>
      <c r="Z165" s="48">
        <f t="shared" si="207"/>
        <v>0</v>
      </c>
      <c r="AA165" s="6"/>
      <c r="AB165" s="6"/>
      <c r="AC165" s="6"/>
      <c r="AD165" s="6"/>
    </row>
    <row r="166" ht="27.75" customHeight="1">
      <c r="A166" s="1"/>
      <c r="B166" s="1"/>
      <c r="C166" s="1"/>
      <c r="D166" s="56"/>
      <c r="E166" s="30"/>
      <c r="F166" s="50" t="str">
        <f t="shared" ref="F166:N166" si="220">IFERROR(IF(VLOOKUP($D166,$D$114:$Y$129,F$131,FALSE)=0,"",IF(VLOOKUP($D166,$D$114:$Y$129,F$131,FALSE)&lt;F$156,1,0)),"")</f>
        <v/>
      </c>
      <c r="G166" s="50" t="str">
        <f t="shared" si="220"/>
        <v/>
      </c>
      <c r="H166" s="50" t="str">
        <f t="shared" si="220"/>
        <v/>
      </c>
      <c r="I166" s="50" t="str">
        <f t="shared" si="220"/>
        <v/>
      </c>
      <c r="J166" s="50" t="str">
        <f t="shared" si="220"/>
        <v/>
      </c>
      <c r="K166" s="50" t="str">
        <f t="shared" si="220"/>
        <v/>
      </c>
      <c r="L166" s="50" t="str">
        <f t="shared" si="220"/>
        <v/>
      </c>
      <c r="M166" s="50" t="str">
        <f t="shared" si="220"/>
        <v/>
      </c>
      <c r="N166" s="50" t="str">
        <f t="shared" si="220"/>
        <v/>
      </c>
      <c r="O166" s="51"/>
      <c r="P166" s="51"/>
      <c r="Q166" s="50" t="str">
        <f t="shared" ref="Q166:Y166" si="221">IFERROR(IF(VLOOKUP($D166,$D$114:$Y$129,Q$131,FALSE)=0,"",IF(VLOOKUP($D166,$D$114:$Y$129,Q$131,FALSE)&lt;Q$156,1,0)),"")</f>
        <v/>
      </c>
      <c r="R166" s="50" t="str">
        <f t="shared" si="221"/>
        <v/>
      </c>
      <c r="S166" s="50" t="str">
        <f t="shared" si="221"/>
        <v/>
      </c>
      <c r="T166" s="50" t="str">
        <f t="shared" si="221"/>
        <v/>
      </c>
      <c r="U166" s="50" t="str">
        <f t="shared" si="221"/>
        <v/>
      </c>
      <c r="V166" s="50" t="str">
        <f t="shared" si="221"/>
        <v/>
      </c>
      <c r="W166" s="50" t="str">
        <f t="shared" si="221"/>
        <v/>
      </c>
      <c r="X166" s="50" t="str">
        <f t="shared" si="221"/>
        <v/>
      </c>
      <c r="Y166" s="50" t="str">
        <f t="shared" si="221"/>
        <v/>
      </c>
      <c r="Z166" s="48">
        <f t="shared" si="207"/>
        <v>0</v>
      </c>
      <c r="AA166" s="6"/>
      <c r="AB166" s="6"/>
      <c r="AC166" s="6"/>
      <c r="AD166" s="6"/>
    </row>
    <row r="167" ht="27.75" customHeight="1">
      <c r="A167" s="1"/>
      <c r="B167" s="1"/>
      <c r="C167" s="1"/>
      <c r="D167" s="56"/>
      <c r="E167" s="30"/>
      <c r="F167" s="50" t="str">
        <f t="shared" ref="F167:N167" si="222">IFERROR(IF(VLOOKUP($D167,$D$114:$Y$129,F$131,FALSE)=0,"",IF(VLOOKUP($D167,$D$114:$Y$129,F$131,FALSE)&lt;F$156,1,0)),"")</f>
        <v/>
      </c>
      <c r="G167" s="50" t="str">
        <f t="shared" si="222"/>
        <v/>
      </c>
      <c r="H167" s="50" t="str">
        <f t="shared" si="222"/>
        <v/>
      </c>
      <c r="I167" s="50" t="str">
        <f t="shared" si="222"/>
        <v/>
      </c>
      <c r="J167" s="50" t="str">
        <f t="shared" si="222"/>
        <v/>
      </c>
      <c r="K167" s="50" t="str">
        <f t="shared" si="222"/>
        <v/>
      </c>
      <c r="L167" s="50" t="str">
        <f t="shared" si="222"/>
        <v/>
      </c>
      <c r="M167" s="50" t="str">
        <f t="shared" si="222"/>
        <v/>
      </c>
      <c r="N167" s="50" t="str">
        <f t="shared" si="222"/>
        <v/>
      </c>
      <c r="O167" s="51"/>
      <c r="P167" s="51"/>
      <c r="Q167" s="50" t="str">
        <f t="shared" ref="Q167:Y167" si="223">IFERROR(IF(VLOOKUP($D167,$D$114:$Y$129,Q$131,FALSE)=0,"",IF(VLOOKUP($D167,$D$114:$Y$129,Q$131,FALSE)&lt;Q$156,1,0)),"")</f>
        <v/>
      </c>
      <c r="R167" s="50" t="str">
        <f t="shared" si="223"/>
        <v/>
      </c>
      <c r="S167" s="50" t="str">
        <f t="shared" si="223"/>
        <v/>
      </c>
      <c r="T167" s="50" t="str">
        <f t="shared" si="223"/>
        <v/>
      </c>
      <c r="U167" s="50" t="str">
        <f t="shared" si="223"/>
        <v/>
      </c>
      <c r="V167" s="50" t="str">
        <f t="shared" si="223"/>
        <v/>
      </c>
      <c r="W167" s="50" t="str">
        <f t="shared" si="223"/>
        <v/>
      </c>
      <c r="X167" s="50" t="str">
        <f t="shared" si="223"/>
        <v/>
      </c>
      <c r="Y167" s="50" t="str">
        <f t="shared" si="223"/>
        <v/>
      </c>
      <c r="Z167" s="48">
        <f t="shared" si="207"/>
        <v>0</v>
      </c>
      <c r="AA167" s="6"/>
      <c r="AB167" s="6"/>
      <c r="AC167" s="6"/>
      <c r="AD167" s="6"/>
    </row>
    <row r="168" ht="27.75" customHeight="1">
      <c r="A168" s="1"/>
      <c r="B168" s="1"/>
      <c r="C168" s="1"/>
      <c r="D168" s="56"/>
      <c r="E168" s="30"/>
      <c r="F168" s="50" t="str">
        <f t="shared" ref="F168:N168" si="224">IFERROR(IF(VLOOKUP($D168,$D$114:$Y$129,F$131,FALSE)=0,"",IF(VLOOKUP($D168,$D$114:$Y$129,F$131,FALSE)&lt;F$156,1,0)),"")</f>
        <v/>
      </c>
      <c r="G168" s="50" t="str">
        <f t="shared" si="224"/>
        <v/>
      </c>
      <c r="H168" s="50" t="str">
        <f t="shared" si="224"/>
        <v/>
      </c>
      <c r="I168" s="50" t="str">
        <f t="shared" si="224"/>
        <v/>
      </c>
      <c r="J168" s="50" t="str">
        <f t="shared" si="224"/>
        <v/>
      </c>
      <c r="K168" s="50" t="str">
        <f t="shared" si="224"/>
        <v/>
      </c>
      <c r="L168" s="50" t="str">
        <f t="shared" si="224"/>
        <v/>
      </c>
      <c r="M168" s="50" t="str">
        <f t="shared" si="224"/>
        <v/>
      </c>
      <c r="N168" s="50" t="str">
        <f t="shared" si="224"/>
        <v/>
      </c>
      <c r="O168" s="51"/>
      <c r="P168" s="51"/>
      <c r="Q168" s="50" t="str">
        <f t="shared" ref="Q168:Y168" si="225">IFERROR(IF(VLOOKUP($D168,$D$114:$Y$129,Q$131,FALSE)=0,"",IF(VLOOKUP($D168,$D$114:$Y$129,Q$131,FALSE)&lt;Q$156,1,0)),"")</f>
        <v/>
      </c>
      <c r="R168" s="50" t="str">
        <f t="shared" si="225"/>
        <v/>
      </c>
      <c r="S168" s="50" t="str">
        <f t="shared" si="225"/>
        <v/>
      </c>
      <c r="T168" s="50" t="str">
        <f t="shared" si="225"/>
        <v/>
      </c>
      <c r="U168" s="50" t="str">
        <f t="shared" si="225"/>
        <v/>
      </c>
      <c r="V168" s="50" t="str">
        <f t="shared" si="225"/>
        <v/>
      </c>
      <c r="W168" s="50" t="str">
        <f t="shared" si="225"/>
        <v/>
      </c>
      <c r="X168" s="50" t="str">
        <f t="shared" si="225"/>
        <v/>
      </c>
      <c r="Y168" s="50" t="str">
        <f t="shared" si="225"/>
        <v/>
      </c>
      <c r="Z168" s="48">
        <f t="shared" si="207"/>
        <v>0</v>
      </c>
      <c r="AA168" s="6"/>
      <c r="AB168" s="6"/>
      <c r="AC168" s="6"/>
      <c r="AD168" s="6"/>
    </row>
    <row r="169" ht="27.75" customHeight="1">
      <c r="A169" s="1"/>
      <c r="B169" s="1"/>
      <c r="C169" s="1"/>
      <c r="D169" s="56"/>
      <c r="E169" s="30"/>
      <c r="F169" s="50" t="str">
        <f t="shared" ref="F169:N169" si="226">IFERROR(IF(VLOOKUP($D169,$D$114:$Y$129,F$131,FALSE)=0,"",IF(VLOOKUP($D169,$D$114:$Y$129,F$131,FALSE)&lt;F$156,1,0)),"")</f>
        <v/>
      </c>
      <c r="G169" s="50" t="str">
        <f t="shared" si="226"/>
        <v/>
      </c>
      <c r="H169" s="50" t="str">
        <f t="shared" si="226"/>
        <v/>
      </c>
      <c r="I169" s="50" t="str">
        <f t="shared" si="226"/>
        <v/>
      </c>
      <c r="J169" s="50" t="str">
        <f t="shared" si="226"/>
        <v/>
      </c>
      <c r="K169" s="50" t="str">
        <f t="shared" si="226"/>
        <v/>
      </c>
      <c r="L169" s="50" t="str">
        <f t="shared" si="226"/>
        <v/>
      </c>
      <c r="M169" s="50" t="str">
        <f t="shared" si="226"/>
        <v/>
      </c>
      <c r="N169" s="50" t="str">
        <f t="shared" si="226"/>
        <v/>
      </c>
      <c r="O169" s="51"/>
      <c r="P169" s="51"/>
      <c r="Q169" s="50" t="str">
        <f t="shared" ref="Q169:Y169" si="227">IFERROR(IF(VLOOKUP($D169,$D$114:$Y$129,Q$131,FALSE)=0,"",IF(VLOOKUP($D169,$D$114:$Y$129,Q$131,FALSE)&lt;Q$156,1,0)),"")</f>
        <v/>
      </c>
      <c r="R169" s="50" t="str">
        <f t="shared" si="227"/>
        <v/>
      </c>
      <c r="S169" s="50" t="str">
        <f t="shared" si="227"/>
        <v/>
      </c>
      <c r="T169" s="50" t="str">
        <f t="shared" si="227"/>
        <v/>
      </c>
      <c r="U169" s="50" t="str">
        <f t="shared" si="227"/>
        <v/>
      </c>
      <c r="V169" s="50" t="str">
        <f t="shared" si="227"/>
        <v/>
      </c>
      <c r="W169" s="50" t="str">
        <f t="shared" si="227"/>
        <v/>
      </c>
      <c r="X169" s="50" t="str">
        <f t="shared" si="227"/>
        <v/>
      </c>
      <c r="Y169" s="50" t="str">
        <f t="shared" si="227"/>
        <v/>
      </c>
      <c r="Z169" s="48">
        <f t="shared" si="207"/>
        <v>0</v>
      </c>
      <c r="AA169" s="6"/>
      <c r="AB169" s="6"/>
      <c r="AC169" s="6"/>
      <c r="AD169" s="6"/>
    </row>
    <row r="170" ht="27.75" customHeight="1">
      <c r="A170" s="1"/>
      <c r="B170" s="1"/>
      <c r="C170" s="1"/>
      <c r="D170" s="56"/>
      <c r="E170" s="30"/>
      <c r="F170" s="50" t="str">
        <f t="shared" ref="F170:N170" si="228">IFERROR(IF(VLOOKUP($D170,$D$114:$Y$129,F$131,FALSE)=0,"",IF(VLOOKUP($D170,$D$114:$Y$129,F$131,FALSE)&lt;F$156,1,0)),"")</f>
        <v/>
      </c>
      <c r="G170" s="50" t="str">
        <f t="shared" si="228"/>
        <v/>
      </c>
      <c r="H170" s="50" t="str">
        <f t="shared" si="228"/>
        <v/>
      </c>
      <c r="I170" s="50" t="str">
        <f t="shared" si="228"/>
        <v/>
      </c>
      <c r="J170" s="50" t="str">
        <f t="shared" si="228"/>
        <v/>
      </c>
      <c r="K170" s="50" t="str">
        <f t="shared" si="228"/>
        <v/>
      </c>
      <c r="L170" s="50" t="str">
        <f t="shared" si="228"/>
        <v/>
      </c>
      <c r="M170" s="50" t="str">
        <f t="shared" si="228"/>
        <v/>
      </c>
      <c r="N170" s="50" t="str">
        <f t="shared" si="228"/>
        <v/>
      </c>
      <c r="O170" s="51"/>
      <c r="P170" s="51"/>
      <c r="Q170" s="50" t="str">
        <f t="shared" ref="Q170:Y170" si="229">IFERROR(IF(VLOOKUP($D170,$D$114:$Y$129,Q$131,FALSE)=0,"",IF(VLOOKUP($D170,$D$114:$Y$129,Q$131,FALSE)&lt;Q$156,1,0)),"")</f>
        <v/>
      </c>
      <c r="R170" s="50" t="str">
        <f t="shared" si="229"/>
        <v/>
      </c>
      <c r="S170" s="50" t="str">
        <f t="shared" si="229"/>
        <v/>
      </c>
      <c r="T170" s="50" t="str">
        <f t="shared" si="229"/>
        <v/>
      </c>
      <c r="U170" s="50" t="str">
        <f t="shared" si="229"/>
        <v/>
      </c>
      <c r="V170" s="50" t="str">
        <f t="shared" si="229"/>
        <v/>
      </c>
      <c r="W170" s="50" t="str">
        <f t="shared" si="229"/>
        <v/>
      </c>
      <c r="X170" s="50" t="str">
        <f t="shared" si="229"/>
        <v/>
      </c>
      <c r="Y170" s="50" t="str">
        <f t="shared" si="229"/>
        <v/>
      </c>
      <c r="Z170" s="48">
        <f t="shared" si="207"/>
        <v>0</v>
      </c>
      <c r="AA170" s="6"/>
      <c r="AB170" s="6"/>
      <c r="AC170" s="6"/>
      <c r="AD170" s="6"/>
    </row>
    <row r="171" ht="27.75" customHeight="1">
      <c r="A171" s="1"/>
      <c r="B171" s="1"/>
      <c r="C171" s="1"/>
      <c r="D171" s="56"/>
      <c r="E171" s="30"/>
      <c r="F171" s="50" t="str">
        <f t="shared" ref="F171:N171" si="230">IFERROR(IF(VLOOKUP($D171,$D$114:$Y$129,F$131,FALSE)=0,"",IF(VLOOKUP($D171,$D$114:$Y$129,F$131,FALSE)&lt;F$156,1,0)),"")</f>
        <v/>
      </c>
      <c r="G171" s="50" t="str">
        <f t="shared" si="230"/>
        <v/>
      </c>
      <c r="H171" s="50" t="str">
        <f t="shared" si="230"/>
        <v/>
      </c>
      <c r="I171" s="50" t="str">
        <f t="shared" si="230"/>
        <v/>
      </c>
      <c r="J171" s="50" t="str">
        <f t="shared" si="230"/>
        <v/>
      </c>
      <c r="K171" s="50" t="str">
        <f t="shared" si="230"/>
        <v/>
      </c>
      <c r="L171" s="50" t="str">
        <f t="shared" si="230"/>
        <v/>
      </c>
      <c r="M171" s="50" t="str">
        <f t="shared" si="230"/>
        <v/>
      </c>
      <c r="N171" s="50" t="str">
        <f t="shared" si="230"/>
        <v/>
      </c>
      <c r="O171" s="51"/>
      <c r="P171" s="51"/>
      <c r="Q171" s="50" t="str">
        <f t="shared" ref="Q171:Y171" si="231">IFERROR(IF(VLOOKUP($D171,$D$114:$Y$129,Q$131,FALSE)=0,"",IF(VLOOKUP($D171,$D$114:$Y$129,Q$131,FALSE)&lt;Q$156,1,0)),"")</f>
        <v/>
      </c>
      <c r="R171" s="50" t="str">
        <f t="shared" si="231"/>
        <v/>
      </c>
      <c r="S171" s="50" t="str">
        <f t="shared" si="231"/>
        <v/>
      </c>
      <c r="T171" s="50" t="str">
        <f t="shared" si="231"/>
        <v/>
      </c>
      <c r="U171" s="50" t="str">
        <f t="shared" si="231"/>
        <v/>
      </c>
      <c r="V171" s="50" t="str">
        <f t="shared" si="231"/>
        <v/>
      </c>
      <c r="W171" s="50" t="str">
        <f t="shared" si="231"/>
        <v/>
      </c>
      <c r="X171" s="50" t="str">
        <f t="shared" si="231"/>
        <v/>
      </c>
      <c r="Y171" s="50" t="str">
        <f t="shared" si="231"/>
        <v/>
      </c>
      <c r="Z171" s="48">
        <f t="shared" si="207"/>
        <v>0</v>
      </c>
      <c r="AA171" s="6"/>
      <c r="AB171" s="6"/>
      <c r="AC171" s="6"/>
      <c r="AD171" s="6"/>
    </row>
    <row r="172" ht="27.75" customHeight="1">
      <c r="A172" s="1"/>
      <c r="B172" s="1"/>
      <c r="C172" s="1"/>
      <c r="D172" s="56"/>
      <c r="E172" s="30"/>
      <c r="F172" s="50" t="str">
        <f t="shared" ref="F172:N172" si="232">IFERROR(IF(VLOOKUP($D172,$D$114:$Y$129,F$131,FALSE)=0,"",IF(VLOOKUP($D172,$D$114:$Y$129,F$131,FALSE)&lt;F$156,1,0)),"")</f>
        <v/>
      </c>
      <c r="G172" s="50" t="str">
        <f t="shared" si="232"/>
        <v/>
      </c>
      <c r="H172" s="50" t="str">
        <f t="shared" si="232"/>
        <v/>
      </c>
      <c r="I172" s="50" t="str">
        <f t="shared" si="232"/>
        <v/>
      </c>
      <c r="J172" s="50" t="str">
        <f t="shared" si="232"/>
        <v/>
      </c>
      <c r="K172" s="50" t="str">
        <f t="shared" si="232"/>
        <v/>
      </c>
      <c r="L172" s="50" t="str">
        <f t="shared" si="232"/>
        <v/>
      </c>
      <c r="M172" s="50" t="str">
        <f t="shared" si="232"/>
        <v/>
      </c>
      <c r="N172" s="50" t="str">
        <f t="shared" si="232"/>
        <v/>
      </c>
      <c r="O172" s="51"/>
      <c r="P172" s="51"/>
      <c r="Q172" s="50" t="str">
        <f t="shared" ref="Q172:Y172" si="233">IFERROR(IF(VLOOKUP($D172,$D$114:$Y$129,Q$131,FALSE)=0,"",IF(VLOOKUP($D172,$D$114:$Y$129,Q$131,FALSE)&lt;Q$156,1,0)),"")</f>
        <v/>
      </c>
      <c r="R172" s="50" t="str">
        <f t="shared" si="233"/>
        <v/>
      </c>
      <c r="S172" s="50" t="str">
        <f t="shared" si="233"/>
        <v/>
      </c>
      <c r="T172" s="50" t="str">
        <f t="shared" si="233"/>
        <v/>
      </c>
      <c r="U172" s="50" t="str">
        <f t="shared" si="233"/>
        <v/>
      </c>
      <c r="V172" s="50" t="str">
        <f t="shared" si="233"/>
        <v/>
      </c>
      <c r="W172" s="50" t="str">
        <f t="shared" si="233"/>
        <v/>
      </c>
      <c r="X172" s="50" t="str">
        <f t="shared" si="233"/>
        <v/>
      </c>
      <c r="Y172" s="50" t="str">
        <f t="shared" si="233"/>
        <v/>
      </c>
      <c r="Z172" s="48">
        <f t="shared" si="207"/>
        <v>0</v>
      </c>
      <c r="AA172" s="6"/>
      <c r="AB172" s="6"/>
      <c r="AC172" s="6"/>
      <c r="AD172" s="6"/>
    </row>
    <row r="173" ht="27.75" customHeight="1">
      <c r="A173" s="1"/>
      <c r="B173" s="1"/>
      <c r="C173" s="1"/>
      <c r="D173" s="56"/>
      <c r="E173" s="30"/>
      <c r="F173" s="50" t="str">
        <f t="shared" ref="F173:N173" si="234">IFERROR(IF(VLOOKUP($D173,$D$114:$Y$129,F$131,FALSE)=0,"",IF(VLOOKUP($D173,$D$114:$Y$129,F$131,FALSE)&lt;F$156,1,0)),"")</f>
        <v/>
      </c>
      <c r="G173" s="50" t="str">
        <f t="shared" si="234"/>
        <v/>
      </c>
      <c r="H173" s="50" t="str">
        <f t="shared" si="234"/>
        <v/>
      </c>
      <c r="I173" s="50" t="str">
        <f t="shared" si="234"/>
        <v/>
      </c>
      <c r="J173" s="50" t="str">
        <f t="shared" si="234"/>
        <v/>
      </c>
      <c r="K173" s="50" t="str">
        <f t="shared" si="234"/>
        <v/>
      </c>
      <c r="L173" s="50" t="str">
        <f t="shared" si="234"/>
        <v/>
      </c>
      <c r="M173" s="50" t="str">
        <f t="shared" si="234"/>
        <v/>
      </c>
      <c r="N173" s="50" t="str">
        <f t="shared" si="234"/>
        <v/>
      </c>
      <c r="O173" s="51"/>
      <c r="P173" s="51"/>
      <c r="Q173" s="50" t="str">
        <f t="shared" ref="Q173:Y173" si="235">IFERROR(IF(VLOOKUP($D173,$D$114:$Y$129,Q$131,FALSE)=0,"",IF(VLOOKUP($D173,$D$114:$Y$129,Q$131,FALSE)&lt;Q$156,1,0)),"")</f>
        <v/>
      </c>
      <c r="R173" s="50" t="str">
        <f t="shared" si="235"/>
        <v/>
      </c>
      <c r="S173" s="50" t="str">
        <f t="shared" si="235"/>
        <v/>
      </c>
      <c r="T173" s="50" t="str">
        <f t="shared" si="235"/>
        <v/>
      </c>
      <c r="U173" s="50" t="str">
        <f t="shared" si="235"/>
        <v/>
      </c>
      <c r="V173" s="50" t="str">
        <f t="shared" si="235"/>
        <v/>
      </c>
      <c r="W173" s="50" t="str">
        <f t="shared" si="235"/>
        <v/>
      </c>
      <c r="X173" s="50" t="str">
        <f t="shared" si="235"/>
        <v/>
      </c>
      <c r="Y173" s="50" t="str">
        <f t="shared" si="235"/>
        <v/>
      </c>
      <c r="Z173" s="48">
        <f t="shared" si="207"/>
        <v>0</v>
      </c>
      <c r="AA173" s="6"/>
      <c r="AB173" s="6"/>
      <c r="AC173" s="6"/>
      <c r="AD173" s="6"/>
    </row>
    <row r="174" ht="7.5" customHeight="1">
      <c r="A174" s="1"/>
      <c r="B174" s="1"/>
      <c r="C174" s="1"/>
      <c r="D174" s="9"/>
      <c r="E174" s="9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0"/>
      <c r="AA174" s="6"/>
      <c r="AB174" s="6"/>
      <c r="AC174" s="6"/>
      <c r="AD174" s="6"/>
    </row>
    <row r="175" ht="24.75" customHeight="1">
      <c r="A175" s="1"/>
      <c r="B175" s="1"/>
      <c r="C175" s="1"/>
      <c r="D175" s="57" t="s">
        <v>7</v>
      </c>
      <c r="E175" s="57"/>
      <c r="F175" s="58">
        <f t="shared" ref="F175:N175" si="236">SUM(F158:F173)</f>
        <v>0</v>
      </c>
      <c r="G175" s="58">
        <f t="shared" si="236"/>
        <v>0</v>
      </c>
      <c r="H175" s="58">
        <f t="shared" si="236"/>
        <v>0</v>
      </c>
      <c r="I175" s="58">
        <f t="shared" si="236"/>
        <v>0</v>
      </c>
      <c r="J175" s="58">
        <f t="shared" si="236"/>
        <v>0</v>
      </c>
      <c r="K175" s="58">
        <f t="shared" si="236"/>
        <v>0</v>
      </c>
      <c r="L175" s="58">
        <f t="shared" si="236"/>
        <v>0</v>
      </c>
      <c r="M175" s="58">
        <f t="shared" si="236"/>
        <v>0</v>
      </c>
      <c r="N175" s="58">
        <f t="shared" si="236"/>
        <v>0</v>
      </c>
      <c r="O175" s="6"/>
      <c r="P175" s="6"/>
      <c r="Q175" s="58">
        <f t="shared" ref="Q175:Z175" si="237">SUM(Q158:Q173)</f>
        <v>0</v>
      </c>
      <c r="R175" s="58">
        <f t="shared" si="237"/>
        <v>0</v>
      </c>
      <c r="S175" s="58">
        <f t="shared" si="237"/>
        <v>0</v>
      </c>
      <c r="T175" s="58">
        <f t="shared" si="237"/>
        <v>0</v>
      </c>
      <c r="U175" s="58">
        <f t="shared" si="237"/>
        <v>0</v>
      </c>
      <c r="V175" s="58">
        <f t="shared" si="237"/>
        <v>0</v>
      </c>
      <c r="W175" s="58">
        <f t="shared" si="237"/>
        <v>0</v>
      </c>
      <c r="X175" s="58">
        <f t="shared" si="237"/>
        <v>0</v>
      </c>
      <c r="Y175" s="58">
        <f t="shared" si="237"/>
        <v>0</v>
      </c>
      <c r="Z175" s="58">
        <f t="shared" si="237"/>
        <v>0</v>
      </c>
      <c r="AA175" s="6"/>
      <c r="AB175" s="6"/>
      <c r="AC175" s="6"/>
      <c r="AD175" s="6"/>
    </row>
    <row r="176" ht="14.25" customHeight="1">
      <c r="A176" s="1"/>
      <c r="B176" s="1"/>
      <c r="C176" s="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4.25" customHeight="1">
      <c r="A177" s="1"/>
      <c r="B177" s="1"/>
      <c r="C177" s="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4.25" customHeight="1">
      <c r="A178" s="1"/>
      <c r="B178" s="1"/>
      <c r="C178" s="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4.25" customHeight="1">
      <c r="A179" s="1"/>
      <c r="B179" s="1"/>
      <c r="C179" s="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4.25" customHeight="1">
      <c r="A180" s="1"/>
      <c r="B180" s="1"/>
      <c r="C180" s="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4.25" customHeight="1">
      <c r="A181" s="1"/>
      <c r="B181" s="1"/>
      <c r="C181" s="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4.25" customHeight="1">
      <c r="A182" s="1"/>
      <c r="B182" s="1"/>
      <c r="C182" s="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4.25" customHeight="1">
      <c r="A183" s="1"/>
      <c r="B183" s="1"/>
      <c r="C183" s="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4.25" customHeight="1">
      <c r="A184" s="1"/>
      <c r="B184" s="1"/>
      <c r="C184" s="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D37:D38"/>
    <mergeCell ref="E37:E38"/>
    <mergeCell ref="D40:E40"/>
    <mergeCell ref="D41:E41"/>
    <mergeCell ref="D43:D44"/>
    <mergeCell ref="E43:E44"/>
    <mergeCell ref="D45:D46"/>
    <mergeCell ref="E45:E46"/>
    <mergeCell ref="D48:E48"/>
    <mergeCell ref="D49:E49"/>
    <mergeCell ref="D60:D61"/>
    <mergeCell ref="E60:E61"/>
    <mergeCell ref="D62:D63"/>
    <mergeCell ref="E62:E63"/>
    <mergeCell ref="D65:E65"/>
    <mergeCell ref="D66:E66"/>
    <mergeCell ref="D68:D69"/>
    <mergeCell ref="E68:E69"/>
    <mergeCell ref="E70:E71"/>
    <mergeCell ref="D73:E73"/>
    <mergeCell ref="D74:E74"/>
    <mergeCell ref="D70:D71"/>
    <mergeCell ref="D85:D86"/>
    <mergeCell ref="E85:E86"/>
    <mergeCell ref="D87:D88"/>
    <mergeCell ref="E87:E88"/>
    <mergeCell ref="D90:E90"/>
    <mergeCell ref="D91:E91"/>
    <mergeCell ref="D93:D94"/>
    <mergeCell ref="E93:E94"/>
    <mergeCell ref="D95:D96"/>
    <mergeCell ref="E95:E96"/>
    <mergeCell ref="D98:E98"/>
    <mergeCell ref="D99:E99"/>
    <mergeCell ref="D151:E151"/>
    <mergeCell ref="D158:E158"/>
    <mergeCell ref="D159:E159"/>
    <mergeCell ref="D160:E160"/>
    <mergeCell ref="D161:E161"/>
    <mergeCell ref="D162:E162"/>
    <mergeCell ref="D163:E163"/>
    <mergeCell ref="D164:E164"/>
    <mergeCell ref="D172:E172"/>
    <mergeCell ref="D173:E173"/>
    <mergeCell ref="D165:E165"/>
    <mergeCell ref="D166:E166"/>
    <mergeCell ref="D167:E167"/>
    <mergeCell ref="D168:E168"/>
    <mergeCell ref="D169:E169"/>
    <mergeCell ref="D170:E170"/>
    <mergeCell ref="D171:E171"/>
    <mergeCell ref="O68:O69"/>
    <mergeCell ref="O70:O71"/>
    <mergeCell ref="O85:O86"/>
    <mergeCell ref="O87:O88"/>
    <mergeCell ref="O93:O94"/>
    <mergeCell ref="O95:O96"/>
    <mergeCell ref="O18:O19"/>
    <mergeCell ref="O20:O21"/>
    <mergeCell ref="O37:O38"/>
    <mergeCell ref="O43:O44"/>
    <mergeCell ref="O45:O46"/>
    <mergeCell ref="O60:O61"/>
    <mergeCell ref="O62:O63"/>
    <mergeCell ref="Z20:Z21"/>
    <mergeCell ref="AA20:AA21"/>
    <mergeCell ref="Z43:Z44"/>
    <mergeCell ref="AA43:AA44"/>
    <mergeCell ref="AA45:AA46"/>
    <mergeCell ref="AA60:AA61"/>
    <mergeCell ref="AA62:AA63"/>
    <mergeCell ref="Z95:Z96"/>
    <mergeCell ref="AA95:AA96"/>
    <mergeCell ref="Z45:Z46"/>
    <mergeCell ref="Z85:Z86"/>
    <mergeCell ref="AA85:AA86"/>
    <mergeCell ref="Z87:Z88"/>
    <mergeCell ref="AA87:AA88"/>
    <mergeCell ref="Z93:Z94"/>
    <mergeCell ref="AA93:AA94"/>
    <mergeCell ref="K3:T3"/>
    <mergeCell ref="H4:L4"/>
    <mergeCell ref="T4:X4"/>
    <mergeCell ref="E10:E11"/>
    <mergeCell ref="O10:O11"/>
    <mergeCell ref="Z10:Z11"/>
    <mergeCell ref="AA10:AA11"/>
    <mergeCell ref="D10:D11"/>
    <mergeCell ref="D12:D13"/>
    <mergeCell ref="E12:E13"/>
    <mergeCell ref="O12:O13"/>
    <mergeCell ref="Z12:Z13"/>
    <mergeCell ref="AA12:AA13"/>
    <mergeCell ref="D15:E15"/>
    <mergeCell ref="D16:E16"/>
    <mergeCell ref="D18:D19"/>
    <mergeCell ref="E18:E19"/>
    <mergeCell ref="Z18:Z19"/>
    <mergeCell ref="AA18:AA19"/>
    <mergeCell ref="D20:D21"/>
    <mergeCell ref="E20:E21"/>
    <mergeCell ref="O35:O36"/>
    <mergeCell ref="Z35:Z36"/>
    <mergeCell ref="AA35:AA36"/>
    <mergeCell ref="Z37:Z38"/>
    <mergeCell ref="AA37:AA38"/>
    <mergeCell ref="K53:T53"/>
    <mergeCell ref="H54:L54"/>
    <mergeCell ref="T54:X54"/>
    <mergeCell ref="D23:E23"/>
    <mergeCell ref="D24:E24"/>
    <mergeCell ref="K28:T28"/>
    <mergeCell ref="H29:L29"/>
    <mergeCell ref="T29:X29"/>
    <mergeCell ref="D35:D36"/>
    <mergeCell ref="E35:E36"/>
    <mergeCell ref="H79:L79"/>
    <mergeCell ref="T79:X79"/>
    <mergeCell ref="Z60:Z61"/>
    <mergeCell ref="Z62:Z63"/>
    <mergeCell ref="Z68:Z69"/>
    <mergeCell ref="AA68:AA69"/>
    <mergeCell ref="Z70:Z71"/>
    <mergeCell ref="AA70:AA71"/>
    <mergeCell ref="K78:T78"/>
  </mergeCells>
  <conditionalFormatting sqref="F134:N149">
    <cfRule type="expression" dxfId="0" priority="1">
      <formula>AND(F134=F$151,F$153="1")</formula>
    </cfRule>
  </conditionalFormatting>
  <conditionalFormatting sqref="F135:F149">
    <cfRule type="expression" dxfId="0" priority="2">
      <formula>AND(F135=$F$151,$F$153="1")</formula>
    </cfRule>
  </conditionalFormatting>
  <conditionalFormatting sqref="G134:N134">
    <cfRule type="expression" dxfId="0" priority="3">
      <formula>AND(G134=$F$151,$F$153="1")</formula>
    </cfRule>
  </conditionalFormatting>
  <conditionalFormatting sqref="G135:G149">
    <cfRule type="expression" dxfId="0" priority="4">
      <formula>AND(G135=$F$151,$F$153="1")</formula>
    </cfRule>
  </conditionalFormatting>
  <conditionalFormatting sqref="Q134:Y149">
    <cfRule type="expression" dxfId="0" priority="5">
      <formula>AND(Q134=Q$151,Q$153="1")</formula>
    </cfRule>
  </conditionalFormatting>
  <dataValidations>
    <dataValidation type="list" allowBlank="1" showErrorMessage="1" sqref="D10 D12 D18 D20 D35 D37 D43 D45 D60 D62 D68 D70 D85 D87 D93 D95 D134:D150 D158:D174">
      <formula1>HANDICAPS!$B$8:$B$23</formula1>
    </dataValidation>
    <dataValidation type="list" allowBlank="1" showErrorMessage="1" sqref="E134:E149">
      <formula1>$B$134:$B$135</formula1>
    </dataValidation>
  </dataValidation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5.63"/>
    <col customWidth="1" min="3" max="9" width="22.63"/>
    <col customWidth="1" min="10" max="10" width="28.25"/>
    <col customWidth="1" min="11" max="16" width="22.63"/>
  </cols>
  <sheetData>
    <row r="1" ht="15.0" customHeight="1">
      <c r="A1" s="59" t="s">
        <v>25</v>
      </c>
    </row>
    <row r="2">
      <c r="B2" s="60"/>
      <c r="C2" s="61" t="s">
        <v>26</v>
      </c>
      <c r="D2" s="62"/>
      <c r="E2" s="63"/>
      <c r="F2" s="61" t="s">
        <v>27</v>
      </c>
      <c r="G2" s="63"/>
      <c r="H2" s="61" t="s">
        <v>28</v>
      </c>
      <c r="I2" s="63"/>
    </row>
    <row r="3">
      <c r="B3" s="64"/>
      <c r="C3" s="64" t="s">
        <v>29</v>
      </c>
      <c r="D3" s="65" t="s">
        <v>30</v>
      </c>
      <c r="E3" s="66" t="s">
        <v>31</v>
      </c>
      <c r="F3" s="64" t="s">
        <v>32</v>
      </c>
      <c r="G3" s="66" t="s">
        <v>31</v>
      </c>
      <c r="H3" s="65" t="s">
        <v>33</v>
      </c>
      <c r="I3" s="66" t="s">
        <v>31</v>
      </c>
    </row>
    <row r="4">
      <c r="B4" s="67" t="s">
        <v>34</v>
      </c>
      <c r="C4" s="68">
        <f>IFERROR('ROUND 1 - FOURBALL'!AC16+'ROUND 1 - FOURBALL'!AC41+'ROUND 1 - FOURBALL'!AC66+'ROUND 1 - FOURBALL'!AC91,0)</f>
        <v>37</v>
      </c>
      <c r="D4" s="10">
        <f>IFERROR('ROUND 2 - FOURBALL'!AC16+'ROUND 2 - FOURBALL'!AC41+'ROUND 2 - FOURBALL'!AC66+'ROUND 2 - FOURBALL'!AC91)</f>
        <v>37.5</v>
      </c>
      <c r="E4" s="69">
        <f t="shared" ref="E4:E5" si="1">C4+D4</f>
        <v>74.5</v>
      </c>
      <c r="F4" s="68">
        <f>IFERROR('ROUND 3 - FOURBALL'!AC16+'ROUND 3 - FOURBALL'!AC41+'ROUND 3 - FOURBALL'!AC66+'ROUND 3 - FOURBALL'!AC91,)</f>
        <v>33</v>
      </c>
      <c r="G4" s="69">
        <f t="shared" ref="G4:G5" si="2">E4+F4</f>
        <v>107.5</v>
      </c>
      <c r="H4" s="70">
        <f>IFERROR('ROUND 4 - SINGLES'!AC16+'ROUND 4 - SINGLES'!AC41+'ROUND 4 - SINGLES'!AC66+'ROUND 4 - SINGLES'!AC91+'ROUND 4 - SINGLES'!AC116+'ROUND 4 - SINGLES'!AC141+'ROUND 4 - SINGLES'!AC166+'ROUND 4 - SINGLES'!AC191,0)</f>
        <v>73.5</v>
      </c>
      <c r="I4" s="71">
        <f t="shared" ref="I4:I5" si="3">G4+H4</f>
        <v>181</v>
      </c>
    </row>
    <row r="5">
      <c r="B5" s="72" t="s">
        <v>35</v>
      </c>
      <c r="C5" s="73">
        <f>IFERROR('ROUND 1 - FOURBALL'!AC24+'ROUND 1 - FOURBALL'!AC49+'ROUND 1 - FOURBALL'!AC74+'ROUND 1 - FOURBALL'!AC99,0)</f>
        <v>35</v>
      </c>
      <c r="D5" s="74">
        <f>IFERROR('ROUND 2 - FOURBALL'!AC24+'ROUND 2 - FOURBALL'!AC49+'ROUND 2 - FOURBALL'!AC74+'ROUND 2 - FOURBALL'!AC99)</f>
        <v>34.5</v>
      </c>
      <c r="E5" s="75">
        <f t="shared" si="1"/>
        <v>69.5</v>
      </c>
      <c r="F5" s="73">
        <f>IFERROR('ROUND 3 - FOURBALL'!AC24+'ROUND 3 - FOURBALL'!AC49+'ROUND 3 - FOURBALL'!AC74+'ROUND 3 - FOURBALL'!AC99,)</f>
        <v>39</v>
      </c>
      <c r="G5" s="75">
        <f t="shared" si="2"/>
        <v>108.5</v>
      </c>
      <c r="H5" s="76">
        <f>iferror('ROUND 4 - SINGLES'!AC24+'ROUND 4 - SINGLES'!AC49+'ROUND 4 - SINGLES'!AC74+'ROUND 4 - SINGLES'!AC99+'ROUND 4 - SINGLES'!AC124+'ROUND 4 - SINGLES'!AC149+'ROUND 4 - SINGLES'!AC174+'ROUND 4 - SINGLES'!AC199,0)</f>
        <v>70.5</v>
      </c>
      <c r="I5" s="71">
        <f t="shared" si="3"/>
        <v>179</v>
      </c>
    </row>
    <row r="6" ht="15.0" customHeight="1"/>
    <row r="7">
      <c r="C7" s="61" t="str">
        <f t="shared" ref="C7:C8" si="4">C2</f>
        <v>DAY 1</v>
      </c>
      <c r="D7" s="62"/>
      <c r="E7" s="63"/>
      <c r="F7" s="61" t="str">
        <f>F2</f>
        <v>DAY 2</v>
      </c>
      <c r="G7" s="63"/>
      <c r="H7" s="61" t="str">
        <f>H2</f>
        <v>DAY 3</v>
      </c>
      <c r="I7" s="63"/>
    </row>
    <row r="8">
      <c r="B8" s="64" t="s">
        <v>36</v>
      </c>
      <c r="C8" s="64" t="str">
        <f t="shared" si="4"/>
        <v>ROUND 1</v>
      </c>
      <c r="D8" s="65" t="str">
        <f t="shared" ref="D8:I8" si="5">D3</f>
        <v>ROUND 2</v>
      </c>
      <c r="E8" s="77" t="str">
        <f t="shared" si="5"/>
        <v>TOTAL</v>
      </c>
      <c r="F8" s="64" t="str">
        <f t="shared" si="5"/>
        <v>ROUND 3</v>
      </c>
      <c r="G8" s="77" t="str">
        <f t="shared" si="5"/>
        <v>TOTAL</v>
      </c>
      <c r="H8" s="64" t="str">
        <f t="shared" si="5"/>
        <v>ROUND 4</v>
      </c>
      <c r="I8" s="64" t="str">
        <f t="shared" si="5"/>
        <v>TOTAL</v>
      </c>
      <c r="J8" s="78" t="s">
        <v>37</v>
      </c>
      <c r="K8" s="78" t="s">
        <v>31</v>
      </c>
      <c r="L8" s="66" t="s">
        <v>38</v>
      </c>
    </row>
    <row r="9">
      <c r="B9" s="79" t="str">
        <f>HANDICAPS!B8</f>
        <v>DEREK</v>
      </c>
      <c r="C9" s="80">
        <f>VLOOKUP(B9,'ROUND 1 - FOURBALL'!$F$168:$AB$183,23,FALSE)</f>
        <v>2</v>
      </c>
      <c r="D9" s="81">
        <f>VLOOKUP(B9,'ROUND 2 - FOURBALL'!$F$168:$AB$183,23,FALSE)</f>
        <v>5</v>
      </c>
      <c r="E9" s="69">
        <f t="shared" ref="E9:E24" si="6">C9+D9</f>
        <v>7</v>
      </c>
      <c r="F9" s="81">
        <f>VLOOKUP(B9,'ROUND 3 - FOURBALL'!$F$168:$AB$183,23,FALSE)</f>
        <v>2</v>
      </c>
      <c r="G9" s="69">
        <f t="shared" ref="G9:G24" si="7">E9+F9</f>
        <v>9</v>
      </c>
      <c r="H9" s="81">
        <f>VLOOKUP(B9,'ROUND 4 - SINGLES'!$F$251:$AB$266,23,FALSE)</f>
        <v>0</v>
      </c>
      <c r="I9" s="68">
        <f t="shared" ref="I9:I24" si="8">G9+H9</f>
        <v>9</v>
      </c>
      <c r="J9" s="82">
        <v>3.0</v>
      </c>
      <c r="K9" s="82">
        <f t="shared" ref="K9:K23" si="9">I9+J9</f>
        <v>12</v>
      </c>
      <c r="L9" s="83">
        <v>8.5</v>
      </c>
    </row>
    <row r="10">
      <c r="B10" s="79" t="str">
        <f>HANDICAPS!B9</f>
        <v>SCOTT</v>
      </c>
      <c r="C10" s="84">
        <f>VLOOKUP(B10,'ROUND 1 - FOURBALL'!$F$168:$AB$183,23,FALSE)</f>
        <v>3</v>
      </c>
      <c r="D10" s="81">
        <f>VLOOKUP(B10,'ROUND 2 - FOURBALL'!$F$168:$AB$183,23,FALSE)</f>
        <v>3</v>
      </c>
      <c r="E10" s="69">
        <f t="shared" si="6"/>
        <v>6</v>
      </c>
      <c r="F10" s="81">
        <f>VLOOKUP(B10,'ROUND 3 - FOURBALL'!$F$168:$AB$183,23,FALSE)</f>
        <v>1</v>
      </c>
      <c r="G10" s="69">
        <f t="shared" si="7"/>
        <v>7</v>
      </c>
      <c r="H10" s="81">
        <f>VLOOKUP(B10,'ROUND 4 - SINGLES'!$F$251:$AB$266,23,FALSE)</f>
        <v>0</v>
      </c>
      <c r="I10" s="68">
        <f t="shared" si="8"/>
        <v>7</v>
      </c>
      <c r="J10" s="82">
        <v>2.0</v>
      </c>
      <c r="K10" s="82">
        <f t="shared" si="9"/>
        <v>9</v>
      </c>
      <c r="L10" s="85">
        <v>7.5</v>
      </c>
    </row>
    <row r="11">
      <c r="B11" s="79" t="str">
        <f>HANDICAPS!B10</f>
        <v>WAYS</v>
      </c>
      <c r="C11" s="84">
        <f>VLOOKUP(B11,'ROUND 1 - FOURBALL'!$F$168:$AB$183,23,FALSE)</f>
        <v>2</v>
      </c>
      <c r="D11" s="81">
        <f>VLOOKUP(B11,'ROUND 2 - FOURBALL'!$F$168:$AB$183,23,FALSE)</f>
        <v>2</v>
      </c>
      <c r="E11" s="69">
        <f t="shared" si="6"/>
        <v>4</v>
      </c>
      <c r="F11" s="81">
        <f>VLOOKUP(B11,'ROUND 3 - FOURBALL'!$F$168:$AB$183,23,FALSE)</f>
        <v>1</v>
      </c>
      <c r="G11" s="69">
        <f t="shared" si="7"/>
        <v>5</v>
      </c>
      <c r="H11" s="81">
        <f>VLOOKUP(B11,'ROUND 4 - SINGLES'!$F$251:$AB$266,23,FALSE)</f>
        <v>1</v>
      </c>
      <c r="I11" s="68">
        <f t="shared" si="8"/>
        <v>6</v>
      </c>
      <c r="J11" s="82">
        <v>1.0</v>
      </c>
      <c r="K11" s="82">
        <f t="shared" si="9"/>
        <v>7</v>
      </c>
      <c r="L11" s="85">
        <v>6.5</v>
      </c>
    </row>
    <row r="12">
      <c r="B12" s="79" t="str">
        <f>HANDICAPS!B11</f>
        <v>BEN</v>
      </c>
      <c r="C12" s="84">
        <f>VLOOKUP(B12,'ROUND 1 - FOURBALL'!$F$168:$AB$183,23,FALSE)</f>
        <v>3</v>
      </c>
      <c r="D12" s="81">
        <f>VLOOKUP(B12,'ROUND 2 - FOURBALL'!$F$168:$AB$183,23,FALSE)</f>
        <v>1</v>
      </c>
      <c r="E12" s="69">
        <f t="shared" si="6"/>
        <v>4</v>
      </c>
      <c r="F12" s="81">
        <f>VLOOKUP(B12,'ROUND 3 - FOURBALL'!$F$168:$AB$183,23,FALSE)</f>
        <v>2</v>
      </c>
      <c r="G12" s="69">
        <f t="shared" si="7"/>
        <v>6</v>
      </c>
      <c r="H12" s="81">
        <f>VLOOKUP(B12,'ROUND 4 - SINGLES'!$F$251:$AB$266,23,FALSE)</f>
        <v>3</v>
      </c>
      <c r="I12" s="68">
        <f t="shared" si="8"/>
        <v>9</v>
      </c>
      <c r="J12" s="82">
        <v>0.0</v>
      </c>
      <c r="K12" s="82">
        <f t="shared" si="9"/>
        <v>9</v>
      </c>
      <c r="L12" s="85">
        <v>6.5</v>
      </c>
    </row>
    <row r="13">
      <c r="B13" s="79" t="str">
        <f>HANDICAPS!B12</f>
        <v>DANNY</v>
      </c>
      <c r="C13" s="84">
        <f>VLOOKUP(B13,'ROUND 1 - FOURBALL'!$F$168:$AB$183,23,FALSE)</f>
        <v>2</v>
      </c>
      <c r="D13" s="81">
        <f>VLOOKUP(B13,'ROUND 2 - FOURBALL'!$F$168:$AB$183,23,FALSE)</f>
        <v>0</v>
      </c>
      <c r="E13" s="69">
        <f t="shared" si="6"/>
        <v>2</v>
      </c>
      <c r="F13" s="81">
        <f>VLOOKUP(B13,'ROUND 3 - FOURBALL'!$F$168:$AB$183,23,FALSE)</f>
        <v>2</v>
      </c>
      <c r="G13" s="69">
        <f t="shared" si="7"/>
        <v>4</v>
      </c>
      <c r="H13" s="81">
        <f>VLOOKUP(B13,'ROUND 4 - SINGLES'!$F$251:$AB$266,23,FALSE)</f>
        <v>0</v>
      </c>
      <c r="I13" s="68">
        <f t="shared" si="8"/>
        <v>4</v>
      </c>
      <c r="J13" s="82">
        <v>1.0</v>
      </c>
      <c r="K13" s="82">
        <f t="shared" si="9"/>
        <v>5</v>
      </c>
      <c r="L13" s="85">
        <v>5.5</v>
      </c>
    </row>
    <row r="14">
      <c r="B14" s="79" t="str">
        <f>HANDICAPS!B13</f>
        <v>ZACH</v>
      </c>
      <c r="C14" s="84">
        <f>VLOOKUP(B14,'ROUND 1 - FOURBALL'!$F$168:$AB$183,23,FALSE)</f>
        <v>0</v>
      </c>
      <c r="D14" s="81">
        <f>VLOOKUP(B14,'ROUND 2 - FOURBALL'!$F$168:$AB$183,23,FALSE)</f>
        <v>2</v>
      </c>
      <c r="E14" s="69">
        <f t="shared" si="6"/>
        <v>2</v>
      </c>
      <c r="F14" s="81">
        <f>VLOOKUP(B14,'ROUND 3 - FOURBALL'!$F$168:$AB$183,23,FALSE)</f>
        <v>1</v>
      </c>
      <c r="G14" s="69">
        <f t="shared" si="7"/>
        <v>3</v>
      </c>
      <c r="H14" s="81">
        <f>VLOOKUP(B14,'ROUND 4 - SINGLES'!$F$251:$AB$266,23,FALSE)</f>
        <v>0</v>
      </c>
      <c r="I14" s="68">
        <f t="shared" si="8"/>
        <v>3</v>
      </c>
      <c r="J14" s="82">
        <v>1.0</v>
      </c>
      <c r="K14" s="82">
        <f t="shared" si="9"/>
        <v>4</v>
      </c>
      <c r="L14" s="85">
        <v>5.5</v>
      </c>
    </row>
    <row r="15">
      <c r="B15" s="79" t="str">
        <f>HANDICAPS!B14</f>
        <v>SLICK</v>
      </c>
      <c r="C15" s="84">
        <f>VLOOKUP(B15,'ROUND 1 - FOURBALL'!$F$168:$AB$183,23,FALSE)</f>
        <v>0</v>
      </c>
      <c r="D15" s="81">
        <f>VLOOKUP(B15,'ROUND 2 - FOURBALL'!$F$168:$AB$183,23,FALSE)</f>
        <v>1</v>
      </c>
      <c r="E15" s="69">
        <f t="shared" si="6"/>
        <v>1</v>
      </c>
      <c r="F15" s="81">
        <f>VLOOKUP(B15,'ROUND 3 - FOURBALL'!$F$168:$AB$183,23,FALSE)</f>
        <v>0</v>
      </c>
      <c r="G15" s="69">
        <f t="shared" si="7"/>
        <v>1</v>
      </c>
      <c r="H15" s="81">
        <f>VLOOKUP(B15,'ROUND 4 - SINGLES'!$F$251:$AB$266,23,FALSE)</f>
        <v>1</v>
      </c>
      <c r="I15" s="68">
        <f t="shared" si="8"/>
        <v>2</v>
      </c>
      <c r="J15" s="82">
        <v>0.0</v>
      </c>
      <c r="K15" s="82">
        <f t="shared" si="9"/>
        <v>2</v>
      </c>
      <c r="L15" s="85">
        <v>4.5</v>
      </c>
    </row>
    <row r="16">
      <c r="B16" s="79" t="str">
        <f>HANDICAPS!B15</f>
        <v>PAXTON</v>
      </c>
      <c r="C16" s="84">
        <f>VLOOKUP(B16,'ROUND 1 - FOURBALL'!$F$168:$AB$183,23,FALSE)</f>
        <v>2</v>
      </c>
      <c r="D16" s="81">
        <f>VLOOKUP(B16,'ROUND 2 - FOURBALL'!$F$168:$AB$183,23,FALSE)</f>
        <v>0</v>
      </c>
      <c r="E16" s="69">
        <f t="shared" si="6"/>
        <v>2</v>
      </c>
      <c r="F16" s="81">
        <f>VLOOKUP(B16,'ROUND 3 - FOURBALL'!$F$168:$AB$183,23,FALSE)</f>
        <v>1</v>
      </c>
      <c r="G16" s="69">
        <f t="shared" si="7"/>
        <v>3</v>
      </c>
      <c r="H16" s="81">
        <f>VLOOKUP(B16,'ROUND 4 - SINGLES'!$F$251:$AB$266,23,FALSE)</f>
        <v>0</v>
      </c>
      <c r="I16" s="68">
        <f t="shared" si="8"/>
        <v>3</v>
      </c>
      <c r="J16" s="82">
        <v>0.0</v>
      </c>
      <c r="K16" s="82">
        <f t="shared" si="9"/>
        <v>3</v>
      </c>
      <c r="L16" s="85">
        <v>3.5</v>
      </c>
    </row>
    <row r="17">
      <c r="B17" s="79" t="str">
        <f>HANDICAPS!B16</f>
        <v>DYLAN</v>
      </c>
      <c r="C17" s="84">
        <f>VLOOKUP(B17,'ROUND 1 - FOURBALL'!$F$168:$AB$183,23,FALSE)</f>
        <v>0</v>
      </c>
      <c r="D17" s="81">
        <f>VLOOKUP(B17,'ROUND 2 - FOURBALL'!$F$168:$AB$183,23,FALSE)</f>
        <v>0</v>
      </c>
      <c r="E17" s="69">
        <f t="shared" si="6"/>
        <v>0</v>
      </c>
      <c r="F17" s="81">
        <f>VLOOKUP(B17,'ROUND 3 - FOURBALL'!$F$168:$AB$183,23,FALSE)</f>
        <v>0</v>
      </c>
      <c r="G17" s="69">
        <f t="shared" si="7"/>
        <v>0</v>
      </c>
      <c r="H17" s="81">
        <f>VLOOKUP(B17,'ROUND 4 - SINGLES'!$F$251:$AB$266,23,FALSE)</f>
        <v>0</v>
      </c>
      <c r="I17" s="68">
        <f t="shared" si="8"/>
        <v>0</v>
      </c>
      <c r="J17" s="82">
        <v>0.0</v>
      </c>
      <c r="K17" s="82">
        <f t="shared" si="9"/>
        <v>0</v>
      </c>
      <c r="L17" s="85">
        <v>3.0</v>
      </c>
    </row>
    <row r="18">
      <c r="B18" s="79" t="str">
        <f>HANDICAPS!B17</f>
        <v>TOM</v>
      </c>
      <c r="C18" s="84">
        <f>VLOOKUP(B18,'ROUND 1 - FOURBALL'!$F$168:$AB$183,23,FALSE)</f>
        <v>0</v>
      </c>
      <c r="D18" s="81">
        <f>VLOOKUP(B18,'ROUND 2 - FOURBALL'!$F$168:$AB$183,23,FALSE)</f>
        <v>1</v>
      </c>
      <c r="E18" s="69">
        <f t="shared" si="6"/>
        <v>1</v>
      </c>
      <c r="F18" s="81">
        <f>VLOOKUP(B18,'ROUND 3 - FOURBALL'!$F$168:$AB$183,23,FALSE)</f>
        <v>0</v>
      </c>
      <c r="G18" s="69">
        <f t="shared" si="7"/>
        <v>1</v>
      </c>
      <c r="H18" s="81">
        <f>VLOOKUP(B18,'ROUND 4 - SINGLES'!$F$251:$AB$266,23,FALSE)</f>
        <v>0</v>
      </c>
      <c r="I18" s="68">
        <f t="shared" si="8"/>
        <v>1</v>
      </c>
      <c r="J18" s="82">
        <v>0.0</v>
      </c>
      <c r="K18" s="82">
        <f t="shared" si="9"/>
        <v>1</v>
      </c>
      <c r="L18" s="85">
        <v>2.5</v>
      </c>
    </row>
    <row r="19">
      <c r="B19" s="79" t="str">
        <f>HANDICAPS!B18</f>
        <v>ERIC</v>
      </c>
      <c r="C19" s="84">
        <f>VLOOKUP(B19,'ROUND 1 - FOURBALL'!$F$168:$AB$183,23,FALSE)</f>
        <v>1</v>
      </c>
      <c r="D19" s="81">
        <f>VLOOKUP(B19,'ROUND 2 - FOURBALL'!$F$168:$AB$183,23,FALSE)</f>
        <v>1</v>
      </c>
      <c r="E19" s="69">
        <f t="shared" si="6"/>
        <v>2</v>
      </c>
      <c r="F19" s="81">
        <f>VLOOKUP(B19,'ROUND 3 - FOURBALL'!$F$168:$AB$183,23,FALSE)</f>
        <v>0</v>
      </c>
      <c r="G19" s="69">
        <f t="shared" si="7"/>
        <v>2</v>
      </c>
      <c r="H19" s="81">
        <f>VLOOKUP(B19,'ROUND 4 - SINGLES'!$F$251:$AB$266,23,FALSE)</f>
        <v>1</v>
      </c>
      <c r="I19" s="68">
        <f t="shared" si="8"/>
        <v>3</v>
      </c>
      <c r="J19" s="82">
        <v>0.0</v>
      </c>
      <c r="K19" s="82">
        <f t="shared" si="9"/>
        <v>3</v>
      </c>
      <c r="L19" s="85">
        <v>2.5</v>
      </c>
    </row>
    <row r="20">
      <c r="B20" s="79" t="str">
        <f>HANDICAPS!B19</f>
        <v>MAX</v>
      </c>
      <c r="C20" s="84">
        <f>VLOOKUP(B20,'ROUND 1 - FOURBALL'!$F$168:$AB$183,23,FALSE)</f>
        <v>0</v>
      </c>
      <c r="D20" s="81">
        <f>VLOOKUP(B20,'ROUND 2 - FOURBALL'!$F$168:$AB$183,23,FALSE)</f>
        <v>0</v>
      </c>
      <c r="E20" s="69">
        <f t="shared" si="6"/>
        <v>0</v>
      </c>
      <c r="F20" s="81">
        <f>VLOOKUP(B20,'ROUND 3 - FOURBALL'!$F$168:$AB$183,23,FALSE)</f>
        <v>0</v>
      </c>
      <c r="G20" s="69">
        <f t="shared" si="7"/>
        <v>0</v>
      </c>
      <c r="H20" s="81">
        <f>VLOOKUP(B20,'ROUND 4 - SINGLES'!$F$251:$AB$266,23,FALSE)</f>
        <v>1</v>
      </c>
      <c r="I20" s="68">
        <f t="shared" si="8"/>
        <v>1</v>
      </c>
      <c r="J20" s="82">
        <v>0.0</v>
      </c>
      <c r="K20" s="82">
        <f t="shared" si="9"/>
        <v>1</v>
      </c>
      <c r="L20" s="85">
        <v>2.5</v>
      </c>
    </row>
    <row r="21" ht="15.75" customHeight="1">
      <c r="B21" s="79" t="str">
        <f>HANDICAPS!B20</f>
        <v>KIP</v>
      </c>
      <c r="C21" s="84">
        <f>VLOOKUP(B21,'ROUND 1 - FOURBALL'!$F$168:$AB$183,23,FALSE)</f>
        <v>0</v>
      </c>
      <c r="D21" s="81">
        <f>VLOOKUP(B21,'ROUND 2 - FOURBALL'!$F$168:$AB$183,23,FALSE)</f>
        <v>0</v>
      </c>
      <c r="E21" s="69">
        <f t="shared" si="6"/>
        <v>0</v>
      </c>
      <c r="F21" s="81">
        <f>VLOOKUP(B21,'ROUND 3 - FOURBALL'!$F$168:$AB$183,23,FALSE)</f>
        <v>0</v>
      </c>
      <c r="G21" s="69">
        <f t="shared" si="7"/>
        <v>0</v>
      </c>
      <c r="H21" s="81">
        <f>VLOOKUP(B21,'ROUND 4 - SINGLES'!$F$251:$AB$266,23,FALSE)</f>
        <v>0</v>
      </c>
      <c r="I21" s="68">
        <f t="shared" si="8"/>
        <v>0</v>
      </c>
      <c r="J21" s="82">
        <v>0.0</v>
      </c>
      <c r="K21" s="82">
        <f t="shared" si="9"/>
        <v>0</v>
      </c>
      <c r="L21" s="86">
        <v>1.0</v>
      </c>
    </row>
    <row r="22" ht="15.75" customHeight="1">
      <c r="B22" s="79" t="str">
        <f>HANDICAPS!B21</f>
        <v>SHEPP</v>
      </c>
      <c r="C22" s="84">
        <f>VLOOKUP(B22,'ROUND 1 - FOURBALL'!$F$168:$AB$183,23,FALSE)</f>
        <v>0</v>
      </c>
      <c r="D22" s="81">
        <f>VLOOKUP(B22,'ROUND 2 - FOURBALL'!$F$168:$AB$183,23,FALSE)</f>
        <v>0</v>
      </c>
      <c r="E22" s="69">
        <f t="shared" si="6"/>
        <v>0</v>
      </c>
      <c r="F22" s="81">
        <f>VLOOKUP(B22,'ROUND 3 - FOURBALL'!$F$168:$AB$183,23,FALSE)</f>
        <v>0</v>
      </c>
      <c r="G22" s="69">
        <f t="shared" si="7"/>
        <v>0</v>
      </c>
      <c r="H22" s="81">
        <f>VLOOKUP(B22,'ROUND 4 - SINGLES'!$F$251:$AB$266,23,FALSE)</f>
        <v>0</v>
      </c>
      <c r="I22" s="68">
        <f t="shared" si="8"/>
        <v>0</v>
      </c>
      <c r="J22" s="82">
        <v>0.0</v>
      </c>
      <c r="K22" s="82">
        <f t="shared" si="9"/>
        <v>0</v>
      </c>
      <c r="L22" s="86">
        <v>0.5</v>
      </c>
    </row>
    <row r="23" ht="15.75" customHeight="1">
      <c r="B23" s="79" t="str">
        <f>HANDICAPS!B22</f>
        <v>SKYLAR</v>
      </c>
      <c r="C23" s="84">
        <f>VLOOKUP(B23,'ROUND 1 - FOURBALL'!$F$168:$AB$183,23,FALSE)</f>
        <v>0</v>
      </c>
      <c r="D23" s="81">
        <f>VLOOKUP(B23,'ROUND 2 - FOURBALL'!$F$168:$AB$183,23,FALSE)</f>
        <v>0</v>
      </c>
      <c r="E23" s="69">
        <f t="shared" si="6"/>
        <v>0</v>
      </c>
      <c r="F23" s="81">
        <f>VLOOKUP(B23,'ROUND 3 - FOURBALL'!$F$168:$AB$183,23,FALSE)</f>
        <v>0</v>
      </c>
      <c r="G23" s="69">
        <f t="shared" si="7"/>
        <v>0</v>
      </c>
      <c r="H23" s="81">
        <f>VLOOKUP(B23,'ROUND 4 - SINGLES'!$F$251:$AB$266,23,FALSE)</f>
        <v>0</v>
      </c>
      <c r="I23" s="68">
        <f t="shared" si="8"/>
        <v>0</v>
      </c>
      <c r="J23" s="82">
        <v>0.0</v>
      </c>
      <c r="K23" s="82">
        <f t="shared" si="9"/>
        <v>0</v>
      </c>
      <c r="L23" s="86">
        <v>0.5</v>
      </c>
    </row>
    <row r="24" ht="15.75" customHeight="1">
      <c r="B24" s="87" t="str">
        <f>HANDICAPS!B23</f>
        <v>RYAN</v>
      </c>
      <c r="C24" s="88">
        <f>VLOOKUP(B24,'ROUND 1 - FOURBALL'!$F$168:$AB$183,23,FALSE)</f>
        <v>0</v>
      </c>
      <c r="D24" s="89">
        <f>VLOOKUP(B24,'ROUND 2 - FOURBALL'!$F$168:$AB$183,23,FALSE)</f>
        <v>0</v>
      </c>
      <c r="E24" s="90">
        <f t="shared" si="6"/>
        <v>0</v>
      </c>
      <c r="F24" s="81">
        <f>VLOOKUP(B24,'ROUND 3 - FOURBALL'!$F$168:$AB$183,23,FALSE)</f>
        <v>0</v>
      </c>
      <c r="G24" s="90">
        <f t="shared" si="7"/>
        <v>0</v>
      </c>
      <c r="H24" s="89">
        <f>VLOOKUP(B24,'ROUND 4 - SINGLES'!$F$251:$AB$266,23,FALSE)</f>
        <v>0</v>
      </c>
      <c r="I24" s="91">
        <f t="shared" si="8"/>
        <v>0</v>
      </c>
      <c r="J24" s="92">
        <v>0.0</v>
      </c>
      <c r="K24" s="92">
        <v>0.0</v>
      </c>
      <c r="L24" s="93">
        <v>0.5</v>
      </c>
    </row>
    <row r="25" ht="24.0" customHeight="1">
      <c r="B25" s="64" t="s">
        <v>39</v>
      </c>
      <c r="C25" s="64">
        <f t="shared" ref="C25:I25" si="10">SUM(C9:C24)</f>
        <v>15</v>
      </c>
      <c r="D25" s="64">
        <f t="shared" si="10"/>
        <v>16</v>
      </c>
      <c r="E25" s="64">
        <f t="shared" si="10"/>
        <v>31</v>
      </c>
      <c r="F25" s="64">
        <f t="shared" si="10"/>
        <v>10</v>
      </c>
      <c r="G25" s="64">
        <f t="shared" si="10"/>
        <v>41</v>
      </c>
      <c r="H25" s="64">
        <f t="shared" si="10"/>
        <v>7</v>
      </c>
      <c r="I25" s="64">
        <f t="shared" si="10"/>
        <v>48</v>
      </c>
    </row>
    <row r="26" ht="15.75" customHeight="1"/>
    <row r="27" ht="25.5" customHeight="1">
      <c r="A27" s="60"/>
      <c r="B27" s="64" t="s">
        <v>40</v>
      </c>
      <c r="C27" s="94">
        <v>20.0</v>
      </c>
      <c r="D27" s="60"/>
      <c r="E27" s="60"/>
      <c r="F27" s="60"/>
      <c r="G27" s="60"/>
      <c r="H27" s="60"/>
      <c r="I27" s="64" t="s">
        <v>40</v>
      </c>
      <c r="J27" s="95">
        <v>25.0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24.0" customHeight="1">
      <c r="B28" s="64" t="s">
        <v>41</v>
      </c>
      <c r="C28" s="64" t="s">
        <v>29</v>
      </c>
      <c r="D28" s="64" t="s">
        <v>30</v>
      </c>
      <c r="E28" s="64" t="s">
        <v>32</v>
      </c>
      <c r="F28" s="66" t="s">
        <v>33</v>
      </c>
      <c r="G28" s="66" t="str">
        <f>G8</f>
        <v>TOTAL</v>
      </c>
      <c r="H28" s="60"/>
      <c r="I28" s="96" t="s">
        <v>42</v>
      </c>
      <c r="J28" s="97" t="s">
        <v>43</v>
      </c>
      <c r="K28" s="64"/>
      <c r="L28" s="64" t="s">
        <v>29</v>
      </c>
      <c r="M28" s="64" t="s">
        <v>30</v>
      </c>
      <c r="N28" s="64" t="s">
        <v>32</v>
      </c>
      <c r="O28" s="66" t="s">
        <v>33</v>
      </c>
      <c r="P28" s="98" t="s">
        <v>31</v>
      </c>
    </row>
    <row r="29" ht="24.0" customHeight="1">
      <c r="B29" s="79" t="str">
        <f t="shared" ref="B29:B45" si="11">B9</f>
        <v>DEREK</v>
      </c>
      <c r="C29" s="99">
        <f>'ROUND 1 - FOURBALL'!AF144</f>
        <v>0</v>
      </c>
      <c r="D29" s="99">
        <f>'ROUND 2 - FOURBALL'!AF144</f>
        <v>0</v>
      </c>
      <c r="E29" s="99">
        <f>'ROUND 3 - FOURBALL'!AF144</f>
        <v>0</v>
      </c>
      <c r="F29" s="100">
        <f>'ROUND 4 - SINGLES'!AF227</f>
        <v>0</v>
      </c>
      <c r="G29" s="100">
        <f t="shared" ref="G29:G44" si="12">SUM(C29:F29)</f>
        <v>0</v>
      </c>
      <c r="H29" s="101"/>
      <c r="I29" s="68" t="str">
        <f t="shared" ref="I29:I44" si="13">B29</f>
        <v>DEREK</v>
      </c>
      <c r="J29" s="102" t="s">
        <v>17</v>
      </c>
      <c r="K29" s="103"/>
      <c r="L29" s="103">
        <f>if($J29="N","DNQ",vlookup($I29,'TILT Round 1'!$C:$Z,24,false))</f>
        <v>16</v>
      </c>
      <c r="M29" s="103">
        <f>if($J29="N","DNQ",vlookup($I29,'TILT Round 2'!$C:$Z,24,false))</f>
        <v>46</v>
      </c>
      <c r="N29" s="103">
        <f>if($J29="N","DNQ",vlookup($I29,'TILT Round 3'!$C:$Z,24,false))</f>
        <v>26</v>
      </c>
      <c r="O29" s="103">
        <f>iferror(if($J29="N","DNQ",vlookup($I29,'TILT Round 4'!$C:$Z,24,false)),0)</f>
        <v>10</v>
      </c>
      <c r="P29" s="104">
        <f t="shared" ref="P29:P44" si="14">if(J29="N","DNQ",SUM(L29:O29))</f>
        <v>98</v>
      </c>
    </row>
    <row r="30" ht="24.0" customHeight="1">
      <c r="B30" s="79" t="str">
        <f t="shared" si="11"/>
        <v>SCOTT</v>
      </c>
      <c r="C30" s="99">
        <f>'ROUND 1 - FOURBALL'!AF145</f>
        <v>70</v>
      </c>
      <c r="D30" s="99">
        <f>'ROUND 2 - FOURBALL'!AF145</f>
        <v>0</v>
      </c>
      <c r="E30" s="99">
        <f>'ROUND 3 - FOURBALL'!AF145</f>
        <v>0</v>
      </c>
      <c r="F30" s="100">
        <f>'ROUND 4 - SINGLES'!AF228</f>
        <v>0</v>
      </c>
      <c r="G30" s="100">
        <f t="shared" si="12"/>
        <v>70</v>
      </c>
      <c r="H30" s="101"/>
      <c r="I30" s="68" t="str">
        <f t="shared" si="13"/>
        <v>SCOTT</v>
      </c>
      <c r="J30" s="102" t="s">
        <v>17</v>
      </c>
      <c r="K30" s="103"/>
      <c r="L30" s="103">
        <f>if(J30="N","DNQ",vlookup($I30,'TILT Round 1'!$C:$Z,24,false))</f>
        <v>24</v>
      </c>
      <c r="M30" s="103">
        <f>if($J30="N","DNQ",vlookup($I30,'TILT Round 2'!$C:$Z,24,false))</f>
        <v>28</v>
      </c>
      <c r="N30" s="103">
        <f>if($J30="N","DNQ",vlookup($I30,'TILT Round 3'!$C:$Z,24,false))</f>
        <v>30</v>
      </c>
      <c r="O30" s="103">
        <f>iferror(if($J30="N","DNQ",vlookup($I30,'TILT Round 4'!$C:$Z,24,false)),0)</f>
        <v>16</v>
      </c>
      <c r="P30" s="104">
        <f t="shared" si="14"/>
        <v>98</v>
      </c>
    </row>
    <row r="31" ht="24.0" customHeight="1">
      <c r="B31" s="79" t="str">
        <f t="shared" si="11"/>
        <v>WAYS</v>
      </c>
      <c r="C31" s="99">
        <f>'ROUND 1 - FOURBALL'!AF146</f>
        <v>0</v>
      </c>
      <c r="D31" s="99">
        <f>'ROUND 2 - FOURBALL'!AF146</f>
        <v>46.66666667</v>
      </c>
      <c r="E31" s="99">
        <f>'ROUND 3 - FOURBALL'!AF146</f>
        <v>0</v>
      </c>
      <c r="F31" s="100">
        <f>'ROUND 4 - SINGLES'!AF229</f>
        <v>31.11111111</v>
      </c>
      <c r="G31" s="100">
        <f t="shared" si="12"/>
        <v>77.77777778</v>
      </c>
      <c r="H31" s="101"/>
      <c r="I31" s="68" t="str">
        <f t="shared" si="13"/>
        <v>WAYS</v>
      </c>
      <c r="J31" s="102" t="s">
        <v>17</v>
      </c>
      <c r="K31" s="103"/>
      <c r="L31" s="103">
        <f>if(J31="N","DNQ",vlookup($I31,'TILT Round 1'!$C:$Z,24,false))</f>
        <v>24</v>
      </c>
      <c r="M31" s="103">
        <f>if($J31="N","DNQ",vlookup($I31,'TILT Round 2'!$C:$Z,24,false))</f>
        <v>34</v>
      </c>
      <c r="N31" s="103">
        <f>if($J31="N","DNQ",vlookup($I31,'TILT Round 3'!$C:$Z,24,false))</f>
        <v>20</v>
      </c>
      <c r="O31" s="103">
        <f>iferror(if($J31="N","DNQ",vlookup($I31,'TILT Round 4'!$C:$Z,24,false)),0)</f>
        <v>38</v>
      </c>
      <c r="P31" s="104">
        <f t="shared" si="14"/>
        <v>116</v>
      </c>
    </row>
    <row r="32" ht="24.0" customHeight="1">
      <c r="B32" s="79" t="str">
        <f t="shared" si="11"/>
        <v>BEN</v>
      </c>
      <c r="C32" s="99">
        <f>'ROUND 1 - FOURBALL'!AF147</f>
        <v>70</v>
      </c>
      <c r="D32" s="99">
        <f>'ROUND 2 - FOURBALL'!AF147</f>
        <v>0</v>
      </c>
      <c r="E32" s="99">
        <f>'ROUND 3 - FOURBALL'!AF147</f>
        <v>56</v>
      </c>
      <c r="F32" s="100">
        <f>'ROUND 4 - SINGLES'!AF230</f>
        <v>31.11111111</v>
      </c>
      <c r="G32" s="100">
        <f t="shared" si="12"/>
        <v>157.1111111</v>
      </c>
      <c r="H32" s="101"/>
      <c r="I32" s="68" t="str">
        <f t="shared" si="13"/>
        <v>BEN</v>
      </c>
      <c r="J32" s="102" t="s">
        <v>17</v>
      </c>
      <c r="K32" s="103"/>
      <c r="L32" s="103">
        <f>if(J32="N","DNQ",vlookup($I32,'TILT Round 1'!$C:$Z,24,false))</f>
        <v>40</v>
      </c>
      <c r="M32" s="103">
        <f>if($J32="N","DNQ",vlookup($I32,'TILT Round 2'!$C:$Z,24,false))</f>
        <v>52</v>
      </c>
      <c r="N32" s="103">
        <f>if($J32="N","DNQ",vlookup($I32,'TILT Round 3'!$C:$Z,24,false))</f>
        <v>42</v>
      </c>
      <c r="O32" s="103">
        <f>iferror(if($J32="N","DNQ",vlookup($I32,'TILT Round 4'!$C:$Z,24,false)),0)</f>
        <v>40</v>
      </c>
      <c r="P32" s="104">
        <f t="shared" si="14"/>
        <v>174</v>
      </c>
    </row>
    <row r="33" ht="24.0" customHeight="1">
      <c r="B33" s="79" t="str">
        <f t="shared" si="11"/>
        <v>DANNY</v>
      </c>
      <c r="C33" s="99">
        <f>'ROUND 1 - FOURBALL'!AF148</f>
        <v>70</v>
      </c>
      <c r="D33" s="99">
        <f>'ROUND 2 - FOURBALL'!AF148</f>
        <v>0</v>
      </c>
      <c r="E33" s="99">
        <f>'ROUND 3 - FOURBALL'!AF148</f>
        <v>0</v>
      </c>
      <c r="F33" s="100">
        <f>'ROUND 4 - SINGLES'!AF231</f>
        <v>0</v>
      </c>
      <c r="G33" s="100">
        <f t="shared" si="12"/>
        <v>70</v>
      </c>
      <c r="H33" s="101"/>
      <c r="I33" s="68" t="str">
        <f t="shared" si="13"/>
        <v>DANNY</v>
      </c>
      <c r="J33" s="102" t="s">
        <v>17</v>
      </c>
      <c r="K33" s="103"/>
      <c r="L33" s="103">
        <f>if(J33="N","DNQ",vlookup($I33,'TILT Round 1'!$C:$Z,24,false))</f>
        <v>10</v>
      </c>
      <c r="M33" s="103">
        <f>if($J33="N","DNQ",vlookup($I33,'TILT Round 2'!$C:$Z,24,false))</f>
        <v>36</v>
      </c>
      <c r="N33" s="103">
        <f>if($J33="N","DNQ",vlookup($I33,'TILT Round 3'!$C:$Z,24,false))</f>
        <v>42</v>
      </c>
      <c r="O33" s="103">
        <f>iferror(if($J33="N","DNQ",vlookup($I33,'TILT Round 4'!$C:$Z,24,false)),0)</f>
        <v>8</v>
      </c>
      <c r="P33" s="104">
        <f t="shared" si="14"/>
        <v>96</v>
      </c>
    </row>
    <row r="34" ht="24.0" customHeight="1">
      <c r="B34" s="79" t="str">
        <f t="shared" si="11"/>
        <v>ZACH</v>
      </c>
      <c r="C34" s="99">
        <f>'ROUND 1 - FOURBALL'!AF149</f>
        <v>0</v>
      </c>
      <c r="D34" s="99">
        <f>'ROUND 2 - FOURBALL'!AF149</f>
        <v>93.33333333</v>
      </c>
      <c r="E34" s="99">
        <f>'ROUND 3 - FOURBALL'!AF149</f>
        <v>56</v>
      </c>
      <c r="F34" s="100">
        <f>'ROUND 4 - SINGLES'!AF232</f>
        <v>0</v>
      </c>
      <c r="G34" s="100">
        <f t="shared" si="12"/>
        <v>149.3333333</v>
      </c>
      <c r="H34" s="101"/>
      <c r="I34" s="68" t="str">
        <f t="shared" si="13"/>
        <v>ZACH</v>
      </c>
      <c r="J34" s="102" t="s">
        <v>17</v>
      </c>
      <c r="K34" s="103"/>
      <c r="L34" s="103">
        <f>if(J34="N","DNQ",vlookup($I34,'TILT Round 1'!$C:$Z,24,false))</f>
        <v>24</v>
      </c>
      <c r="M34" s="103">
        <f>if($J34="N","DNQ",vlookup($I34,'TILT Round 2'!$C:$Z,24,false))</f>
        <v>42</v>
      </c>
      <c r="N34" s="103">
        <f>if($J34="N","DNQ",vlookup($I34,'TILT Round 3'!$C:$Z,24,false))</f>
        <v>26</v>
      </c>
      <c r="O34" s="103">
        <f>iferror(if($J34="N","DNQ",vlookup($I34,'TILT Round 4'!$C:$Z,24,false)),0)</f>
        <v>8</v>
      </c>
      <c r="P34" s="104">
        <f t="shared" si="14"/>
        <v>100</v>
      </c>
    </row>
    <row r="35" ht="24.0" customHeight="1">
      <c r="B35" s="79" t="str">
        <f t="shared" si="11"/>
        <v>SLICK</v>
      </c>
      <c r="C35" s="99">
        <f>'ROUND 1 - FOURBALL'!AF150</f>
        <v>0</v>
      </c>
      <c r="D35" s="99">
        <f>'ROUND 2 - FOURBALL'!AF150</f>
        <v>46.66666667</v>
      </c>
      <c r="E35" s="99">
        <f>'ROUND 3 - FOURBALL'!AF150</f>
        <v>0</v>
      </c>
      <c r="F35" s="100">
        <f>'ROUND 4 - SINGLES'!AF233</f>
        <v>31.11111111</v>
      </c>
      <c r="G35" s="100">
        <f t="shared" si="12"/>
        <v>77.77777778</v>
      </c>
      <c r="H35" s="101"/>
      <c r="I35" s="68" t="str">
        <f t="shared" si="13"/>
        <v>SLICK</v>
      </c>
      <c r="J35" s="102" t="s">
        <v>17</v>
      </c>
      <c r="K35" s="103"/>
      <c r="L35" s="103">
        <f>if(J35="N","DNQ",vlookup($I35,'TILT Round 1'!$C:$Z,24,false))</f>
        <v>60</v>
      </c>
      <c r="M35" s="103">
        <f>if($J35="N","DNQ",vlookup($I35,'TILT Round 2'!$C:$Z,24,false))</f>
        <v>48</v>
      </c>
      <c r="N35" s="103">
        <f>if($J35="N","DNQ",vlookup($I35,'TILT Round 3'!$C:$Z,24,false))</f>
        <v>30</v>
      </c>
      <c r="O35" s="103">
        <f>iferror(if($J35="N","DNQ",vlookup($I35,'TILT Round 4'!$C:$Z,24,false)),0)</f>
        <v>8</v>
      </c>
      <c r="P35" s="104">
        <f t="shared" si="14"/>
        <v>146</v>
      </c>
    </row>
    <row r="36" ht="24.0" customHeight="1">
      <c r="B36" s="79" t="str">
        <f t="shared" si="11"/>
        <v>PAXTON</v>
      </c>
      <c r="C36" s="99">
        <f>'ROUND 1 - FOURBALL'!AF151</f>
        <v>0</v>
      </c>
      <c r="D36" s="99">
        <f>'ROUND 2 - FOURBALL'!AF151</f>
        <v>0</v>
      </c>
      <c r="E36" s="99">
        <f>'ROUND 3 - FOURBALL'!AF151</f>
        <v>56</v>
      </c>
      <c r="F36" s="100">
        <f>'ROUND 4 - SINGLES'!AF234</f>
        <v>31.11111111</v>
      </c>
      <c r="G36" s="100">
        <f t="shared" si="12"/>
        <v>87.11111111</v>
      </c>
      <c r="H36" s="101"/>
      <c r="I36" s="68" t="str">
        <f t="shared" si="13"/>
        <v>PAXTON</v>
      </c>
      <c r="J36" s="102" t="s">
        <v>17</v>
      </c>
      <c r="K36" s="103"/>
      <c r="L36" s="103">
        <f>if(J36="N","DNQ",vlookup($I36,'TILT Round 1'!$C:$Z,24,false))</f>
        <v>70</v>
      </c>
      <c r="M36" s="103">
        <f>if($J36="N","DNQ",vlookup($I36,'TILT Round 2'!$C:$Z,24,false))</f>
        <v>0</v>
      </c>
      <c r="N36" s="103">
        <f>if($J36="N","DNQ",vlookup($I36,'TILT Round 3'!$C:$Z,24,false))</f>
        <v>22</v>
      </c>
      <c r="O36" s="103">
        <f>iferror(if($J36="N","DNQ",vlookup($I36,'TILT Round 4'!$C:$Z,24,false)),0)</f>
        <v>22</v>
      </c>
      <c r="P36" s="104">
        <f t="shared" si="14"/>
        <v>114</v>
      </c>
    </row>
    <row r="37" ht="24.0" customHeight="1">
      <c r="B37" s="79" t="str">
        <f t="shared" si="11"/>
        <v>DYLAN</v>
      </c>
      <c r="C37" s="99">
        <f>'ROUND 1 - FOURBALL'!AF152</f>
        <v>0</v>
      </c>
      <c r="D37" s="99">
        <f>'ROUND 2 - FOURBALL'!AF152</f>
        <v>0</v>
      </c>
      <c r="E37" s="99">
        <f>'ROUND 3 - FOURBALL'!AF152</f>
        <v>0</v>
      </c>
      <c r="F37" s="100">
        <f>'ROUND 4 - SINGLES'!AF235</f>
        <v>0</v>
      </c>
      <c r="G37" s="100">
        <f t="shared" si="12"/>
        <v>0</v>
      </c>
      <c r="H37" s="101"/>
      <c r="I37" s="68" t="str">
        <f t="shared" si="13"/>
        <v>DYLAN</v>
      </c>
      <c r="J37" s="102" t="s">
        <v>17</v>
      </c>
      <c r="K37" s="103"/>
      <c r="L37" s="103">
        <f>if(J37="N","DNQ",vlookup($I37,'TILT Round 1'!$C:$Z,24,false))</f>
        <v>58</v>
      </c>
      <c r="M37" s="103">
        <f>if($J37="N","DNQ",vlookup($I37,'TILT Round 2'!$C:$Z,24,false))</f>
        <v>32</v>
      </c>
      <c r="N37" s="103">
        <f>if($J37="N","DNQ",vlookup($I37,'TILT Round 3'!$C:$Z,24,false))</f>
        <v>14</v>
      </c>
      <c r="O37" s="103">
        <f>iferror(if($J37="N","DNQ",vlookup($I37,'TILT Round 4'!$C:$Z,24,false)),0)</f>
        <v>26</v>
      </c>
      <c r="P37" s="104">
        <f t="shared" si="14"/>
        <v>130</v>
      </c>
    </row>
    <row r="38" ht="24.0" customHeight="1">
      <c r="B38" s="79" t="str">
        <f t="shared" si="11"/>
        <v>TOM</v>
      </c>
      <c r="C38" s="99">
        <f>'ROUND 1 - FOURBALL'!AF153</f>
        <v>0</v>
      </c>
      <c r="D38" s="99">
        <f>'ROUND 2 - FOURBALL'!AF153</f>
        <v>0</v>
      </c>
      <c r="E38" s="99">
        <f>'ROUND 3 - FOURBALL'!AF153</f>
        <v>56</v>
      </c>
      <c r="F38" s="100">
        <f>'ROUND 4 - SINGLES'!AF236</f>
        <v>0</v>
      </c>
      <c r="G38" s="100">
        <f t="shared" si="12"/>
        <v>56</v>
      </c>
      <c r="H38" s="101"/>
      <c r="I38" s="68" t="str">
        <f t="shared" si="13"/>
        <v>TOM</v>
      </c>
      <c r="J38" s="102" t="s">
        <v>17</v>
      </c>
      <c r="K38" s="103"/>
      <c r="L38" s="103">
        <f>if(J38="N","DNQ",vlookup($I38,'TILT Round 1'!$C:$Z,24,false))</f>
        <v>24</v>
      </c>
      <c r="M38" s="103">
        <f>if($J38="N","DNQ",vlookup($I38,'TILT Round 2'!$C:$Z,24,false))</f>
        <v>18</v>
      </c>
      <c r="N38" s="103">
        <f>if($J38="N","DNQ",vlookup($I38,'TILT Round 3'!$C:$Z,24,false))</f>
        <v>16</v>
      </c>
      <c r="O38" s="103">
        <f>iferror(if($J38="N","DNQ",vlookup($I38,'TILT Round 4'!$C:$Z,24,false)),0)</f>
        <v>18</v>
      </c>
      <c r="P38" s="104">
        <f t="shared" si="14"/>
        <v>76</v>
      </c>
    </row>
    <row r="39" ht="24.0" customHeight="1">
      <c r="B39" s="79" t="str">
        <f t="shared" si="11"/>
        <v>ERIC</v>
      </c>
      <c r="C39" s="99">
        <f>'ROUND 1 - FOURBALL'!AF154</f>
        <v>0</v>
      </c>
      <c r="D39" s="99">
        <f>'ROUND 2 - FOURBALL'!AF154</f>
        <v>0</v>
      </c>
      <c r="E39" s="99">
        <f>'ROUND 3 - FOURBALL'!AF154</f>
        <v>0</v>
      </c>
      <c r="F39" s="100">
        <f>'ROUND 4 - SINGLES'!AF237</f>
        <v>0</v>
      </c>
      <c r="G39" s="100">
        <f t="shared" si="12"/>
        <v>0</v>
      </c>
      <c r="H39" s="101"/>
      <c r="I39" s="68" t="str">
        <f t="shared" si="13"/>
        <v>ERIC</v>
      </c>
      <c r="J39" s="102" t="s">
        <v>18</v>
      </c>
      <c r="K39" s="103"/>
      <c r="L39" s="103" t="str">
        <f>if(J39="N","DNQ",vlookup($I39,'TILT Round 1'!$C:$Z,24,false))</f>
        <v>DNQ</v>
      </c>
      <c r="M39" s="103" t="str">
        <f>if($J39="N","DNQ",vlookup($I39,'TILT Round 2'!$C:$Z,24,false))</f>
        <v>DNQ</v>
      </c>
      <c r="N39" s="103" t="str">
        <f>if($J39="N","DNQ",vlookup($I39,'TILT Round 3'!$C:$Z,24,false))</f>
        <v>DNQ</v>
      </c>
      <c r="O39" s="103" t="str">
        <f>iferror(if($J39="N","DNQ",vlookup($I39,'TILT Round 4'!$C:$Z,24,false)),0)</f>
        <v>DNQ</v>
      </c>
      <c r="P39" s="104" t="str">
        <f t="shared" si="14"/>
        <v>DNQ</v>
      </c>
    </row>
    <row r="40" ht="24.0" customHeight="1">
      <c r="B40" s="79" t="str">
        <f t="shared" si="11"/>
        <v>MAX</v>
      </c>
      <c r="C40" s="99">
        <f>'ROUND 1 - FOURBALL'!AF155</f>
        <v>0</v>
      </c>
      <c r="D40" s="99">
        <f>'ROUND 2 - FOURBALL'!AF155</f>
        <v>0</v>
      </c>
      <c r="E40" s="99">
        <f>'ROUND 3 - FOURBALL'!AF155</f>
        <v>0</v>
      </c>
      <c r="F40" s="100">
        <f>'ROUND 4 - SINGLES'!AF238</f>
        <v>62.22222222</v>
      </c>
      <c r="G40" s="100">
        <f t="shared" si="12"/>
        <v>62.22222222</v>
      </c>
      <c r="H40" s="101"/>
      <c r="I40" s="68" t="str">
        <f t="shared" si="13"/>
        <v>MAX</v>
      </c>
      <c r="J40" s="102" t="s">
        <v>18</v>
      </c>
      <c r="K40" s="103"/>
      <c r="L40" s="103" t="str">
        <f>if(J40="N","DNQ",vlookup($I40,'TILT Round 1'!$C:$Z,24,false))</f>
        <v>DNQ</v>
      </c>
      <c r="M40" s="103" t="str">
        <f>if($J40="N","DNQ",vlookup($I40,'TILT Round 2'!$C:$Z,24,false))</f>
        <v>DNQ</v>
      </c>
      <c r="N40" s="103" t="str">
        <f>if($J40="N","DNQ",vlookup($I40,'TILT Round 3'!$C:$Z,24,false))</f>
        <v>DNQ</v>
      </c>
      <c r="O40" s="103" t="str">
        <f>iferror(if($J40="N","DNQ",vlookup($I40,'TILT Round 4'!$C:$Z,24,false)),0)</f>
        <v>DNQ</v>
      </c>
      <c r="P40" s="104" t="str">
        <f t="shared" si="14"/>
        <v>DNQ</v>
      </c>
    </row>
    <row r="41" ht="24.0" customHeight="1">
      <c r="B41" s="79" t="str">
        <f t="shared" si="11"/>
        <v>KIP</v>
      </c>
      <c r="C41" s="99">
        <f>'ROUND 1 - FOURBALL'!AF156</f>
        <v>0</v>
      </c>
      <c r="D41" s="99">
        <f>'ROUND 2 - FOURBALL'!AF156</f>
        <v>0</v>
      </c>
      <c r="E41" s="99">
        <f>'ROUND 3 - FOURBALL'!AF156</f>
        <v>0</v>
      </c>
      <c r="F41" s="100">
        <f>'ROUND 4 - SINGLES'!AF239</f>
        <v>31.11111111</v>
      </c>
      <c r="G41" s="100">
        <f t="shared" si="12"/>
        <v>31.11111111</v>
      </c>
      <c r="H41" s="101"/>
      <c r="I41" s="68" t="str">
        <f t="shared" si="13"/>
        <v>KIP</v>
      </c>
      <c r="J41" s="102" t="s">
        <v>17</v>
      </c>
      <c r="K41" s="103"/>
      <c r="L41" s="103">
        <f>if(J41="N","DNQ",vlookup($I41,'TILT Round 1'!$C:$Z,24,false))</f>
        <v>-12</v>
      </c>
      <c r="M41" s="103">
        <f>if($J41="N","DNQ",vlookup($I41,'TILT Round 2'!$C:$Z,24,false))</f>
        <v>4</v>
      </c>
      <c r="N41" s="103">
        <f>if($J41="N","DNQ",vlookup($I41,'TILT Round 3'!$C:$Z,24,false))</f>
        <v>-30</v>
      </c>
      <c r="O41" s="103">
        <f>iferror(if($J41="N","DNQ",vlookup($I41,'TILT Round 4'!$C:$Z,24,false)),0)</f>
        <v>8</v>
      </c>
      <c r="P41" s="104">
        <f t="shared" si="14"/>
        <v>-30</v>
      </c>
    </row>
    <row r="42" ht="24.0" customHeight="1">
      <c r="B42" s="79" t="str">
        <f t="shared" si="11"/>
        <v>SHEPP</v>
      </c>
      <c r="C42" s="99">
        <f>'ROUND 1 - FOURBALL'!AF157</f>
        <v>0</v>
      </c>
      <c r="D42" s="99">
        <f>'ROUND 2 - FOURBALL'!AF157</f>
        <v>46.66666667</v>
      </c>
      <c r="E42" s="99">
        <f>'ROUND 3 - FOURBALL'!AF157</f>
        <v>0</v>
      </c>
      <c r="F42" s="100">
        <f>'ROUND 4 - SINGLES'!AF240</f>
        <v>0</v>
      </c>
      <c r="G42" s="100">
        <f t="shared" si="12"/>
        <v>46.66666667</v>
      </c>
      <c r="H42" s="101"/>
      <c r="I42" s="68" t="str">
        <f t="shared" si="13"/>
        <v>SHEPP</v>
      </c>
      <c r="J42" s="102" t="s">
        <v>17</v>
      </c>
      <c r="K42" s="103"/>
      <c r="L42" s="103">
        <f>if(J42="N","DNQ",vlookup($I42,'TILT Round 1'!$C:$Z,24,false))</f>
        <v>-2</v>
      </c>
      <c r="M42" s="103">
        <f>if($J42="N","DNQ",vlookup($I42,'TILT Round 2'!$C:$Z,24,false))</f>
        <v>-6</v>
      </c>
      <c r="N42" s="103">
        <f>if($J42="N","DNQ",vlookup($I42,'TILT Round 3'!$C:$Z,24,false))</f>
        <v>8</v>
      </c>
      <c r="O42" s="103">
        <f>iferror(if($J42="N","DNQ",vlookup($I42,'TILT Round 4'!$C:$Z,24,false)),0)</f>
        <v>-16</v>
      </c>
      <c r="P42" s="104">
        <f t="shared" si="14"/>
        <v>-16</v>
      </c>
    </row>
    <row r="43" ht="24.0" customHeight="1">
      <c r="B43" s="79" t="str">
        <f t="shared" si="11"/>
        <v>SKYLAR</v>
      </c>
      <c r="C43" s="99">
        <f>'ROUND 1 - FOURBALL'!AF158</f>
        <v>0</v>
      </c>
      <c r="D43" s="99">
        <f>'ROUND 2 - FOURBALL'!AF158</f>
        <v>0</v>
      </c>
      <c r="E43" s="99">
        <f>'ROUND 3 - FOURBALL'!AF158</f>
        <v>0</v>
      </c>
      <c r="F43" s="100">
        <f>'ROUND 4 - SINGLES'!AF241</f>
        <v>0</v>
      </c>
      <c r="G43" s="100">
        <f t="shared" si="12"/>
        <v>0</v>
      </c>
      <c r="H43" s="101"/>
      <c r="I43" s="68" t="str">
        <f t="shared" si="13"/>
        <v>SKYLAR</v>
      </c>
      <c r="J43" s="102" t="s">
        <v>18</v>
      </c>
      <c r="K43" s="103"/>
      <c r="L43" s="103" t="str">
        <f>if(J43="N","DNQ",vlookup($I43,'TILT Round 1'!$C:$Z,24,false))</f>
        <v>DNQ</v>
      </c>
      <c r="M43" s="103" t="str">
        <f>if($J43="N","DNQ",vlookup($I43,'TILT Round 2'!$C:$Z,24,false))</f>
        <v>DNQ</v>
      </c>
      <c r="N43" s="103" t="str">
        <f>if($J43="N","DNQ",vlookup($I43,'TILT Round 3'!$C:$Z,24,false))</f>
        <v>DNQ</v>
      </c>
      <c r="O43" s="103" t="str">
        <f>iferror(if($J43="N","DNQ",vlookup($I43,'TILT Round 4'!$C:$Z,24,false)),0)</f>
        <v>DNQ</v>
      </c>
      <c r="P43" s="104" t="str">
        <f t="shared" si="14"/>
        <v>DNQ</v>
      </c>
    </row>
    <row r="44" ht="24.0" customHeight="1">
      <c r="B44" s="79" t="str">
        <f t="shared" si="11"/>
        <v>RYAN</v>
      </c>
      <c r="C44" s="99">
        <f>'ROUND 1 - FOURBALL'!AF159</f>
        <v>70</v>
      </c>
      <c r="D44" s="99">
        <f>'ROUND 2 - FOURBALL'!AF159</f>
        <v>46.66666667</v>
      </c>
      <c r="E44" s="99">
        <f>'ROUND 3 - FOURBALL'!AF159</f>
        <v>56</v>
      </c>
      <c r="F44" s="100">
        <f>'ROUND 4 - SINGLES'!AF242</f>
        <v>62.22222222</v>
      </c>
      <c r="G44" s="100">
        <f t="shared" si="12"/>
        <v>234.8888889</v>
      </c>
      <c r="H44" s="101"/>
      <c r="I44" s="68" t="str">
        <f t="shared" si="13"/>
        <v>RYAN</v>
      </c>
      <c r="J44" s="102" t="s">
        <v>18</v>
      </c>
      <c r="K44" s="103"/>
      <c r="L44" s="103" t="str">
        <f>if(J44="N","DNQ",vlookup($I44,'TILT Round 1'!$C:$Z,24,false))</f>
        <v>DNQ</v>
      </c>
      <c r="M44" s="103" t="str">
        <f>if($J44="N","DNQ",vlookup($I44,'TILT Round 2'!$C:$Z,24,false))</f>
        <v>DNQ</v>
      </c>
      <c r="N44" s="103" t="str">
        <f>if($J44="N","DNQ",vlookup($I44,'TILT Round 3'!$C:$Z,24,false))</f>
        <v>DNQ</v>
      </c>
      <c r="O44" s="103" t="str">
        <f>iferror(if($J44="N","DNQ",vlookup($I44,'TILT Round 4'!$C:$Z,24,false)),0)</f>
        <v>DNQ</v>
      </c>
      <c r="P44" s="104" t="str">
        <f t="shared" si="14"/>
        <v>DNQ</v>
      </c>
    </row>
    <row r="45" ht="24.0" customHeight="1">
      <c r="B45" s="64" t="str">
        <f t="shared" si="11"/>
        <v>TOTALS</v>
      </c>
      <c r="C45" s="105">
        <f t="shared" ref="C45:G45" si="15">SUM(C29:C44)</f>
        <v>280</v>
      </c>
      <c r="D45" s="105">
        <f t="shared" si="15"/>
        <v>280</v>
      </c>
      <c r="E45" s="105">
        <f t="shared" si="15"/>
        <v>280</v>
      </c>
      <c r="F45" s="105">
        <f t="shared" si="15"/>
        <v>280</v>
      </c>
      <c r="G45" s="105">
        <f t="shared" si="15"/>
        <v>1120</v>
      </c>
      <c r="H45" s="101"/>
      <c r="I45" s="64"/>
      <c r="J45" s="106"/>
      <c r="K45" s="106"/>
      <c r="L45" s="107"/>
      <c r="M45" s="107"/>
      <c r="N45" s="107"/>
      <c r="O45" s="107"/>
      <c r="P45" s="107"/>
    </row>
    <row r="46" ht="15.75" customHeight="1">
      <c r="B46" s="60"/>
      <c r="C46" s="101"/>
      <c r="D46" s="101"/>
      <c r="E46" s="101"/>
      <c r="F46" s="101"/>
      <c r="G46" s="101"/>
      <c r="H46" s="101"/>
      <c r="I46" s="101"/>
      <c r="J46" s="60"/>
      <c r="K46" s="60"/>
      <c r="L46" s="60"/>
    </row>
    <row r="47" ht="15.75" customHeight="1">
      <c r="C47" s="101"/>
      <c r="D47" s="101"/>
      <c r="E47" s="101"/>
      <c r="F47" s="101"/>
      <c r="G47" s="101"/>
      <c r="H47" s="101"/>
      <c r="I47" s="101"/>
      <c r="J47" s="60"/>
      <c r="K47" s="60"/>
      <c r="L47" s="60"/>
    </row>
    <row r="48" ht="15.75" customHeight="1">
      <c r="C48" s="101"/>
      <c r="D48" s="101"/>
      <c r="E48" s="101"/>
      <c r="F48" s="101"/>
      <c r="G48" s="101"/>
      <c r="H48" s="101"/>
      <c r="I48" s="101"/>
      <c r="J48" s="60"/>
      <c r="K48" s="60"/>
      <c r="L48" s="60"/>
    </row>
    <row r="49" ht="15.75" customHeight="1">
      <c r="C49" s="101"/>
      <c r="D49" s="101"/>
      <c r="E49" s="101"/>
      <c r="F49" s="101"/>
      <c r="G49" s="101"/>
      <c r="H49" s="101"/>
      <c r="I49" s="101"/>
      <c r="J49" s="60"/>
      <c r="K49" s="60"/>
      <c r="L49" s="60"/>
    </row>
    <row r="50" ht="15.75" customHeight="1">
      <c r="C50" s="101"/>
      <c r="D50" s="101"/>
      <c r="E50" s="101"/>
      <c r="F50" s="101"/>
      <c r="G50" s="101"/>
      <c r="H50" s="101"/>
      <c r="I50" s="101"/>
      <c r="J50" s="60"/>
      <c r="K50" s="60"/>
      <c r="L50" s="60"/>
    </row>
    <row r="51" ht="15.75" customHeight="1">
      <c r="C51" s="101"/>
      <c r="D51" s="101"/>
      <c r="E51" s="101"/>
      <c r="F51" s="101"/>
      <c r="G51" s="101"/>
      <c r="H51" s="101"/>
      <c r="I51" s="101"/>
      <c r="J51" s="60"/>
      <c r="K51" s="60"/>
      <c r="L51" s="6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2:E2"/>
    <mergeCell ref="F2:G2"/>
    <mergeCell ref="H2:I2"/>
    <mergeCell ref="C7:E7"/>
    <mergeCell ref="F7:G7"/>
    <mergeCell ref="H7:I7"/>
  </mergeCells>
  <conditionalFormatting sqref="P29:P44">
    <cfRule type="cellIs" dxfId="1" priority="1" operator="equal">
      <formula>0</formula>
    </cfRule>
  </conditionalFormatting>
  <conditionalFormatting sqref="P29:P44">
    <cfRule type="colorScale" priority="2">
      <colorScale>
        <cfvo type="min"/>
        <cfvo type="formula" val="0"/>
        <cfvo type="max"/>
        <color rgb="FFFFFFFF"/>
        <color rgb="FFFFFFFF"/>
        <color rgb="FFA8D08D"/>
      </colorScale>
    </cfRule>
  </conditionalFormatting>
  <dataValidations>
    <dataValidation type="list" allowBlank="1" showErrorMessage="1" sqref="B9:B24">
      <formula1>HANDICAPS!$B$8:$B$23</formula1>
    </dataValidation>
    <dataValidation type="list" allowBlank="1" sqref="J29:J44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59" t="s">
        <v>44</v>
      </c>
      <c r="B2" s="59" t="s">
        <v>45</v>
      </c>
      <c r="D2" s="59" t="s">
        <v>46</v>
      </c>
    </row>
    <row r="3">
      <c r="A3" s="59" t="s">
        <v>47</v>
      </c>
      <c r="B3" s="59" t="s">
        <v>48</v>
      </c>
      <c r="C3" s="59">
        <v>20.0</v>
      </c>
      <c r="D3" s="59" t="s">
        <v>49</v>
      </c>
      <c r="G3" s="59" t="s">
        <v>47</v>
      </c>
      <c r="H3" s="59">
        <v>-25.0</v>
      </c>
      <c r="I3" s="59" t="s">
        <v>50</v>
      </c>
      <c r="J3" s="59">
        <v>-25.0</v>
      </c>
    </row>
    <row r="4">
      <c r="A4" s="59" t="s">
        <v>51</v>
      </c>
      <c r="B4" s="59" t="s">
        <v>52</v>
      </c>
      <c r="C4" s="59">
        <v>20.0</v>
      </c>
      <c r="D4" s="59" t="s">
        <v>53</v>
      </c>
      <c r="G4" s="59" t="s">
        <v>51</v>
      </c>
      <c r="H4" s="59">
        <v>10.0</v>
      </c>
      <c r="I4" s="59" t="s">
        <v>50</v>
      </c>
      <c r="J4" s="59">
        <v>90.0</v>
      </c>
    </row>
    <row r="5">
      <c r="A5" s="59" t="s">
        <v>54</v>
      </c>
      <c r="B5" s="59" t="s">
        <v>55</v>
      </c>
      <c r="C5" s="59">
        <v>20.0</v>
      </c>
      <c r="D5" s="59" t="s">
        <v>53</v>
      </c>
      <c r="G5" s="59" t="s">
        <v>54</v>
      </c>
      <c r="H5" s="59">
        <v>-5.0</v>
      </c>
      <c r="I5" s="59" t="s">
        <v>56</v>
      </c>
    </row>
    <row r="6">
      <c r="A6" s="59" t="s">
        <v>57</v>
      </c>
      <c r="B6" s="59" t="s">
        <v>58</v>
      </c>
      <c r="C6" s="59">
        <v>5.0</v>
      </c>
      <c r="D6" s="59" t="s">
        <v>53</v>
      </c>
      <c r="G6" s="59" t="s">
        <v>59</v>
      </c>
      <c r="H6" s="59">
        <v>-17.0</v>
      </c>
      <c r="I6" s="59" t="s">
        <v>56</v>
      </c>
    </row>
    <row r="7">
      <c r="A7" s="59" t="s">
        <v>57</v>
      </c>
      <c r="B7" s="59" t="s">
        <v>60</v>
      </c>
      <c r="C7" s="59">
        <v>5.0</v>
      </c>
      <c r="D7" s="59" t="s">
        <v>49</v>
      </c>
      <c r="G7" s="59" t="s">
        <v>61</v>
      </c>
      <c r="H7" s="59">
        <v>5.0</v>
      </c>
      <c r="I7" s="59" t="s">
        <v>56</v>
      </c>
    </row>
    <row r="8">
      <c r="A8" s="59" t="s">
        <v>57</v>
      </c>
      <c r="B8" s="59" t="s">
        <v>62</v>
      </c>
      <c r="C8" s="59">
        <v>5.0</v>
      </c>
      <c r="D8" s="59" t="s">
        <v>49</v>
      </c>
      <c r="G8" s="59" t="s">
        <v>63</v>
      </c>
      <c r="H8" s="59">
        <v>-5.0</v>
      </c>
      <c r="I8" s="59" t="s">
        <v>64</v>
      </c>
    </row>
    <row r="9">
      <c r="A9" s="59" t="s">
        <v>57</v>
      </c>
      <c r="B9" s="59" t="s">
        <v>65</v>
      </c>
      <c r="C9" s="59">
        <v>5.0</v>
      </c>
      <c r="D9" s="59" t="s">
        <v>49</v>
      </c>
      <c r="G9" s="59" t="s">
        <v>66</v>
      </c>
      <c r="H9" s="59">
        <v>10.0</v>
      </c>
      <c r="I9" s="59" t="s">
        <v>56</v>
      </c>
    </row>
    <row r="10">
      <c r="A10" s="59" t="s">
        <v>57</v>
      </c>
      <c r="B10" s="59" t="s">
        <v>67</v>
      </c>
      <c r="C10" s="59">
        <v>5.0</v>
      </c>
      <c r="D10" s="59" t="s">
        <v>49</v>
      </c>
      <c r="G10" s="59" t="s">
        <v>68</v>
      </c>
      <c r="H10" s="59">
        <v>-45.0</v>
      </c>
      <c r="I10" s="59" t="s">
        <v>56</v>
      </c>
    </row>
    <row r="11">
      <c r="A11" s="59" t="s">
        <v>57</v>
      </c>
      <c r="B11" s="59" t="s">
        <v>69</v>
      </c>
      <c r="C11" s="59">
        <v>5.0</v>
      </c>
      <c r="D11" s="59" t="s">
        <v>49</v>
      </c>
      <c r="G11" s="59" t="s">
        <v>70</v>
      </c>
      <c r="H11" s="59">
        <v>20.0</v>
      </c>
      <c r="I11" s="59" t="s">
        <v>50</v>
      </c>
      <c r="J11" s="59">
        <v>30.0</v>
      </c>
    </row>
    <row r="12">
      <c r="A12" s="59" t="s">
        <v>57</v>
      </c>
      <c r="B12" s="59" t="s">
        <v>71</v>
      </c>
      <c r="C12" s="59">
        <v>5.0</v>
      </c>
      <c r="D12" s="59" t="s">
        <v>49</v>
      </c>
    </row>
    <row r="13">
      <c r="A13" s="59" t="s">
        <v>57</v>
      </c>
      <c r="B13" s="59" t="s">
        <v>72</v>
      </c>
      <c r="C13" s="59">
        <v>5.0</v>
      </c>
      <c r="D13" s="59" t="s">
        <v>49</v>
      </c>
    </row>
    <row r="14">
      <c r="A14" s="59" t="s">
        <v>57</v>
      </c>
      <c r="B14" s="59" t="s">
        <v>73</v>
      </c>
      <c r="C14" s="59">
        <v>5.0</v>
      </c>
      <c r="D14" s="59" t="s">
        <v>53</v>
      </c>
    </row>
    <row r="15">
      <c r="A15" s="59" t="s">
        <v>57</v>
      </c>
      <c r="B15" s="59" t="s">
        <v>74</v>
      </c>
      <c r="C15" s="59">
        <v>5.0</v>
      </c>
      <c r="D15" s="59" t="s">
        <v>49</v>
      </c>
    </row>
    <row r="16">
      <c r="A16" s="59" t="s">
        <v>57</v>
      </c>
      <c r="B16" s="59" t="s">
        <v>75</v>
      </c>
      <c r="C16" s="59">
        <v>5.0</v>
      </c>
      <c r="D16" s="59" t="s">
        <v>53</v>
      </c>
    </row>
    <row r="17">
      <c r="A17" s="59" t="s">
        <v>57</v>
      </c>
      <c r="B17" s="59" t="s">
        <v>76</v>
      </c>
      <c r="C17" s="59">
        <v>5.0</v>
      </c>
      <c r="D17" s="59" t="s">
        <v>53</v>
      </c>
    </row>
    <row r="18">
      <c r="A18" s="59" t="s">
        <v>57</v>
      </c>
      <c r="B18" s="59" t="s">
        <v>77</v>
      </c>
      <c r="C18" s="59">
        <v>5.0</v>
      </c>
      <c r="D18" s="59" t="s">
        <v>53</v>
      </c>
    </row>
    <row r="19">
      <c r="A19" s="59" t="s">
        <v>57</v>
      </c>
      <c r="B19" s="59" t="s">
        <v>78</v>
      </c>
      <c r="C19" s="59">
        <v>5.0</v>
      </c>
      <c r="D19" s="59" t="s">
        <v>53</v>
      </c>
    </row>
    <row r="20">
      <c r="A20" s="59" t="s">
        <v>79</v>
      </c>
      <c r="B20" s="59" t="s">
        <v>80</v>
      </c>
      <c r="C20" s="59">
        <v>20.0</v>
      </c>
      <c r="D20" s="59" t="s">
        <v>49</v>
      </c>
    </row>
    <row r="21">
      <c r="A21" s="59" t="s">
        <v>81</v>
      </c>
      <c r="B21" s="59" t="s">
        <v>82</v>
      </c>
      <c r="C21" s="59">
        <v>2.0</v>
      </c>
      <c r="D21" s="59" t="s">
        <v>49</v>
      </c>
    </row>
    <row r="22">
      <c r="A22" s="59" t="s">
        <v>83</v>
      </c>
      <c r="B22" s="59" t="s">
        <v>82</v>
      </c>
      <c r="C22" s="59">
        <v>5.0</v>
      </c>
      <c r="D22" s="59" t="s">
        <v>49</v>
      </c>
    </row>
    <row r="23">
      <c r="A23" s="59" t="s">
        <v>84</v>
      </c>
      <c r="B23" s="59" t="s">
        <v>85</v>
      </c>
      <c r="C23" s="59">
        <v>20.0</v>
      </c>
      <c r="D23" s="59" t="s">
        <v>49</v>
      </c>
    </row>
    <row r="24">
      <c r="A24" s="59" t="s">
        <v>86</v>
      </c>
      <c r="B24" s="59" t="s">
        <v>87</v>
      </c>
      <c r="C24" s="59">
        <v>20.0</v>
      </c>
      <c r="D24" s="59" t="s">
        <v>49</v>
      </c>
    </row>
    <row r="25">
      <c r="A25" s="59" t="s">
        <v>81</v>
      </c>
      <c r="B25" s="59" t="s">
        <v>58</v>
      </c>
      <c r="C25" s="59">
        <v>5.0</v>
      </c>
      <c r="D25" s="59" t="s">
        <v>53</v>
      </c>
    </row>
    <row r="26">
      <c r="A26" s="59" t="s">
        <v>81</v>
      </c>
      <c r="B26" s="59" t="s">
        <v>60</v>
      </c>
      <c r="C26" s="59">
        <v>5.0</v>
      </c>
      <c r="D26" s="59" t="s">
        <v>49</v>
      </c>
    </row>
    <row r="27">
      <c r="A27" s="59" t="s">
        <v>81</v>
      </c>
      <c r="B27" s="59" t="s">
        <v>62</v>
      </c>
      <c r="C27" s="59">
        <v>5.0</v>
      </c>
      <c r="D27" s="59" t="s">
        <v>49</v>
      </c>
    </row>
    <row r="28">
      <c r="A28" s="59" t="s">
        <v>81</v>
      </c>
      <c r="B28" s="59" t="s">
        <v>65</v>
      </c>
      <c r="C28" s="59">
        <v>5.0</v>
      </c>
      <c r="D28" s="59" t="s">
        <v>49</v>
      </c>
    </row>
    <row r="29">
      <c r="A29" s="59" t="s">
        <v>81</v>
      </c>
      <c r="B29" s="59" t="s">
        <v>67</v>
      </c>
      <c r="C29" s="59">
        <v>5.0</v>
      </c>
      <c r="D29" s="59" t="s">
        <v>49</v>
      </c>
    </row>
    <row r="30">
      <c r="A30" s="59" t="s">
        <v>81</v>
      </c>
      <c r="B30" s="59" t="s">
        <v>69</v>
      </c>
      <c r="C30" s="59">
        <v>5.0</v>
      </c>
      <c r="D30" s="59" t="s">
        <v>49</v>
      </c>
    </row>
    <row r="31">
      <c r="A31" s="59" t="s">
        <v>81</v>
      </c>
      <c r="B31" s="59" t="s">
        <v>88</v>
      </c>
      <c r="C31" s="59">
        <v>5.0</v>
      </c>
      <c r="D31" s="59" t="s">
        <v>53</v>
      </c>
    </row>
    <row r="32">
      <c r="A32" s="59" t="s">
        <v>89</v>
      </c>
      <c r="B32" s="59" t="s">
        <v>90</v>
      </c>
      <c r="C32" s="59">
        <v>5.0</v>
      </c>
      <c r="D32" s="59" t="s">
        <v>49</v>
      </c>
    </row>
    <row r="33">
      <c r="A33" s="59" t="s">
        <v>91</v>
      </c>
      <c r="B33" s="59" t="s">
        <v>92</v>
      </c>
      <c r="C33" s="59">
        <v>20.0</v>
      </c>
      <c r="D33" s="59" t="s">
        <v>53</v>
      </c>
    </row>
    <row r="34">
      <c r="A34" s="59" t="s">
        <v>91</v>
      </c>
      <c r="B34" s="59" t="s">
        <v>87</v>
      </c>
      <c r="C34" s="59">
        <v>5.0</v>
      </c>
      <c r="D34" s="59" t="s">
        <v>49</v>
      </c>
    </row>
    <row r="35">
      <c r="A35" s="59" t="s">
        <v>91</v>
      </c>
      <c r="B35" s="59" t="s">
        <v>93</v>
      </c>
      <c r="C35" s="59">
        <v>5.0</v>
      </c>
      <c r="D35" s="59" t="s">
        <v>49</v>
      </c>
    </row>
    <row r="36">
      <c r="A36" s="59" t="s">
        <v>91</v>
      </c>
      <c r="B36" s="59" t="s">
        <v>94</v>
      </c>
      <c r="C36" s="59">
        <v>5.0</v>
      </c>
      <c r="D36" s="59" t="s">
        <v>49</v>
      </c>
    </row>
    <row r="37">
      <c r="A37" s="59" t="s">
        <v>91</v>
      </c>
      <c r="B37" s="59" t="s">
        <v>95</v>
      </c>
      <c r="C37" s="59">
        <v>5.0</v>
      </c>
      <c r="D37" s="59" t="s">
        <v>49</v>
      </c>
    </row>
    <row r="38">
      <c r="A38" s="59" t="s">
        <v>91</v>
      </c>
      <c r="B38" s="59" t="s">
        <v>96</v>
      </c>
      <c r="C38" s="59">
        <v>10.0</v>
      </c>
      <c r="D38" s="59" t="s">
        <v>53</v>
      </c>
    </row>
    <row r="39">
      <c r="A39" s="59" t="s">
        <v>97</v>
      </c>
      <c r="B39" s="59" t="s">
        <v>98</v>
      </c>
      <c r="C39" s="59">
        <v>20.0</v>
      </c>
      <c r="D39" s="59" t="s">
        <v>49</v>
      </c>
    </row>
    <row r="40">
      <c r="A40" s="59" t="s">
        <v>97</v>
      </c>
      <c r="B40" s="59" t="s">
        <v>99</v>
      </c>
      <c r="C40" s="59">
        <v>20.0</v>
      </c>
      <c r="D40" s="59" t="s">
        <v>49</v>
      </c>
    </row>
    <row r="41">
      <c r="A41" s="59" t="s">
        <v>97</v>
      </c>
      <c r="B41" s="59" t="s">
        <v>82</v>
      </c>
      <c r="C41" s="59">
        <v>5.0</v>
      </c>
      <c r="D41" s="59" t="s">
        <v>49</v>
      </c>
    </row>
    <row r="42">
      <c r="A42" s="59" t="s">
        <v>84</v>
      </c>
      <c r="B42" s="59" t="s">
        <v>92</v>
      </c>
      <c r="C42" s="59">
        <v>20.0</v>
      </c>
      <c r="D42" s="59" t="s">
        <v>53</v>
      </c>
    </row>
    <row r="43">
      <c r="A43" s="59" t="s">
        <v>100</v>
      </c>
      <c r="B43" s="59" t="s">
        <v>92</v>
      </c>
      <c r="C43" s="59">
        <v>20.0</v>
      </c>
      <c r="D43" s="59" t="s">
        <v>53</v>
      </c>
    </row>
    <row r="44">
      <c r="A44" s="59" t="s">
        <v>100</v>
      </c>
      <c r="B44" s="59" t="s">
        <v>101</v>
      </c>
      <c r="C44" s="59">
        <v>5.0</v>
      </c>
      <c r="D44" s="59" t="s">
        <v>53</v>
      </c>
    </row>
    <row r="45">
      <c r="A45" s="59" t="s">
        <v>100</v>
      </c>
      <c r="B45" s="59" t="s">
        <v>102</v>
      </c>
      <c r="C45" s="59">
        <v>5.0</v>
      </c>
      <c r="D45" s="59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22.5"/>
    <col customWidth="1" min="3" max="7" width="25.63"/>
    <col customWidth="1" min="8" max="8" width="7.63"/>
    <col customWidth="1" min="9" max="9" width="87.75"/>
  </cols>
  <sheetData>
    <row r="1" ht="15.0" customHeight="1"/>
    <row r="2">
      <c r="C2" s="66" t="s">
        <v>103</v>
      </c>
      <c r="D2" s="108" t="s">
        <v>104</v>
      </c>
      <c r="E2" s="108" t="s">
        <v>104</v>
      </c>
      <c r="F2" s="108" t="s">
        <v>104</v>
      </c>
      <c r="G2" s="109" t="s">
        <v>105</v>
      </c>
      <c r="I2" s="66" t="s">
        <v>106</v>
      </c>
    </row>
    <row r="3">
      <c r="B3" s="110"/>
      <c r="C3" s="66" t="s">
        <v>107</v>
      </c>
      <c r="D3" s="10">
        <v>6228.0</v>
      </c>
      <c r="E3" s="69">
        <v>6228.0</v>
      </c>
      <c r="F3" s="69">
        <v>6352.0</v>
      </c>
      <c r="G3" s="111">
        <v>6501.0</v>
      </c>
      <c r="I3" s="69" t="s">
        <v>108</v>
      </c>
    </row>
    <row r="4">
      <c r="B4" s="110"/>
      <c r="C4" s="66" t="s">
        <v>109</v>
      </c>
      <c r="D4" s="10">
        <v>143.0</v>
      </c>
      <c r="E4" s="69">
        <v>143.0</v>
      </c>
      <c r="F4" s="69">
        <v>132.0</v>
      </c>
      <c r="G4" s="111">
        <v>133.0</v>
      </c>
      <c r="I4" s="69" t="s">
        <v>110</v>
      </c>
    </row>
    <row r="5">
      <c r="B5" s="110"/>
      <c r="C5" s="66" t="s">
        <v>111</v>
      </c>
      <c r="D5" s="10">
        <v>71.0</v>
      </c>
      <c r="E5" s="69">
        <v>71.0</v>
      </c>
      <c r="F5" s="69">
        <v>70.3</v>
      </c>
      <c r="G5" s="111">
        <v>71.0</v>
      </c>
      <c r="I5" s="69" t="s">
        <v>112</v>
      </c>
    </row>
    <row r="6">
      <c r="B6" s="112">
        <v>0.9</v>
      </c>
      <c r="C6" s="66" t="s">
        <v>113</v>
      </c>
      <c r="D6" s="10">
        <v>72.0</v>
      </c>
      <c r="E6" s="69">
        <v>72.0</v>
      </c>
      <c r="F6" s="69">
        <v>73.0</v>
      </c>
      <c r="G6" s="111">
        <v>72.0</v>
      </c>
      <c r="I6" s="69" t="s">
        <v>114</v>
      </c>
    </row>
    <row r="7">
      <c r="B7" s="113" t="s">
        <v>115</v>
      </c>
      <c r="C7" s="114" t="s">
        <v>116</v>
      </c>
      <c r="D7" s="66" t="s">
        <v>117</v>
      </c>
      <c r="E7" s="66" t="s">
        <v>117</v>
      </c>
      <c r="F7" s="66" t="s">
        <v>118</v>
      </c>
      <c r="G7" s="77" t="s">
        <v>119</v>
      </c>
      <c r="I7" s="69" t="s">
        <v>120</v>
      </c>
    </row>
    <row r="8">
      <c r="B8" s="69" t="s">
        <v>121</v>
      </c>
      <c r="C8" s="86">
        <v>0.4</v>
      </c>
      <c r="D8" s="115">
        <f t="shared" ref="D8:G8" si="1">ROUND(ROUND($C8*(D$4/113)+(D$5-D$6),0)*$B$6,0)</f>
        <v>0</v>
      </c>
      <c r="E8" s="116">
        <f t="shared" si="1"/>
        <v>0</v>
      </c>
      <c r="F8" s="116">
        <f t="shared" si="1"/>
        <v>-2</v>
      </c>
      <c r="G8" s="117">
        <f t="shared" si="1"/>
        <v>-1</v>
      </c>
      <c r="I8" s="69" t="s">
        <v>122</v>
      </c>
    </row>
    <row r="9">
      <c r="B9" s="69" t="s">
        <v>123</v>
      </c>
      <c r="C9" s="86">
        <v>1.5</v>
      </c>
      <c r="D9" s="115">
        <f t="shared" ref="D9:G9" si="2">ROUND(ROUND($C9*(D$4/113)+(D$5-D$6),0)*$B$6,0)</f>
        <v>1</v>
      </c>
      <c r="E9" s="116">
        <f t="shared" si="2"/>
        <v>1</v>
      </c>
      <c r="F9" s="116">
        <f t="shared" si="2"/>
        <v>-1</v>
      </c>
      <c r="G9" s="117">
        <f t="shared" si="2"/>
        <v>1</v>
      </c>
      <c r="I9" s="69" t="s">
        <v>124</v>
      </c>
    </row>
    <row r="10">
      <c r="B10" s="69" t="s">
        <v>57</v>
      </c>
      <c r="C10" s="86">
        <v>6.8</v>
      </c>
      <c r="D10" s="115">
        <f t="shared" ref="D10:G10" si="3">ROUND(ROUND($C10*(D$4/113)+(D$5-D$6),0)*$B$6,0)</f>
        <v>7</v>
      </c>
      <c r="E10" s="116">
        <f t="shared" si="3"/>
        <v>7</v>
      </c>
      <c r="F10" s="116">
        <f t="shared" si="3"/>
        <v>5</v>
      </c>
      <c r="G10" s="117">
        <f t="shared" si="3"/>
        <v>6</v>
      </c>
      <c r="I10" s="69" t="s">
        <v>125</v>
      </c>
    </row>
    <row r="11">
      <c r="B11" s="69" t="s">
        <v>126</v>
      </c>
      <c r="C11" s="86">
        <v>6.8</v>
      </c>
      <c r="D11" s="115">
        <f t="shared" ref="D11:G11" si="4">ROUND(ROUND($C11*(D$4/113)+(D$5-D$6),0)*$B$6,0)</f>
        <v>7</v>
      </c>
      <c r="E11" s="116">
        <f t="shared" si="4"/>
        <v>7</v>
      </c>
      <c r="F11" s="116">
        <f t="shared" si="4"/>
        <v>5</v>
      </c>
      <c r="G11" s="117">
        <f t="shared" si="4"/>
        <v>6</v>
      </c>
      <c r="I11" s="90" t="s">
        <v>127</v>
      </c>
    </row>
    <row r="12">
      <c r="B12" s="69" t="s">
        <v>83</v>
      </c>
      <c r="C12" s="86">
        <v>7.1</v>
      </c>
      <c r="D12" s="115">
        <f t="shared" ref="D12:G12" si="5">ROUND(ROUND($C12*(D$4/113)+(D$5-D$6),0)*$B$6,0)</f>
        <v>7</v>
      </c>
      <c r="E12" s="116">
        <f t="shared" si="5"/>
        <v>7</v>
      </c>
      <c r="F12" s="116">
        <f t="shared" si="5"/>
        <v>5</v>
      </c>
      <c r="G12" s="117">
        <f t="shared" si="5"/>
        <v>6</v>
      </c>
    </row>
    <row r="13">
      <c r="B13" s="69" t="s">
        <v>81</v>
      </c>
      <c r="C13" s="86">
        <v>7.3</v>
      </c>
      <c r="D13" s="115">
        <f t="shared" ref="D13:G13" si="6">ROUND(ROUND($C13*(D$4/113)+(D$5-D$6),0)*$B$6,0)</f>
        <v>7</v>
      </c>
      <c r="E13" s="116">
        <f t="shared" si="6"/>
        <v>7</v>
      </c>
      <c r="F13" s="116">
        <f t="shared" si="6"/>
        <v>5</v>
      </c>
      <c r="G13" s="117">
        <f t="shared" si="6"/>
        <v>7</v>
      </c>
    </row>
    <row r="14">
      <c r="B14" s="69" t="s">
        <v>128</v>
      </c>
      <c r="C14" s="86">
        <v>8.4</v>
      </c>
      <c r="D14" s="115">
        <f t="shared" ref="D14:G14" si="7">ROUND(ROUND($C14*(D$4/113)+(D$5-D$6),0)*$B$6,0)</f>
        <v>9</v>
      </c>
      <c r="E14" s="116">
        <f t="shared" si="7"/>
        <v>9</v>
      </c>
      <c r="F14" s="116">
        <f t="shared" si="7"/>
        <v>6</v>
      </c>
      <c r="G14" s="117">
        <f t="shared" si="7"/>
        <v>8</v>
      </c>
    </row>
    <row r="15">
      <c r="B15" s="69" t="s">
        <v>84</v>
      </c>
      <c r="C15" s="86">
        <v>10.4</v>
      </c>
      <c r="D15" s="115">
        <f t="shared" ref="D15:G15" si="8">ROUND(ROUND($C15*(D$4/113)+(D$5-D$6),0)*$B$6,0)</f>
        <v>11</v>
      </c>
      <c r="E15" s="116">
        <f t="shared" si="8"/>
        <v>11</v>
      </c>
      <c r="F15" s="116">
        <f t="shared" si="8"/>
        <v>8</v>
      </c>
      <c r="G15" s="117">
        <f t="shared" si="8"/>
        <v>10</v>
      </c>
    </row>
    <row r="16">
      <c r="B16" s="69" t="s">
        <v>79</v>
      </c>
      <c r="C16" s="86">
        <v>11.8</v>
      </c>
      <c r="D16" s="115">
        <f t="shared" ref="D16:G16" si="9">ROUND(ROUND($C16*(D$4/113)+(D$5-D$6),0)*$B$6,0)</f>
        <v>13</v>
      </c>
      <c r="E16" s="116">
        <f t="shared" si="9"/>
        <v>13</v>
      </c>
      <c r="F16" s="116">
        <f t="shared" si="9"/>
        <v>10</v>
      </c>
      <c r="G16" s="117">
        <f t="shared" si="9"/>
        <v>12</v>
      </c>
    </row>
    <row r="17">
      <c r="B17" s="69" t="s">
        <v>97</v>
      </c>
      <c r="C17" s="86">
        <v>13.0</v>
      </c>
      <c r="D17" s="115">
        <f t="shared" ref="D17:G17" si="10">ROUND(ROUND($C17*(D$4/113)+(D$5-D$6),0)*$B$6,0)</f>
        <v>14</v>
      </c>
      <c r="E17" s="116">
        <f t="shared" si="10"/>
        <v>14</v>
      </c>
      <c r="F17" s="116">
        <f t="shared" si="10"/>
        <v>11</v>
      </c>
      <c r="G17" s="117">
        <f t="shared" si="10"/>
        <v>13</v>
      </c>
    </row>
    <row r="18">
      <c r="B18" s="69" t="s">
        <v>129</v>
      </c>
      <c r="C18" s="86">
        <v>13.6</v>
      </c>
      <c r="D18" s="115">
        <f t="shared" ref="D18:G18" si="11">ROUND(ROUND($C18*(D$4/113)+(D$5-D$6),0)*$B$6,0)</f>
        <v>14</v>
      </c>
      <c r="E18" s="116">
        <f t="shared" si="11"/>
        <v>14</v>
      </c>
      <c r="F18" s="116">
        <f t="shared" si="11"/>
        <v>12</v>
      </c>
      <c r="G18" s="117">
        <f t="shared" si="11"/>
        <v>14</v>
      </c>
    </row>
    <row r="19">
      <c r="B19" s="69" t="s">
        <v>100</v>
      </c>
      <c r="C19" s="86">
        <v>13.7</v>
      </c>
      <c r="D19" s="115">
        <f t="shared" ref="D19:G19" si="12">ROUND(ROUND($C19*(D$4/113)+(D$5-D$6),0)*$B$6,0)</f>
        <v>14</v>
      </c>
      <c r="E19" s="116">
        <f t="shared" si="12"/>
        <v>14</v>
      </c>
      <c r="F19" s="116">
        <f t="shared" si="12"/>
        <v>12</v>
      </c>
      <c r="G19" s="117">
        <f t="shared" si="12"/>
        <v>14</v>
      </c>
    </row>
    <row r="20">
      <c r="B20" s="69" t="s">
        <v>91</v>
      </c>
      <c r="C20" s="86">
        <v>19.0</v>
      </c>
      <c r="D20" s="115">
        <f t="shared" ref="D20:G20" si="13">ROUND(ROUND($C20*(D$4/113)+(D$5-D$6),0)*$B$6,0)</f>
        <v>21</v>
      </c>
      <c r="E20" s="116">
        <f t="shared" si="13"/>
        <v>21</v>
      </c>
      <c r="F20" s="116">
        <f t="shared" si="13"/>
        <v>17</v>
      </c>
      <c r="G20" s="117">
        <f t="shared" si="13"/>
        <v>19</v>
      </c>
    </row>
    <row r="21" ht="15.75" customHeight="1">
      <c r="B21" s="69" t="s">
        <v>130</v>
      </c>
      <c r="C21" s="86">
        <v>19.0</v>
      </c>
      <c r="D21" s="115">
        <f t="shared" ref="D21:G21" si="14">ROUND(ROUND($C21*(D$4/113)+(D$5-D$6),0)*$B$6,0)</f>
        <v>21</v>
      </c>
      <c r="E21" s="116">
        <f t="shared" si="14"/>
        <v>21</v>
      </c>
      <c r="F21" s="116">
        <f t="shared" si="14"/>
        <v>17</v>
      </c>
      <c r="G21" s="117">
        <f t="shared" si="14"/>
        <v>19</v>
      </c>
    </row>
    <row r="22" ht="15.75" customHeight="1">
      <c r="B22" s="69" t="s">
        <v>131</v>
      </c>
      <c r="C22" s="86">
        <v>19.1</v>
      </c>
      <c r="D22" s="115">
        <f t="shared" ref="D22:G22" si="15">ROUND(ROUND($C22*(D$4/113)+(D$5-D$6),0)*$B$6,0)</f>
        <v>21</v>
      </c>
      <c r="E22" s="116">
        <f t="shared" si="15"/>
        <v>21</v>
      </c>
      <c r="F22" s="116">
        <f t="shared" si="15"/>
        <v>18</v>
      </c>
      <c r="G22" s="117">
        <f t="shared" si="15"/>
        <v>19</v>
      </c>
    </row>
    <row r="23" ht="15.75" customHeight="1">
      <c r="B23" s="90" t="s">
        <v>86</v>
      </c>
      <c r="C23" s="93">
        <v>22.2</v>
      </c>
      <c r="D23" s="118">
        <f t="shared" ref="D23:G23" si="16">ROUND(ROUND($C23*(D$4/113)+(D$5-D$6),0)*$B$6,0)</f>
        <v>24</v>
      </c>
      <c r="E23" s="119">
        <f t="shared" si="16"/>
        <v>24</v>
      </c>
      <c r="F23" s="119">
        <f t="shared" si="16"/>
        <v>21</v>
      </c>
      <c r="G23" s="120">
        <f t="shared" si="16"/>
        <v>23</v>
      </c>
    </row>
    <row r="24" ht="6.75" customHeight="1"/>
    <row r="25" ht="15.75" hidden="1" customHeight="1"/>
    <row r="26" ht="15.75" customHeight="1">
      <c r="B26" s="121" t="s">
        <v>132</v>
      </c>
    </row>
    <row r="27" ht="15.75" customHeight="1"/>
    <row r="28">
      <c r="B28" s="122" t="s">
        <v>133</v>
      </c>
      <c r="C28" s="123"/>
      <c r="D28" s="123"/>
      <c r="E28" s="123"/>
      <c r="F28" s="123"/>
      <c r="G28" s="124"/>
      <c r="I28" s="10"/>
    </row>
    <row r="29">
      <c r="B29" s="125"/>
      <c r="G29" s="126"/>
      <c r="I29" s="10"/>
    </row>
    <row r="30">
      <c r="B30" s="125"/>
      <c r="G30" s="126"/>
      <c r="I30" s="10"/>
    </row>
    <row r="31">
      <c r="B31" s="127"/>
      <c r="C31" s="128"/>
      <c r="D31" s="128"/>
      <c r="E31" s="128"/>
      <c r="F31" s="128"/>
      <c r="G31" s="129"/>
      <c r="I31" s="10"/>
    </row>
    <row r="32">
      <c r="B32" s="130" t="s">
        <v>115</v>
      </c>
      <c r="C32" s="131" t="s">
        <v>116</v>
      </c>
      <c r="D32" s="131" t="s">
        <v>117</v>
      </c>
      <c r="E32" s="131" t="s">
        <v>117</v>
      </c>
      <c r="F32" s="131" t="s">
        <v>118</v>
      </c>
      <c r="G32" s="132" t="s">
        <v>119</v>
      </c>
      <c r="I32" s="10"/>
    </row>
    <row r="33">
      <c r="B33" s="133" t="s">
        <v>121</v>
      </c>
      <c r="C33" s="86">
        <v>0.4</v>
      </c>
      <c r="D33" s="115">
        <f t="shared" ref="D33:G33" si="17">ROUND(ROUND($C33*(D$4/113)+(D$5-D$6),0),0)</f>
        <v>0</v>
      </c>
      <c r="E33" s="116">
        <f t="shared" si="17"/>
        <v>0</v>
      </c>
      <c r="F33" s="116">
        <f t="shared" si="17"/>
        <v>-2</v>
      </c>
      <c r="G33" s="134">
        <f t="shared" si="17"/>
        <v>-1</v>
      </c>
      <c r="I33" s="10"/>
    </row>
    <row r="34">
      <c r="B34" s="133" t="s">
        <v>123</v>
      </c>
      <c r="C34" s="86">
        <v>1.5</v>
      </c>
      <c r="D34" s="115">
        <f t="shared" ref="D34:G34" si="18">ROUND(ROUND($C34*(D$4/113)+(D$5-D$6),0),0)</f>
        <v>1</v>
      </c>
      <c r="E34" s="116">
        <f t="shared" si="18"/>
        <v>1</v>
      </c>
      <c r="F34" s="116">
        <f t="shared" si="18"/>
        <v>-1</v>
      </c>
      <c r="G34" s="134">
        <f t="shared" si="18"/>
        <v>1</v>
      </c>
      <c r="I34" s="10"/>
    </row>
    <row r="35">
      <c r="B35" s="133" t="s">
        <v>57</v>
      </c>
      <c r="C35" s="86">
        <v>6.8</v>
      </c>
      <c r="D35" s="115">
        <f t="shared" ref="D35:G35" si="19">ROUND(ROUND($C35*(D$4/113)+(D$5-D$6),0),0)</f>
        <v>8</v>
      </c>
      <c r="E35" s="116">
        <f t="shared" si="19"/>
        <v>8</v>
      </c>
      <c r="F35" s="116">
        <f t="shared" si="19"/>
        <v>5</v>
      </c>
      <c r="G35" s="134">
        <f t="shared" si="19"/>
        <v>7</v>
      </c>
      <c r="I35" s="10"/>
    </row>
    <row r="36">
      <c r="B36" s="133" t="s">
        <v>126</v>
      </c>
      <c r="C36" s="86">
        <v>6.8</v>
      </c>
      <c r="D36" s="115">
        <f t="shared" ref="D36:G36" si="20">ROUND(ROUND($C36*(D$4/113)+(D$5-D$6),0),0)</f>
        <v>8</v>
      </c>
      <c r="E36" s="116">
        <f t="shared" si="20"/>
        <v>8</v>
      </c>
      <c r="F36" s="116">
        <f t="shared" si="20"/>
        <v>5</v>
      </c>
      <c r="G36" s="134">
        <f t="shared" si="20"/>
        <v>7</v>
      </c>
      <c r="I36" s="10"/>
    </row>
    <row r="37">
      <c r="B37" s="133" t="s">
        <v>83</v>
      </c>
      <c r="C37" s="86">
        <v>7.1</v>
      </c>
      <c r="D37" s="115">
        <f t="shared" ref="D37:G37" si="21">ROUND(ROUND($C37*(D$4/113)+(D$5-D$6),0),0)</f>
        <v>8</v>
      </c>
      <c r="E37" s="116">
        <f t="shared" si="21"/>
        <v>8</v>
      </c>
      <c r="F37" s="116">
        <f t="shared" si="21"/>
        <v>6</v>
      </c>
      <c r="G37" s="134">
        <f t="shared" si="21"/>
        <v>7</v>
      </c>
    </row>
    <row r="38">
      <c r="B38" s="133" t="s">
        <v>81</v>
      </c>
      <c r="C38" s="86">
        <v>7.3</v>
      </c>
      <c r="D38" s="115">
        <f t="shared" ref="D38:G38" si="22">ROUND(ROUND($C38*(D$4/113)+(D$5-D$6),0),0)</f>
        <v>8</v>
      </c>
      <c r="E38" s="116">
        <f t="shared" si="22"/>
        <v>8</v>
      </c>
      <c r="F38" s="116">
        <f t="shared" si="22"/>
        <v>6</v>
      </c>
      <c r="G38" s="134">
        <f t="shared" si="22"/>
        <v>8</v>
      </c>
    </row>
    <row r="39">
      <c r="B39" s="133" t="s">
        <v>128</v>
      </c>
      <c r="C39" s="86">
        <v>8.4</v>
      </c>
      <c r="D39" s="115">
        <f t="shared" ref="D39:G39" si="23">ROUND(ROUND($C39*(D$4/113)+(D$5-D$6),0),0)</f>
        <v>10</v>
      </c>
      <c r="E39" s="116">
        <f t="shared" si="23"/>
        <v>10</v>
      </c>
      <c r="F39" s="116">
        <f t="shared" si="23"/>
        <v>7</v>
      </c>
      <c r="G39" s="134">
        <f t="shared" si="23"/>
        <v>9</v>
      </c>
    </row>
    <row r="40">
      <c r="B40" s="133" t="s">
        <v>84</v>
      </c>
      <c r="C40" s="86">
        <v>10.4</v>
      </c>
      <c r="D40" s="115">
        <f t="shared" ref="D40:G40" si="24">ROUND(ROUND($C40*(D$4/113)+(D$5-D$6),0),0)</f>
        <v>12</v>
      </c>
      <c r="E40" s="116">
        <f t="shared" si="24"/>
        <v>12</v>
      </c>
      <c r="F40" s="116">
        <f t="shared" si="24"/>
        <v>9</v>
      </c>
      <c r="G40" s="134">
        <f t="shared" si="24"/>
        <v>11</v>
      </c>
    </row>
    <row r="41">
      <c r="B41" s="133" t="s">
        <v>79</v>
      </c>
      <c r="C41" s="86">
        <v>11.8</v>
      </c>
      <c r="D41" s="115">
        <f t="shared" ref="D41:G41" si="25">ROUND(ROUND($C41*(D$4/113)+(D$5-D$6),0),0)</f>
        <v>14</v>
      </c>
      <c r="E41" s="116">
        <f t="shared" si="25"/>
        <v>14</v>
      </c>
      <c r="F41" s="116">
        <f t="shared" si="25"/>
        <v>11</v>
      </c>
      <c r="G41" s="134">
        <f t="shared" si="25"/>
        <v>13</v>
      </c>
    </row>
    <row r="42">
      <c r="B42" s="133" t="s">
        <v>97</v>
      </c>
      <c r="C42" s="86">
        <v>13.0</v>
      </c>
      <c r="D42" s="115">
        <f t="shared" ref="D42:G42" si="26">ROUND(ROUND($C42*(D$4/113)+(D$5-D$6),0),0)</f>
        <v>15</v>
      </c>
      <c r="E42" s="116">
        <f t="shared" si="26"/>
        <v>15</v>
      </c>
      <c r="F42" s="116">
        <f t="shared" si="26"/>
        <v>12</v>
      </c>
      <c r="G42" s="134">
        <f t="shared" si="26"/>
        <v>14</v>
      </c>
    </row>
    <row r="43">
      <c r="B43" s="133" t="s">
        <v>129</v>
      </c>
      <c r="C43" s="86">
        <v>13.6</v>
      </c>
      <c r="D43" s="115">
        <f t="shared" ref="D43:G43" si="27">ROUND(ROUND($C43*(D$4/113)+(D$5-D$6),0),0)</f>
        <v>16</v>
      </c>
      <c r="E43" s="116">
        <f t="shared" si="27"/>
        <v>16</v>
      </c>
      <c r="F43" s="116">
        <f t="shared" si="27"/>
        <v>13</v>
      </c>
      <c r="G43" s="134">
        <f t="shared" si="27"/>
        <v>15</v>
      </c>
    </row>
    <row r="44">
      <c r="B44" s="133" t="s">
        <v>100</v>
      </c>
      <c r="C44" s="86">
        <v>13.7</v>
      </c>
      <c r="D44" s="115">
        <f t="shared" ref="D44:G44" si="28">ROUND(ROUND($C44*(D$4/113)+(D$5-D$6),0),0)</f>
        <v>16</v>
      </c>
      <c r="E44" s="116">
        <f t="shared" si="28"/>
        <v>16</v>
      </c>
      <c r="F44" s="116">
        <f t="shared" si="28"/>
        <v>13</v>
      </c>
      <c r="G44" s="134">
        <f t="shared" si="28"/>
        <v>15</v>
      </c>
    </row>
    <row r="45">
      <c r="B45" s="133" t="s">
        <v>91</v>
      </c>
      <c r="C45" s="86">
        <v>19.0</v>
      </c>
      <c r="D45" s="115">
        <f t="shared" ref="D45:G45" si="29">ROUND(ROUND($C45*(D$4/113)+(D$5-D$6),0),0)</f>
        <v>23</v>
      </c>
      <c r="E45" s="116">
        <f t="shared" si="29"/>
        <v>23</v>
      </c>
      <c r="F45" s="116">
        <f t="shared" si="29"/>
        <v>19</v>
      </c>
      <c r="G45" s="134">
        <f t="shared" si="29"/>
        <v>21</v>
      </c>
    </row>
    <row r="46" ht="15.75" customHeight="1">
      <c r="B46" s="133" t="s">
        <v>130</v>
      </c>
      <c r="C46" s="86">
        <v>19.0</v>
      </c>
      <c r="D46" s="115">
        <f t="shared" ref="D46:G46" si="30">ROUND(ROUND($C46*(D$4/113)+(D$5-D$6),0),0)</f>
        <v>23</v>
      </c>
      <c r="E46" s="116">
        <f t="shared" si="30"/>
        <v>23</v>
      </c>
      <c r="F46" s="116">
        <f t="shared" si="30"/>
        <v>19</v>
      </c>
      <c r="G46" s="134">
        <f t="shared" si="30"/>
        <v>21</v>
      </c>
    </row>
    <row r="47" ht="15.75" customHeight="1">
      <c r="B47" s="133" t="s">
        <v>131</v>
      </c>
      <c r="C47" s="86">
        <v>19.1</v>
      </c>
      <c r="D47" s="115">
        <f t="shared" ref="D47:G47" si="31">ROUND(ROUND($C47*(D$4/113)+(D$5-D$6),0),0)</f>
        <v>23</v>
      </c>
      <c r="E47" s="116">
        <f t="shared" si="31"/>
        <v>23</v>
      </c>
      <c r="F47" s="116">
        <f t="shared" si="31"/>
        <v>20</v>
      </c>
      <c r="G47" s="134">
        <f t="shared" si="31"/>
        <v>21</v>
      </c>
    </row>
    <row r="48" ht="15.75" customHeight="1">
      <c r="B48" s="135" t="s">
        <v>86</v>
      </c>
      <c r="C48" s="136">
        <v>22.2</v>
      </c>
      <c r="D48" s="137">
        <f t="shared" ref="D48:G48" si="32">ROUND(ROUND($C48*(D$4/113)+(D$5-D$6),0),0)</f>
        <v>27</v>
      </c>
      <c r="E48" s="138">
        <f t="shared" si="32"/>
        <v>27</v>
      </c>
      <c r="F48" s="138">
        <f t="shared" si="32"/>
        <v>23</v>
      </c>
      <c r="G48" s="139">
        <f t="shared" si="32"/>
        <v>25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B$7:$G$7">
    <sortState ref="B7:G7">
      <sortCondition ref="C7"/>
    </sortState>
  </autoFilter>
  <mergeCells count="1">
    <mergeCell ref="B28:G3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2" width="12.63"/>
    <col customWidth="1" min="3" max="3" width="4.0"/>
    <col customWidth="1" hidden="1" min="4" max="4" width="3.38"/>
    <col customWidth="1" min="5" max="5" width="0.75"/>
    <col customWidth="1" min="6" max="6" width="32.75"/>
    <col customWidth="1" min="7" max="7" width="9.88"/>
    <col customWidth="1" min="8" max="17" width="5.88"/>
    <col customWidth="1" min="18" max="18" width="1.5"/>
    <col customWidth="1" min="19" max="28" width="5.88"/>
    <col customWidth="1" min="29" max="29" width="7.13"/>
    <col customWidth="1" min="30" max="30" width="1.13"/>
    <col customWidth="1" min="31" max="32" width="20.63"/>
  </cols>
  <sheetData>
    <row r="1" ht="9.75" hidden="1" customHeight="1">
      <c r="A1" s="60"/>
      <c r="B1" s="6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6.75" customHeight="1">
      <c r="A2" s="60"/>
      <c r="B2" s="60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  <c r="AA2" s="4"/>
      <c r="AB2" s="4"/>
      <c r="AC2" s="4"/>
      <c r="AD2" s="5"/>
      <c r="AE2" s="1"/>
      <c r="AF2" s="1"/>
    </row>
    <row r="3">
      <c r="A3" s="60"/>
      <c r="B3" s="60"/>
      <c r="C3" s="1"/>
      <c r="D3" s="6">
        <v>3.0</v>
      </c>
      <c r="E3" s="7"/>
      <c r="F3" s="140" t="s">
        <v>134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2"/>
      <c r="AD3" s="12"/>
      <c r="AE3" s="1"/>
      <c r="AF3" s="1"/>
    </row>
    <row r="4" ht="18.75" customHeight="1">
      <c r="A4" s="60"/>
      <c r="B4" s="60"/>
      <c r="C4" s="1"/>
      <c r="D4" s="1"/>
      <c r="E4" s="7"/>
      <c r="F4" s="1"/>
      <c r="G4" s="1"/>
      <c r="H4" s="1"/>
      <c r="I4" s="1"/>
      <c r="J4" s="13" t="s">
        <v>135</v>
      </c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3" t="s">
        <v>136</v>
      </c>
      <c r="W4" s="14"/>
      <c r="X4" s="14"/>
      <c r="Y4" s="14"/>
      <c r="Z4" s="14"/>
      <c r="AA4" s="1"/>
      <c r="AB4" s="1"/>
      <c r="AC4" s="1"/>
      <c r="AD4" s="12"/>
      <c r="AE4" s="1"/>
      <c r="AF4" s="1"/>
    </row>
    <row r="5" ht="15.0" customHeight="1">
      <c r="A5" s="60"/>
      <c r="B5" s="60"/>
      <c r="C5" s="1"/>
      <c r="D5" s="1"/>
      <c r="E5" s="7"/>
      <c r="F5" s="1"/>
      <c r="G5" s="143" t="s">
        <v>137</v>
      </c>
      <c r="H5" s="143">
        <v>1.0</v>
      </c>
      <c r="I5" s="143">
        <v>2.0</v>
      </c>
      <c r="J5" s="143">
        <v>3.0</v>
      </c>
      <c r="K5" s="143">
        <v>4.0</v>
      </c>
      <c r="L5" s="143">
        <v>5.0</v>
      </c>
      <c r="M5" s="143">
        <v>6.0</v>
      </c>
      <c r="N5" s="143">
        <v>7.0</v>
      </c>
      <c r="O5" s="143">
        <v>8.0</v>
      </c>
      <c r="P5" s="143">
        <v>9.0</v>
      </c>
      <c r="Q5" s="143" t="s">
        <v>138</v>
      </c>
      <c r="R5" s="16"/>
      <c r="S5" s="143">
        <v>10.0</v>
      </c>
      <c r="T5" s="143">
        <v>11.0</v>
      </c>
      <c r="U5" s="143">
        <v>12.0</v>
      </c>
      <c r="V5" s="143">
        <v>13.0</v>
      </c>
      <c r="W5" s="143">
        <v>14.0</v>
      </c>
      <c r="X5" s="143">
        <v>15.0</v>
      </c>
      <c r="Y5" s="143">
        <v>16.0</v>
      </c>
      <c r="Z5" s="143">
        <v>17.0</v>
      </c>
      <c r="AA5" s="143">
        <v>18.0</v>
      </c>
      <c r="AB5" s="143" t="s">
        <v>139</v>
      </c>
      <c r="AC5" s="143" t="s">
        <v>31</v>
      </c>
      <c r="AD5" s="12"/>
      <c r="AE5" s="1"/>
      <c r="AF5" s="1"/>
    </row>
    <row r="6" ht="15.0" customHeight="1">
      <c r="A6" s="60"/>
      <c r="B6" s="60"/>
      <c r="C6" s="1"/>
      <c r="D6" s="1"/>
      <c r="E6" s="7"/>
      <c r="F6" s="144" t="s">
        <v>140</v>
      </c>
      <c r="G6" s="145" t="s">
        <v>141</v>
      </c>
      <c r="H6" s="145">
        <v>376.0</v>
      </c>
      <c r="I6" s="145">
        <v>166.0</v>
      </c>
      <c r="J6" s="145">
        <v>403.0</v>
      </c>
      <c r="K6" s="145">
        <v>388.0</v>
      </c>
      <c r="L6" s="145">
        <v>166.0</v>
      </c>
      <c r="M6" s="145">
        <v>532.0</v>
      </c>
      <c r="N6" s="145">
        <v>388.0</v>
      </c>
      <c r="O6" s="145">
        <v>160.0</v>
      </c>
      <c r="P6" s="145">
        <v>470.0</v>
      </c>
      <c r="Q6" s="145">
        <f t="shared" ref="Q6:Q7" si="1">SUM(H6:P6)</f>
        <v>3049</v>
      </c>
      <c r="R6" s="17"/>
      <c r="S6" s="145">
        <v>431.0</v>
      </c>
      <c r="T6" s="145">
        <v>170.0</v>
      </c>
      <c r="U6" s="145">
        <v>405.0</v>
      </c>
      <c r="V6" s="145">
        <v>551.0</v>
      </c>
      <c r="W6" s="145">
        <v>377.0</v>
      </c>
      <c r="X6" s="145">
        <v>173.0</v>
      </c>
      <c r="Y6" s="145">
        <v>376.0</v>
      </c>
      <c r="Z6" s="145">
        <v>474.0</v>
      </c>
      <c r="AA6" s="145">
        <v>390.0</v>
      </c>
      <c r="AB6" s="145">
        <f t="shared" ref="AB6:AB7" si="2">SUM(S6:AA6)</f>
        <v>3347</v>
      </c>
      <c r="AC6" s="145">
        <f t="shared" ref="AC6:AC7" si="3">AB6+Q6</f>
        <v>6396</v>
      </c>
      <c r="AD6" s="12"/>
      <c r="AE6" s="1"/>
      <c r="AF6" s="1"/>
    </row>
    <row r="7" ht="15.0" customHeight="1">
      <c r="A7" s="60"/>
      <c r="B7" s="60"/>
      <c r="C7" s="1"/>
      <c r="D7" s="1"/>
      <c r="E7" s="7"/>
      <c r="F7" s="146"/>
      <c r="G7" s="147" t="s">
        <v>113</v>
      </c>
      <c r="H7" s="147">
        <v>4.0</v>
      </c>
      <c r="I7" s="147">
        <v>3.0</v>
      </c>
      <c r="J7" s="147">
        <v>4.0</v>
      </c>
      <c r="K7" s="147">
        <v>4.0</v>
      </c>
      <c r="L7" s="147">
        <v>3.0</v>
      </c>
      <c r="M7" s="147">
        <v>5.0</v>
      </c>
      <c r="N7" s="147">
        <v>4.0</v>
      </c>
      <c r="O7" s="147">
        <v>3.0</v>
      </c>
      <c r="P7" s="147">
        <v>5.0</v>
      </c>
      <c r="Q7" s="147">
        <f t="shared" si="1"/>
        <v>35</v>
      </c>
      <c r="R7" s="17"/>
      <c r="S7" s="147">
        <v>4.0</v>
      </c>
      <c r="T7" s="147">
        <v>3.0</v>
      </c>
      <c r="U7" s="147">
        <v>4.0</v>
      </c>
      <c r="V7" s="147">
        <v>5.0</v>
      </c>
      <c r="W7" s="147">
        <v>4.0</v>
      </c>
      <c r="X7" s="147">
        <v>3.0</v>
      </c>
      <c r="Y7" s="147">
        <v>4.0</v>
      </c>
      <c r="Z7" s="147">
        <v>5.0</v>
      </c>
      <c r="AA7" s="147">
        <v>4.0</v>
      </c>
      <c r="AB7" s="147">
        <f t="shared" si="2"/>
        <v>36</v>
      </c>
      <c r="AC7" s="147">
        <f t="shared" si="3"/>
        <v>71</v>
      </c>
      <c r="AD7" s="12"/>
      <c r="AE7" s="1"/>
      <c r="AF7" s="1"/>
    </row>
    <row r="8" ht="15.0" customHeight="1">
      <c r="A8" s="60"/>
      <c r="B8" s="60"/>
      <c r="C8" s="1"/>
      <c r="D8" s="1"/>
      <c r="E8" s="7"/>
      <c r="F8" s="1"/>
      <c r="G8" s="148" t="s">
        <v>142</v>
      </c>
      <c r="H8" s="148">
        <v>7.0</v>
      </c>
      <c r="I8" s="148">
        <v>11.0</v>
      </c>
      <c r="J8" s="148">
        <v>3.0</v>
      </c>
      <c r="K8" s="148">
        <v>1.0</v>
      </c>
      <c r="L8" s="148">
        <v>13.0</v>
      </c>
      <c r="M8" s="148">
        <v>9.0</v>
      </c>
      <c r="N8" s="148">
        <v>5.0</v>
      </c>
      <c r="O8" s="148">
        <v>15.0</v>
      </c>
      <c r="P8" s="148">
        <v>17.0</v>
      </c>
      <c r="Q8" s="148"/>
      <c r="R8" s="17"/>
      <c r="S8" s="148">
        <v>8.0</v>
      </c>
      <c r="T8" s="148">
        <v>14.0</v>
      </c>
      <c r="U8" s="148">
        <v>2.0</v>
      </c>
      <c r="V8" s="148">
        <v>6.0</v>
      </c>
      <c r="W8" s="148">
        <v>12.0</v>
      </c>
      <c r="X8" s="148">
        <v>16.0</v>
      </c>
      <c r="Y8" s="148">
        <v>10.0</v>
      </c>
      <c r="Z8" s="148">
        <v>18.0</v>
      </c>
      <c r="AA8" s="148">
        <v>4.0</v>
      </c>
      <c r="AB8" s="148"/>
      <c r="AC8" s="148"/>
      <c r="AD8" s="12"/>
      <c r="AE8" s="1"/>
      <c r="AF8" s="1"/>
    </row>
    <row r="9" ht="6.75" customHeight="1">
      <c r="A9" s="60"/>
      <c r="B9" s="60"/>
      <c r="C9" s="1"/>
      <c r="D9" s="1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2"/>
      <c r="AE9" s="1"/>
      <c r="AF9" s="1"/>
    </row>
    <row r="10" ht="11.25" customHeight="1">
      <c r="A10" s="60"/>
      <c r="B10" s="60"/>
      <c r="C10" s="1"/>
      <c r="D10" s="1"/>
      <c r="E10" s="7"/>
      <c r="F10" s="149"/>
      <c r="G10" s="150" t="str">
        <f>IFERROR(VLOOKUP(F10,HANDICAPS!$B$8:$G$23,$D$3,FALSE),"")</f>
        <v/>
      </c>
      <c r="H10" s="151" t="str">
        <f t="shared" ref="H10:P10" si="4">IFERROR(IF($G10&gt;18,IF(($G10-18)&gt;H$33,"**","*"),IF($G10&gt;=H$8,"*","")),"")</f>
        <v>*</v>
      </c>
      <c r="I10" s="151" t="str">
        <f t="shared" si="4"/>
        <v>*</v>
      </c>
      <c r="J10" s="151" t="str">
        <f t="shared" si="4"/>
        <v>*</v>
      </c>
      <c r="K10" s="151" t="str">
        <f t="shared" si="4"/>
        <v>*</v>
      </c>
      <c r="L10" s="151" t="str">
        <f t="shared" si="4"/>
        <v>*</v>
      </c>
      <c r="M10" s="151" t="str">
        <f t="shared" si="4"/>
        <v>*</v>
      </c>
      <c r="N10" s="151" t="str">
        <f t="shared" si="4"/>
        <v>*</v>
      </c>
      <c r="O10" s="152" t="str">
        <f t="shared" si="4"/>
        <v>*</v>
      </c>
      <c r="P10" s="151" t="str">
        <f t="shared" si="4"/>
        <v>*</v>
      </c>
      <c r="Q10" s="151"/>
      <c r="R10" s="153"/>
      <c r="S10" s="151" t="str">
        <f t="shared" ref="S10:AA10" si="5">IFERROR(IF($G10&gt;18,IF(($G10-18)&gt;S$33,"**","*"),IF($G10&gt;=S$8,"*","")),"")</f>
        <v>*</v>
      </c>
      <c r="T10" s="151" t="str">
        <f t="shared" si="5"/>
        <v>*</v>
      </c>
      <c r="U10" s="151" t="str">
        <f t="shared" si="5"/>
        <v>*</v>
      </c>
      <c r="V10" s="151" t="str">
        <f t="shared" si="5"/>
        <v>*</v>
      </c>
      <c r="W10" s="151" t="str">
        <f t="shared" si="5"/>
        <v>*</v>
      </c>
      <c r="X10" s="151" t="str">
        <f t="shared" si="5"/>
        <v>*</v>
      </c>
      <c r="Y10" s="151" t="str">
        <f t="shared" si="5"/>
        <v>*</v>
      </c>
      <c r="Z10" s="151" t="str">
        <f t="shared" si="5"/>
        <v>*</v>
      </c>
      <c r="AA10" s="152" t="str">
        <f t="shared" si="5"/>
        <v>*</v>
      </c>
      <c r="AB10" s="151"/>
      <c r="AC10" s="151" t="str">
        <f>IF(AB10="","",SUM(Q10,AB10))</f>
        <v/>
      </c>
      <c r="AD10" s="12"/>
      <c r="AE10" s="1"/>
      <c r="AF10" s="1"/>
    </row>
    <row r="11" ht="18.75" customHeight="1">
      <c r="A11" s="60"/>
      <c r="B11" s="60"/>
      <c r="C11" s="1"/>
      <c r="D11" s="1"/>
      <c r="E11" s="7"/>
      <c r="F11" s="154"/>
      <c r="G11" s="155"/>
      <c r="H11" s="156"/>
      <c r="I11" s="156"/>
      <c r="J11" s="156"/>
      <c r="K11" s="156"/>
      <c r="L11" s="156"/>
      <c r="M11" s="156"/>
      <c r="N11" s="156"/>
      <c r="O11" s="157"/>
      <c r="P11" s="156"/>
      <c r="Q11" s="156" t="str">
        <f>IF(H11="","",SUM(H11:P11))</f>
        <v/>
      </c>
      <c r="R11" s="153"/>
      <c r="S11" s="156"/>
      <c r="T11" s="156"/>
      <c r="U11" s="156"/>
      <c r="V11" s="156"/>
      <c r="W11" s="156"/>
      <c r="X11" s="156"/>
      <c r="Y11" s="156"/>
      <c r="Z11" s="156"/>
      <c r="AA11" s="157"/>
      <c r="AB11" s="156" t="str">
        <f>IF(S11="","",SUM(S11:AA11))</f>
        <v/>
      </c>
      <c r="AC11" s="156">
        <f>IFERROR(Q11+AB11,"")</f>
        <v>0</v>
      </c>
      <c r="AD11" s="12"/>
      <c r="AE11" s="1"/>
      <c r="AF11" s="1"/>
    </row>
    <row r="12" ht="11.25" customHeight="1">
      <c r="A12" s="60"/>
      <c r="B12" s="60"/>
      <c r="C12" s="1"/>
      <c r="D12" s="1"/>
      <c r="E12" s="7"/>
      <c r="F12" s="149"/>
      <c r="G12" s="150" t="str">
        <f>IFERROR(VLOOKUP(F12,HANDICAPS!$B$8:$G$23,$D$3,FALSE),"")</f>
        <v/>
      </c>
      <c r="H12" s="158" t="str">
        <f t="shared" ref="H12:P12" si="6">IFERROR(IF($G12&gt;18,IF(($G12-18)&gt;H$33,"**","*"),IF($G12&gt;=H$8,"*","")),"")</f>
        <v>*</v>
      </c>
      <c r="I12" s="158" t="str">
        <f t="shared" si="6"/>
        <v>*</v>
      </c>
      <c r="J12" s="158" t="str">
        <f t="shared" si="6"/>
        <v>*</v>
      </c>
      <c r="K12" s="158" t="str">
        <f t="shared" si="6"/>
        <v>*</v>
      </c>
      <c r="L12" s="158" t="str">
        <f t="shared" si="6"/>
        <v>*</v>
      </c>
      <c r="M12" s="158" t="str">
        <f t="shared" si="6"/>
        <v>*</v>
      </c>
      <c r="N12" s="158" t="str">
        <f t="shared" si="6"/>
        <v>*</v>
      </c>
      <c r="O12" s="159" t="str">
        <f t="shared" si="6"/>
        <v>*</v>
      </c>
      <c r="P12" s="158" t="str">
        <f t="shared" si="6"/>
        <v>*</v>
      </c>
      <c r="Q12" s="158"/>
      <c r="R12" s="158"/>
      <c r="S12" s="158" t="str">
        <f t="shared" ref="S12:AA12" si="7">IFERROR(IF($G12&gt;18,IF(($G12-18)&gt;S$33,"**","*"),IF($G12&gt;=S$8,"*","")),"")</f>
        <v>*</v>
      </c>
      <c r="T12" s="158" t="str">
        <f t="shared" si="7"/>
        <v>*</v>
      </c>
      <c r="U12" s="158" t="str">
        <f t="shared" si="7"/>
        <v>*</v>
      </c>
      <c r="V12" s="158" t="str">
        <f t="shared" si="7"/>
        <v>*</v>
      </c>
      <c r="W12" s="158" t="str">
        <f t="shared" si="7"/>
        <v>*</v>
      </c>
      <c r="X12" s="158" t="str">
        <f t="shared" si="7"/>
        <v>*</v>
      </c>
      <c r="Y12" s="158" t="str">
        <f t="shared" si="7"/>
        <v>*</v>
      </c>
      <c r="Z12" s="158" t="str">
        <f t="shared" si="7"/>
        <v>*</v>
      </c>
      <c r="AA12" s="159" t="str">
        <f t="shared" si="7"/>
        <v>*</v>
      </c>
      <c r="AB12" s="151"/>
      <c r="AC12" s="151" t="str">
        <f>IF(AB12="","",SUM(Q12,AB12))</f>
        <v/>
      </c>
      <c r="AD12" s="12"/>
      <c r="AE12" s="1"/>
      <c r="AF12" s="1"/>
    </row>
    <row r="13" ht="18.75" customHeight="1">
      <c r="A13" s="60"/>
      <c r="B13" s="60"/>
      <c r="C13" s="1"/>
      <c r="D13" s="1"/>
      <c r="E13" s="7"/>
      <c r="F13" s="154"/>
      <c r="G13" s="155"/>
      <c r="H13" s="156"/>
      <c r="I13" s="156"/>
      <c r="J13" s="156"/>
      <c r="K13" s="156"/>
      <c r="L13" s="156"/>
      <c r="M13" s="156"/>
      <c r="N13" s="156"/>
      <c r="O13" s="157"/>
      <c r="P13" s="156"/>
      <c r="Q13" s="156" t="str">
        <f>IF(H13="","",SUM(H13:P13))</f>
        <v/>
      </c>
      <c r="R13" s="160"/>
      <c r="S13" s="156"/>
      <c r="T13" s="156"/>
      <c r="U13" s="156"/>
      <c r="V13" s="156"/>
      <c r="W13" s="156"/>
      <c r="X13" s="156"/>
      <c r="Y13" s="156"/>
      <c r="Z13" s="156"/>
      <c r="AA13" s="157"/>
      <c r="AB13" s="156" t="str">
        <f>IF(S13="","",SUM(S13:AA13))</f>
        <v/>
      </c>
      <c r="AC13" s="156">
        <f>IFERROR(Q13+AB13,"")</f>
        <v>0</v>
      </c>
      <c r="AD13" s="12"/>
      <c r="AE13" s="1"/>
      <c r="AF13" s="1"/>
    </row>
    <row r="14" ht="6.75" customHeight="1">
      <c r="A14" s="60"/>
      <c r="B14" s="60"/>
      <c r="C14" s="1"/>
      <c r="D14" s="1"/>
      <c r="E14" s="7"/>
      <c r="F14" s="16"/>
      <c r="G14" s="1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12"/>
      <c r="AE14" s="1"/>
      <c r="AF14" s="1"/>
    </row>
    <row r="15" ht="27.75" customHeight="1">
      <c r="A15" s="60"/>
      <c r="B15" s="60"/>
      <c r="C15" s="1"/>
      <c r="D15" s="1"/>
      <c r="E15" s="7"/>
      <c r="F15" s="161" t="s">
        <v>143</v>
      </c>
      <c r="G15" s="142"/>
      <c r="H15" s="162" t="str">
        <f t="shared" ref="H15:P15" si="8">IF(H11="","",MIN(IF(H10="**",H11-2,IF(H10="*",H11-1,H11)),(IF(H12="**",H13-2,IF(H12="*",H13-1,H13)))))</f>
        <v/>
      </c>
      <c r="I15" s="162" t="str">
        <f t="shared" si="8"/>
        <v/>
      </c>
      <c r="J15" s="162" t="str">
        <f t="shared" si="8"/>
        <v/>
      </c>
      <c r="K15" s="162" t="str">
        <f t="shared" si="8"/>
        <v/>
      </c>
      <c r="L15" s="162" t="str">
        <f t="shared" si="8"/>
        <v/>
      </c>
      <c r="M15" s="162" t="str">
        <f t="shared" si="8"/>
        <v/>
      </c>
      <c r="N15" s="162" t="str">
        <f t="shared" si="8"/>
        <v/>
      </c>
      <c r="O15" s="163" t="str">
        <f t="shared" si="8"/>
        <v/>
      </c>
      <c r="P15" s="162" t="str">
        <f t="shared" si="8"/>
        <v/>
      </c>
      <c r="Q15" s="162" t="str">
        <f t="shared" ref="Q15:Q16" si="11">IF(H15="","",SUM(H15:P15))</f>
        <v/>
      </c>
      <c r="R15" s="23"/>
      <c r="S15" s="162" t="str">
        <f t="shared" ref="S15:AA15" si="9">IF(S11="","",MIN(IF(S10="**",S11-2,IF(S10="*",S11-1,S11)),(IF(S12="**",S13-2,IF(S12="*",S13-1,S13)))))</f>
        <v/>
      </c>
      <c r="T15" s="162" t="str">
        <f t="shared" si="9"/>
        <v/>
      </c>
      <c r="U15" s="162" t="str">
        <f t="shared" si="9"/>
        <v/>
      </c>
      <c r="V15" s="162" t="str">
        <f t="shared" si="9"/>
        <v/>
      </c>
      <c r="W15" s="162" t="str">
        <f t="shared" si="9"/>
        <v/>
      </c>
      <c r="X15" s="162" t="str">
        <f t="shared" si="9"/>
        <v/>
      </c>
      <c r="Y15" s="162" t="str">
        <f t="shared" si="9"/>
        <v/>
      </c>
      <c r="Z15" s="162" t="str">
        <f t="shared" si="9"/>
        <v/>
      </c>
      <c r="AA15" s="163" t="str">
        <f t="shared" si="9"/>
        <v/>
      </c>
      <c r="AB15" s="162" t="str">
        <f t="shared" ref="AB15:AB16" si="13">IF(S15="","",SUM(S15:AA15))</f>
        <v/>
      </c>
      <c r="AC15" s="162" t="str">
        <f t="shared" ref="AC15:AC16" si="14">IF(AB15="","",AB15+Q15)</f>
        <v/>
      </c>
      <c r="AD15" s="12"/>
      <c r="AE15" s="1"/>
      <c r="AF15" s="1"/>
    </row>
    <row r="16" ht="27.75" customHeight="1">
      <c r="A16" s="60"/>
      <c r="B16" s="60"/>
      <c r="C16" s="1"/>
      <c r="D16" s="1"/>
      <c r="E16" s="7"/>
      <c r="F16" s="161" t="s">
        <v>144</v>
      </c>
      <c r="G16" s="142"/>
      <c r="H16" s="164" t="str">
        <f t="shared" ref="H16:P16" si="10">IF(H15="","",IF(H15=H23,0.5,IF(H15&lt;H23,1,0)))</f>
        <v/>
      </c>
      <c r="I16" s="164" t="str">
        <f t="shared" si="10"/>
        <v/>
      </c>
      <c r="J16" s="164" t="str">
        <f t="shared" si="10"/>
        <v/>
      </c>
      <c r="K16" s="164" t="str">
        <f t="shared" si="10"/>
        <v/>
      </c>
      <c r="L16" s="164" t="str">
        <f t="shared" si="10"/>
        <v/>
      </c>
      <c r="M16" s="164" t="str">
        <f t="shared" si="10"/>
        <v/>
      </c>
      <c r="N16" s="164" t="str">
        <f t="shared" si="10"/>
        <v/>
      </c>
      <c r="O16" s="165" t="str">
        <f t="shared" si="10"/>
        <v/>
      </c>
      <c r="P16" s="164" t="str">
        <f t="shared" si="10"/>
        <v/>
      </c>
      <c r="Q16" s="164" t="str">
        <f t="shared" si="11"/>
        <v/>
      </c>
      <c r="R16" s="23"/>
      <c r="S16" s="164" t="str">
        <f t="shared" ref="S16:AA16" si="12">IF(S15="","",IF(S15=S23,0.5,IF(S15&lt;S23,1,0)))</f>
        <v/>
      </c>
      <c r="T16" s="164" t="str">
        <f t="shared" si="12"/>
        <v/>
      </c>
      <c r="U16" s="164" t="str">
        <f t="shared" si="12"/>
        <v/>
      </c>
      <c r="V16" s="164" t="str">
        <f t="shared" si="12"/>
        <v/>
      </c>
      <c r="W16" s="164" t="str">
        <f t="shared" si="12"/>
        <v/>
      </c>
      <c r="X16" s="164" t="str">
        <f t="shared" si="12"/>
        <v/>
      </c>
      <c r="Y16" s="164" t="str">
        <f t="shared" si="12"/>
        <v/>
      </c>
      <c r="Z16" s="164" t="str">
        <f t="shared" si="12"/>
        <v/>
      </c>
      <c r="AA16" s="165" t="str">
        <f t="shared" si="12"/>
        <v/>
      </c>
      <c r="AB16" s="164" t="str">
        <f t="shared" si="13"/>
        <v/>
      </c>
      <c r="AC16" s="164" t="str">
        <f t="shared" si="14"/>
        <v/>
      </c>
      <c r="AD16" s="12"/>
      <c r="AE16" s="1"/>
      <c r="AF16" s="1"/>
    </row>
    <row r="17" ht="6.75" customHeight="1">
      <c r="A17" s="60"/>
      <c r="B17" s="60"/>
      <c r="C17" s="1"/>
      <c r="D17" s="1"/>
      <c r="E17" s="7"/>
      <c r="F17" s="16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12"/>
      <c r="AE17" s="1"/>
      <c r="AF17" s="1"/>
    </row>
    <row r="18" ht="11.25" customHeight="1">
      <c r="A18" s="60"/>
      <c r="B18" s="60"/>
      <c r="C18" s="1"/>
      <c r="D18" s="1"/>
      <c r="E18" s="7"/>
      <c r="F18" s="149"/>
      <c r="G18" s="150" t="str">
        <f>IFERROR(VLOOKUP(F18,HANDICAPS!$B$8:$G$23,$D$3,FALSE),"")</f>
        <v/>
      </c>
      <c r="H18" s="151" t="str">
        <f t="shared" ref="H18:P18" si="15">IFERROR(IF($G18&gt;18,IF(($G18-18)&gt;H$33,"**","*"),IF($G18&gt;=H$8,"*","")),"")</f>
        <v>*</v>
      </c>
      <c r="I18" s="151" t="str">
        <f t="shared" si="15"/>
        <v>*</v>
      </c>
      <c r="J18" s="151" t="str">
        <f t="shared" si="15"/>
        <v>*</v>
      </c>
      <c r="K18" s="151" t="str">
        <f t="shared" si="15"/>
        <v>*</v>
      </c>
      <c r="L18" s="151" t="str">
        <f t="shared" si="15"/>
        <v>*</v>
      </c>
      <c r="M18" s="151" t="str">
        <f t="shared" si="15"/>
        <v>*</v>
      </c>
      <c r="N18" s="151" t="str">
        <f t="shared" si="15"/>
        <v>*</v>
      </c>
      <c r="O18" s="152" t="str">
        <f t="shared" si="15"/>
        <v>*</v>
      </c>
      <c r="P18" s="151" t="str">
        <f t="shared" si="15"/>
        <v>*</v>
      </c>
      <c r="Q18" s="151"/>
      <c r="R18" s="153"/>
      <c r="S18" s="151" t="str">
        <f t="shared" ref="S18:AA18" si="16">IFERROR(IF($G18&gt;18,IF(($G18-18)&gt;S$33,"**","*"),IF($G18&gt;=S$8,"*","")),"")</f>
        <v>*</v>
      </c>
      <c r="T18" s="151" t="str">
        <f t="shared" si="16"/>
        <v>*</v>
      </c>
      <c r="U18" s="151" t="str">
        <f t="shared" si="16"/>
        <v>*</v>
      </c>
      <c r="V18" s="151" t="str">
        <f t="shared" si="16"/>
        <v>*</v>
      </c>
      <c r="W18" s="151" t="str">
        <f t="shared" si="16"/>
        <v>*</v>
      </c>
      <c r="X18" s="151" t="str">
        <f t="shared" si="16"/>
        <v>*</v>
      </c>
      <c r="Y18" s="151" t="str">
        <f t="shared" si="16"/>
        <v>*</v>
      </c>
      <c r="Z18" s="151" t="str">
        <f t="shared" si="16"/>
        <v>*</v>
      </c>
      <c r="AA18" s="152" t="str">
        <f t="shared" si="16"/>
        <v>*</v>
      </c>
      <c r="AB18" s="151"/>
      <c r="AC18" s="151" t="str">
        <f>IF(AB18="","",SUM(Q18,AB18))</f>
        <v/>
      </c>
      <c r="AD18" s="12"/>
      <c r="AE18" s="1"/>
      <c r="AF18" s="1"/>
    </row>
    <row r="19" ht="18.75" customHeight="1">
      <c r="A19" s="60"/>
      <c r="B19" s="60"/>
      <c r="C19" s="1"/>
      <c r="D19" s="1"/>
      <c r="E19" s="7"/>
      <c r="F19" s="154"/>
      <c r="G19" s="155"/>
      <c r="H19" s="156"/>
      <c r="I19" s="156"/>
      <c r="J19" s="156"/>
      <c r="K19" s="156"/>
      <c r="L19" s="156"/>
      <c r="M19" s="156"/>
      <c r="N19" s="156"/>
      <c r="O19" s="157"/>
      <c r="P19" s="156"/>
      <c r="Q19" s="156" t="str">
        <f>IF(H19="","",SUM(H19:P19))</f>
        <v/>
      </c>
      <c r="R19" s="153"/>
      <c r="S19" s="156"/>
      <c r="T19" s="156"/>
      <c r="U19" s="156"/>
      <c r="V19" s="156"/>
      <c r="W19" s="156"/>
      <c r="X19" s="156"/>
      <c r="Y19" s="156"/>
      <c r="Z19" s="156"/>
      <c r="AA19" s="157"/>
      <c r="AB19" s="156" t="str">
        <f>IF(S19="","",SUM(S19:AA19))</f>
        <v/>
      </c>
      <c r="AC19" s="156">
        <f>IFERROR(Q19+AB19,"")</f>
        <v>0</v>
      </c>
      <c r="AD19" s="12"/>
      <c r="AE19" s="1"/>
      <c r="AF19" s="1"/>
    </row>
    <row r="20" ht="11.25" customHeight="1">
      <c r="A20" s="60"/>
      <c r="B20" s="60"/>
      <c r="C20" s="1"/>
      <c r="D20" s="1"/>
      <c r="E20" s="7"/>
      <c r="F20" s="149"/>
      <c r="G20" s="150" t="str">
        <f>IFERROR(VLOOKUP(F20,HANDICAPS!$B$8:$G$23,$D$3,FALSE),"")</f>
        <v/>
      </c>
      <c r="H20" s="158" t="str">
        <f t="shared" ref="H20:P20" si="17">IFERROR(IF($G20&gt;18,IF(($G20-18)&gt;H$33,"**","*"),IF($G20&gt;=H$8,"*","")),"")</f>
        <v>*</v>
      </c>
      <c r="I20" s="158" t="str">
        <f t="shared" si="17"/>
        <v>*</v>
      </c>
      <c r="J20" s="158" t="str">
        <f t="shared" si="17"/>
        <v>*</v>
      </c>
      <c r="K20" s="158" t="str">
        <f t="shared" si="17"/>
        <v>*</v>
      </c>
      <c r="L20" s="158" t="str">
        <f t="shared" si="17"/>
        <v>*</v>
      </c>
      <c r="M20" s="158" t="str">
        <f t="shared" si="17"/>
        <v>*</v>
      </c>
      <c r="N20" s="158" t="str">
        <f t="shared" si="17"/>
        <v>*</v>
      </c>
      <c r="O20" s="159" t="str">
        <f t="shared" si="17"/>
        <v>*</v>
      </c>
      <c r="P20" s="158" t="str">
        <f t="shared" si="17"/>
        <v>*</v>
      </c>
      <c r="Q20" s="158"/>
      <c r="R20" s="158"/>
      <c r="S20" s="158" t="str">
        <f t="shared" ref="S20:AA20" si="18">IFERROR(IF($G20&gt;18,IF(($G20-18)&gt;S$33,"**","*"),IF($G20&gt;=S$8,"*","")),"")</f>
        <v>*</v>
      </c>
      <c r="T20" s="158" t="str">
        <f t="shared" si="18"/>
        <v>*</v>
      </c>
      <c r="U20" s="158" t="str">
        <f t="shared" si="18"/>
        <v>*</v>
      </c>
      <c r="V20" s="158" t="str">
        <f t="shared" si="18"/>
        <v>*</v>
      </c>
      <c r="W20" s="158" t="str">
        <f t="shared" si="18"/>
        <v>*</v>
      </c>
      <c r="X20" s="158" t="str">
        <f t="shared" si="18"/>
        <v>*</v>
      </c>
      <c r="Y20" s="158" t="str">
        <f t="shared" si="18"/>
        <v>*</v>
      </c>
      <c r="Z20" s="158" t="str">
        <f t="shared" si="18"/>
        <v>*</v>
      </c>
      <c r="AA20" s="159" t="str">
        <f t="shared" si="18"/>
        <v>*</v>
      </c>
      <c r="AB20" s="151"/>
      <c r="AC20" s="151" t="str">
        <f>IF(AB20="","",SUM(Q20,AB20))</f>
        <v/>
      </c>
      <c r="AD20" s="12"/>
      <c r="AE20" s="1"/>
      <c r="AF20" s="1"/>
    </row>
    <row r="21" ht="18.75" customHeight="1">
      <c r="A21" s="60"/>
      <c r="B21" s="60"/>
      <c r="C21" s="1"/>
      <c r="D21" s="1"/>
      <c r="E21" s="7"/>
      <c r="F21" s="154"/>
      <c r="G21" s="155"/>
      <c r="H21" s="156"/>
      <c r="I21" s="156"/>
      <c r="J21" s="156"/>
      <c r="K21" s="156"/>
      <c r="L21" s="156"/>
      <c r="M21" s="156"/>
      <c r="N21" s="156"/>
      <c r="O21" s="157"/>
      <c r="P21" s="156"/>
      <c r="Q21" s="156" t="str">
        <f>IF(H21="","",SUM(H21:P21))</f>
        <v/>
      </c>
      <c r="R21" s="160"/>
      <c r="S21" s="156"/>
      <c r="T21" s="156"/>
      <c r="U21" s="156"/>
      <c r="V21" s="156"/>
      <c r="W21" s="156"/>
      <c r="X21" s="156"/>
      <c r="Y21" s="156"/>
      <c r="Z21" s="156"/>
      <c r="AA21" s="157"/>
      <c r="AB21" s="156" t="str">
        <f>IF(S21="","",SUM(S21:AA21))</f>
        <v/>
      </c>
      <c r="AC21" s="156">
        <f>IFERROR(Q21+AB21,"")</f>
        <v>0</v>
      </c>
      <c r="AD21" s="12"/>
      <c r="AE21" s="1"/>
      <c r="AF21" s="1"/>
    </row>
    <row r="22" ht="6.75" customHeight="1">
      <c r="A22" s="60"/>
      <c r="B22" s="60"/>
      <c r="C22" s="1"/>
      <c r="D22" s="1"/>
      <c r="E22" s="7"/>
      <c r="F22" s="16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2"/>
      <c r="AE22" s="1"/>
      <c r="AF22" s="1"/>
    </row>
    <row r="23" ht="27.75" customHeight="1">
      <c r="A23" s="60"/>
      <c r="B23" s="60"/>
      <c r="C23" s="1"/>
      <c r="D23" s="1"/>
      <c r="E23" s="7"/>
      <c r="F23" s="161" t="s">
        <v>143</v>
      </c>
      <c r="G23" s="142"/>
      <c r="H23" s="162" t="str">
        <f t="shared" ref="H23:P23" si="19">IF(H19="","",MIN(IF(H18="**",H19-2,IF(H18="*",H19-1,H19)),(IF(H20="**",H21-2,IF(H20="*",H21-1,H21)))))</f>
        <v/>
      </c>
      <c r="I23" s="162" t="str">
        <f t="shared" si="19"/>
        <v/>
      </c>
      <c r="J23" s="162" t="str">
        <f t="shared" si="19"/>
        <v/>
      </c>
      <c r="K23" s="162" t="str">
        <f t="shared" si="19"/>
        <v/>
      </c>
      <c r="L23" s="162" t="str">
        <f t="shared" si="19"/>
        <v/>
      </c>
      <c r="M23" s="162" t="str">
        <f t="shared" si="19"/>
        <v/>
      </c>
      <c r="N23" s="162" t="str">
        <f t="shared" si="19"/>
        <v/>
      </c>
      <c r="O23" s="163" t="str">
        <f t="shared" si="19"/>
        <v/>
      </c>
      <c r="P23" s="162" t="str">
        <f t="shared" si="19"/>
        <v/>
      </c>
      <c r="Q23" s="162" t="str">
        <f t="shared" ref="Q23:Q24" si="22">IF(H23="","",SUM(H23:P23))</f>
        <v/>
      </c>
      <c r="R23" s="23"/>
      <c r="S23" s="162" t="str">
        <f t="shared" ref="S23:AA23" si="20">IF(S19="","",MIN(IF(S18="**",S19-2,IF(S18="*",S19-1,S19)),(IF(S20="**",S21-2,IF(S20="*",S21-1,S21)))))</f>
        <v/>
      </c>
      <c r="T23" s="162" t="str">
        <f t="shared" si="20"/>
        <v/>
      </c>
      <c r="U23" s="162" t="str">
        <f t="shared" si="20"/>
        <v/>
      </c>
      <c r="V23" s="162" t="str">
        <f t="shared" si="20"/>
        <v/>
      </c>
      <c r="W23" s="162" t="str">
        <f t="shared" si="20"/>
        <v/>
      </c>
      <c r="X23" s="162" t="str">
        <f t="shared" si="20"/>
        <v/>
      </c>
      <c r="Y23" s="162" t="str">
        <f t="shared" si="20"/>
        <v/>
      </c>
      <c r="Z23" s="162" t="str">
        <f t="shared" si="20"/>
        <v/>
      </c>
      <c r="AA23" s="163" t="str">
        <f t="shared" si="20"/>
        <v/>
      </c>
      <c r="AB23" s="162" t="str">
        <f t="shared" ref="AB23:AB24" si="24">IF(S23="","",SUM(S23:AA23))</f>
        <v/>
      </c>
      <c r="AC23" s="162" t="str">
        <f t="shared" ref="AC23:AC24" si="25">IF(AB23="","",AB23+Q23)</f>
        <v/>
      </c>
      <c r="AD23" s="12"/>
      <c r="AE23" s="1"/>
      <c r="AF23" s="1"/>
    </row>
    <row r="24" ht="27.75" customHeight="1">
      <c r="A24" s="60"/>
      <c r="B24" s="60"/>
      <c r="C24" s="1"/>
      <c r="D24" s="1"/>
      <c r="E24" s="7"/>
      <c r="F24" s="161" t="s">
        <v>144</v>
      </c>
      <c r="G24" s="142"/>
      <c r="H24" s="164" t="str">
        <f t="shared" ref="H24:P24" si="21">IF(H23="","",IF(H23=H15,0.5,IF(H23&lt;H15,1,0)))</f>
        <v/>
      </c>
      <c r="I24" s="164" t="str">
        <f t="shared" si="21"/>
        <v/>
      </c>
      <c r="J24" s="164" t="str">
        <f t="shared" si="21"/>
        <v/>
      </c>
      <c r="K24" s="164" t="str">
        <f t="shared" si="21"/>
        <v/>
      </c>
      <c r="L24" s="164" t="str">
        <f t="shared" si="21"/>
        <v/>
      </c>
      <c r="M24" s="164" t="str">
        <f t="shared" si="21"/>
        <v/>
      </c>
      <c r="N24" s="164" t="str">
        <f t="shared" si="21"/>
        <v/>
      </c>
      <c r="O24" s="165" t="str">
        <f t="shared" si="21"/>
        <v/>
      </c>
      <c r="P24" s="164" t="str">
        <f t="shared" si="21"/>
        <v/>
      </c>
      <c r="Q24" s="164" t="str">
        <f t="shared" si="22"/>
        <v/>
      </c>
      <c r="R24" s="23"/>
      <c r="S24" s="164" t="str">
        <f t="shared" ref="S24:AA24" si="23">IF(S23="","",IF(S23=S15,0.5,IF(S23&lt;S15,1,0)))</f>
        <v/>
      </c>
      <c r="T24" s="164" t="str">
        <f t="shared" si="23"/>
        <v/>
      </c>
      <c r="U24" s="164" t="str">
        <f t="shared" si="23"/>
        <v/>
      </c>
      <c r="V24" s="164" t="str">
        <f t="shared" si="23"/>
        <v/>
      </c>
      <c r="W24" s="164" t="str">
        <f t="shared" si="23"/>
        <v/>
      </c>
      <c r="X24" s="164" t="str">
        <f t="shared" si="23"/>
        <v/>
      </c>
      <c r="Y24" s="164" t="str">
        <f t="shared" si="23"/>
        <v/>
      </c>
      <c r="Z24" s="164" t="str">
        <f t="shared" si="23"/>
        <v/>
      </c>
      <c r="AA24" s="165" t="str">
        <f t="shared" si="23"/>
        <v/>
      </c>
      <c r="AB24" s="164" t="str">
        <f t="shared" si="24"/>
        <v/>
      </c>
      <c r="AC24" s="164" t="str">
        <f t="shared" si="25"/>
        <v/>
      </c>
      <c r="AD24" s="12"/>
      <c r="AE24" s="1"/>
      <c r="AF24" s="1"/>
    </row>
    <row r="25" ht="6.75" customHeight="1">
      <c r="A25" s="60"/>
      <c r="B25" s="60"/>
      <c r="C25" s="1"/>
      <c r="D25" s="1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7"/>
      <c r="AE25" s="1"/>
      <c r="AF25" s="1"/>
    </row>
    <row r="26" ht="60.0" customHeight="1">
      <c r="A26" s="60"/>
      <c r="B26" s="6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6.75" customHeight="1">
      <c r="A27" s="60"/>
      <c r="B27" s="60"/>
      <c r="C27" s="1"/>
      <c r="D27" s="1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  <c r="AA27" s="4"/>
      <c r="AB27" s="4"/>
      <c r="AC27" s="4"/>
      <c r="AD27" s="5"/>
      <c r="AE27" s="1"/>
      <c r="AF27" s="1"/>
    </row>
    <row r="28" ht="15.75" customHeight="1">
      <c r="A28" s="60"/>
      <c r="B28" s="60"/>
      <c r="C28" s="1"/>
      <c r="D28" s="1"/>
      <c r="E28" s="7"/>
      <c r="F28" s="140" t="str">
        <f>F3</f>
        <v>MICHIGAN OPEN 2022 - PRACTICE ROUND - CROOKED TREE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2"/>
      <c r="AD28" s="12"/>
      <c r="AE28" s="1"/>
      <c r="AF28" s="1"/>
    </row>
    <row r="29" ht="18.75" customHeight="1">
      <c r="A29" s="60"/>
      <c r="B29" s="60"/>
      <c r="C29" s="1"/>
      <c r="D29" s="1"/>
      <c r="E29" s="7"/>
      <c r="F29" s="1"/>
      <c r="G29" s="1"/>
      <c r="H29" s="1"/>
      <c r="I29" s="1"/>
      <c r="J29" s="13" t="str">
        <f>J4</f>
        <v>FRONT</v>
      </c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3" t="str">
        <f>V4</f>
        <v>BACK</v>
      </c>
      <c r="W29" s="14"/>
      <c r="X29" s="14"/>
      <c r="Y29" s="14"/>
      <c r="Z29" s="14"/>
      <c r="AA29" s="1"/>
      <c r="AB29" s="1"/>
      <c r="AC29" s="1"/>
      <c r="AD29" s="12"/>
      <c r="AE29" s="1"/>
      <c r="AF29" s="1"/>
    </row>
    <row r="30" ht="15.0" customHeight="1">
      <c r="A30" s="60"/>
      <c r="B30" s="60"/>
      <c r="C30" s="1"/>
      <c r="D30" s="1"/>
      <c r="E30" s="7"/>
      <c r="F30" s="1"/>
      <c r="G30" s="143" t="str">
        <f t="shared" ref="G30:Q30" si="26">G5</f>
        <v>HOLE</v>
      </c>
      <c r="H30" s="143">
        <f t="shared" si="26"/>
        <v>1</v>
      </c>
      <c r="I30" s="143">
        <f t="shared" si="26"/>
        <v>2</v>
      </c>
      <c r="J30" s="143">
        <f t="shared" si="26"/>
        <v>3</v>
      </c>
      <c r="K30" s="143">
        <f t="shared" si="26"/>
        <v>4</v>
      </c>
      <c r="L30" s="143">
        <f t="shared" si="26"/>
        <v>5</v>
      </c>
      <c r="M30" s="143">
        <f t="shared" si="26"/>
        <v>6</v>
      </c>
      <c r="N30" s="143">
        <f t="shared" si="26"/>
        <v>7</v>
      </c>
      <c r="O30" s="143">
        <f t="shared" si="26"/>
        <v>8</v>
      </c>
      <c r="P30" s="143">
        <f t="shared" si="26"/>
        <v>9</v>
      </c>
      <c r="Q30" s="143" t="str">
        <f t="shared" si="26"/>
        <v>OUT</v>
      </c>
      <c r="R30" s="16"/>
      <c r="S30" s="143">
        <f t="shared" ref="S30:AC30" si="27">S5</f>
        <v>10</v>
      </c>
      <c r="T30" s="143">
        <f t="shared" si="27"/>
        <v>11</v>
      </c>
      <c r="U30" s="143">
        <f t="shared" si="27"/>
        <v>12</v>
      </c>
      <c r="V30" s="143">
        <f t="shared" si="27"/>
        <v>13</v>
      </c>
      <c r="W30" s="143">
        <f t="shared" si="27"/>
        <v>14</v>
      </c>
      <c r="X30" s="143">
        <f t="shared" si="27"/>
        <v>15</v>
      </c>
      <c r="Y30" s="143">
        <f t="shared" si="27"/>
        <v>16</v>
      </c>
      <c r="Z30" s="143">
        <f t="shared" si="27"/>
        <v>17</v>
      </c>
      <c r="AA30" s="143">
        <f t="shared" si="27"/>
        <v>18</v>
      </c>
      <c r="AB30" s="143" t="str">
        <f t="shared" si="27"/>
        <v>IN</v>
      </c>
      <c r="AC30" s="143" t="str">
        <f t="shared" si="27"/>
        <v>TOTAL</v>
      </c>
      <c r="AD30" s="12"/>
      <c r="AE30" s="1"/>
      <c r="AF30" s="1"/>
    </row>
    <row r="31" ht="15.0" customHeight="1">
      <c r="A31" s="60"/>
      <c r="B31" s="60"/>
      <c r="C31" s="1"/>
      <c r="D31" s="1"/>
      <c r="E31" s="7"/>
      <c r="F31" s="144" t="str">
        <f>$F$6</f>
        <v>BEST TWO OF FOUR</v>
      </c>
      <c r="G31" s="145" t="str">
        <f t="shared" ref="G31:Q31" si="28">G6</f>
        <v>PURPLE</v>
      </c>
      <c r="H31" s="145">
        <f t="shared" si="28"/>
        <v>376</v>
      </c>
      <c r="I31" s="145">
        <f t="shared" si="28"/>
        <v>166</v>
      </c>
      <c r="J31" s="145">
        <f t="shared" si="28"/>
        <v>403</v>
      </c>
      <c r="K31" s="145">
        <f t="shared" si="28"/>
        <v>388</v>
      </c>
      <c r="L31" s="145">
        <f t="shared" si="28"/>
        <v>166</v>
      </c>
      <c r="M31" s="145">
        <f t="shared" si="28"/>
        <v>532</v>
      </c>
      <c r="N31" s="145">
        <f t="shared" si="28"/>
        <v>388</v>
      </c>
      <c r="O31" s="145">
        <f t="shared" si="28"/>
        <v>160</v>
      </c>
      <c r="P31" s="145">
        <f t="shared" si="28"/>
        <v>470</v>
      </c>
      <c r="Q31" s="145">
        <f t="shared" si="28"/>
        <v>3049</v>
      </c>
      <c r="R31" s="17"/>
      <c r="S31" s="145">
        <f t="shared" ref="S31:AB31" si="29">S6</f>
        <v>431</v>
      </c>
      <c r="T31" s="145">
        <f t="shared" si="29"/>
        <v>170</v>
      </c>
      <c r="U31" s="145">
        <f t="shared" si="29"/>
        <v>405</v>
      </c>
      <c r="V31" s="145">
        <f t="shared" si="29"/>
        <v>551</v>
      </c>
      <c r="W31" s="145">
        <f t="shared" si="29"/>
        <v>377</v>
      </c>
      <c r="X31" s="145">
        <f t="shared" si="29"/>
        <v>173</v>
      </c>
      <c r="Y31" s="145">
        <f t="shared" si="29"/>
        <v>376</v>
      </c>
      <c r="Z31" s="145">
        <f t="shared" si="29"/>
        <v>474</v>
      </c>
      <c r="AA31" s="145">
        <f t="shared" si="29"/>
        <v>390</v>
      </c>
      <c r="AB31" s="145">
        <f t="shared" si="29"/>
        <v>3347</v>
      </c>
      <c r="AC31" s="145">
        <f t="shared" ref="AC31:AC32" si="32">AB31+Q31</f>
        <v>6396</v>
      </c>
      <c r="AD31" s="12"/>
      <c r="AE31" s="1"/>
      <c r="AF31" s="1"/>
    </row>
    <row r="32" ht="15.0" customHeight="1">
      <c r="A32" s="60"/>
      <c r="B32" s="60"/>
      <c r="C32" s="1"/>
      <c r="D32" s="1"/>
      <c r="E32" s="7"/>
      <c r="F32" s="146"/>
      <c r="G32" s="147" t="str">
        <f t="shared" ref="G32:Q32" si="30">G7</f>
        <v>PAR</v>
      </c>
      <c r="H32" s="147">
        <f t="shared" si="30"/>
        <v>4</v>
      </c>
      <c r="I32" s="147">
        <f t="shared" si="30"/>
        <v>3</v>
      </c>
      <c r="J32" s="147">
        <f t="shared" si="30"/>
        <v>4</v>
      </c>
      <c r="K32" s="147">
        <f t="shared" si="30"/>
        <v>4</v>
      </c>
      <c r="L32" s="147">
        <f t="shared" si="30"/>
        <v>3</v>
      </c>
      <c r="M32" s="147">
        <f t="shared" si="30"/>
        <v>5</v>
      </c>
      <c r="N32" s="147">
        <f t="shared" si="30"/>
        <v>4</v>
      </c>
      <c r="O32" s="147">
        <f t="shared" si="30"/>
        <v>3</v>
      </c>
      <c r="P32" s="147">
        <f t="shared" si="30"/>
        <v>5</v>
      </c>
      <c r="Q32" s="147">
        <f t="shared" si="30"/>
        <v>35</v>
      </c>
      <c r="R32" s="17"/>
      <c r="S32" s="147">
        <f t="shared" ref="S32:AB32" si="31">S7</f>
        <v>4</v>
      </c>
      <c r="T32" s="147">
        <f t="shared" si="31"/>
        <v>3</v>
      </c>
      <c r="U32" s="147">
        <f t="shared" si="31"/>
        <v>4</v>
      </c>
      <c r="V32" s="147">
        <f t="shared" si="31"/>
        <v>5</v>
      </c>
      <c r="W32" s="147">
        <f t="shared" si="31"/>
        <v>4</v>
      </c>
      <c r="X32" s="147">
        <f t="shared" si="31"/>
        <v>3</v>
      </c>
      <c r="Y32" s="147">
        <f t="shared" si="31"/>
        <v>4</v>
      </c>
      <c r="Z32" s="147">
        <f t="shared" si="31"/>
        <v>5</v>
      </c>
      <c r="AA32" s="147">
        <f t="shared" si="31"/>
        <v>4</v>
      </c>
      <c r="AB32" s="147">
        <f t="shared" si="31"/>
        <v>36</v>
      </c>
      <c r="AC32" s="147">
        <f t="shared" si="32"/>
        <v>71</v>
      </c>
      <c r="AD32" s="12"/>
      <c r="AE32" s="1"/>
      <c r="AF32" s="1"/>
    </row>
    <row r="33" ht="15.0" customHeight="1">
      <c r="A33" s="60"/>
      <c r="B33" s="60"/>
      <c r="C33" s="1"/>
      <c r="D33" s="1"/>
      <c r="E33" s="7"/>
      <c r="F33" s="1"/>
      <c r="G33" s="148" t="str">
        <f t="shared" ref="G33:P33" si="33">G8</f>
        <v>HDCP</v>
      </c>
      <c r="H33" s="148">
        <f t="shared" si="33"/>
        <v>7</v>
      </c>
      <c r="I33" s="148">
        <f t="shared" si="33"/>
        <v>11</v>
      </c>
      <c r="J33" s="148">
        <f t="shared" si="33"/>
        <v>3</v>
      </c>
      <c r="K33" s="148">
        <f t="shared" si="33"/>
        <v>1</v>
      </c>
      <c r="L33" s="148">
        <f t="shared" si="33"/>
        <v>13</v>
      </c>
      <c r="M33" s="148">
        <f t="shared" si="33"/>
        <v>9</v>
      </c>
      <c r="N33" s="148">
        <f t="shared" si="33"/>
        <v>5</v>
      </c>
      <c r="O33" s="148">
        <f t="shared" si="33"/>
        <v>15</v>
      </c>
      <c r="P33" s="148">
        <f t="shared" si="33"/>
        <v>17</v>
      </c>
      <c r="Q33" s="148"/>
      <c r="R33" s="17"/>
      <c r="S33" s="148">
        <f t="shared" ref="S33:AA33" si="34">S8</f>
        <v>8</v>
      </c>
      <c r="T33" s="148">
        <f t="shared" si="34"/>
        <v>14</v>
      </c>
      <c r="U33" s="148">
        <f t="shared" si="34"/>
        <v>2</v>
      </c>
      <c r="V33" s="148">
        <f t="shared" si="34"/>
        <v>6</v>
      </c>
      <c r="W33" s="148">
        <f t="shared" si="34"/>
        <v>12</v>
      </c>
      <c r="X33" s="148">
        <f t="shared" si="34"/>
        <v>16</v>
      </c>
      <c r="Y33" s="148">
        <f t="shared" si="34"/>
        <v>10</v>
      </c>
      <c r="Z33" s="148">
        <f t="shared" si="34"/>
        <v>18</v>
      </c>
      <c r="AA33" s="148">
        <f t="shared" si="34"/>
        <v>4</v>
      </c>
      <c r="AB33" s="148"/>
      <c r="AC33" s="148"/>
      <c r="AD33" s="12"/>
      <c r="AE33" s="1"/>
      <c r="AF33" s="1"/>
    </row>
    <row r="34" ht="6.75" customHeight="1">
      <c r="A34" s="60"/>
      <c r="B34" s="60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2"/>
      <c r="AE34" s="1"/>
      <c r="AF34" s="1"/>
    </row>
    <row r="35" ht="11.25" customHeight="1">
      <c r="A35" s="60"/>
      <c r="B35" s="60"/>
      <c r="C35" s="1"/>
      <c r="D35" s="1"/>
      <c r="E35" s="7"/>
      <c r="F35" s="149"/>
      <c r="G35" s="150" t="str">
        <f>IFERROR(VLOOKUP(F35,HANDICAPS!$B$8:$G$23,$D$3,FALSE),"")</f>
        <v/>
      </c>
      <c r="H35" s="151" t="str">
        <f t="shared" ref="H35:P35" si="35">IFERROR(IF($G35&gt;18,IF(($G35-18)&gt;H$33,"**","*"),IF($G35&gt;=H$8,"*","")),"")</f>
        <v>*</v>
      </c>
      <c r="I35" s="151" t="str">
        <f t="shared" si="35"/>
        <v>*</v>
      </c>
      <c r="J35" s="151" t="str">
        <f t="shared" si="35"/>
        <v>*</v>
      </c>
      <c r="K35" s="151" t="str">
        <f t="shared" si="35"/>
        <v>*</v>
      </c>
      <c r="L35" s="151" t="str">
        <f t="shared" si="35"/>
        <v>*</v>
      </c>
      <c r="M35" s="151" t="str">
        <f t="shared" si="35"/>
        <v>*</v>
      </c>
      <c r="N35" s="151" t="str">
        <f t="shared" si="35"/>
        <v>*</v>
      </c>
      <c r="O35" s="152" t="str">
        <f t="shared" si="35"/>
        <v>*</v>
      </c>
      <c r="P35" s="151" t="str">
        <f t="shared" si="35"/>
        <v>*</v>
      </c>
      <c r="Q35" s="151"/>
      <c r="R35" s="153"/>
      <c r="S35" s="151" t="str">
        <f t="shared" ref="S35:AA35" si="36">IFERROR(IF($G35&gt;18,IF(($G35-18)&gt;S$33,"**","*"),IF($G35&gt;=S$8,"*","")),"")</f>
        <v>*</v>
      </c>
      <c r="T35" s="151" t="str">
        <f t="shared" si="36"/>
        <v>*</v>
      </c>
      <c r="U35" s="151" t="str">
        <f t="shared" si="36"/>
        <v>*</v>
      </c>
      <c r="V35" s="151" t="str">
        <f t="shared" si="36"/>
        <v>*</v>
      </c>
      <c r="W35" s="151" t="str">
        <f t="shared" si="36"/>
        <v>*</v>
      </c>
      <c r="X35" s="151" t="str">
        <f t="shared" si="36"/>
        <v>*</v>
      </c>
      <c r="Y35" s="151" t="str">
        <f t="shared" si="36"/>
        <v>*</v>
      </c>
      <c r="Z35" s="151" t="str">
        <f t="shared" si="36"/>
        <v>*</v>
      </c>
      <c r="AA35" s="152" t="str">
        <f t="shared" si="36"/>
        <v>*</v>
      </c>
      <c r="AB35" s="151"/>
      <c r="AC35" s="151" t="str">
        <f>IF(AB35="","",SUM(Q35,AB35))</f>
        <v/>
      </c>
      <c r="AD35" s="12"/>
      <c r="AE35" s="1"/>
      <c r="AF35" s="1"/>
    </row>
    <row r="36" ht="18.75" customHeight="1">
      <c r="A36" s="60"/>
      <c r="B36" s="60"/>
      <c r="C36" s="1"/>
      <c r="D36" s="1"/>
      <c r="E36" s="7"/>
      <c r="F36" s="154"/>
      <c r="G36" s="155"/>
      <c r="H36" s="156"/>
      <c r="I36" s="156"/>
      <c r="J36" s="156"/>
      <c r="K36" s="156"/>
      <c r="L36" s="156"/>
      <c r="M36" s="156"/>
      <c r="N36" s="156"/>
      <c r="O36" s="157"/>
      <c r="P36" s="156"/>
      <c r="Q36" s="156" t="str">
        <f>IF(H36="","",SUM(H36:P36))</f>
        <v/>
      </c>
      <c r="R36" s="153"/>
      <c r="S36" s="156"/>
      <c r="T36" s="156"/>
      <c r="U36" s="156"/>
      <c r="V36" s="156"/>
      <c r="W36" s="156"/>
      <c r="X36" s="156"/>
      <c r="Y36" s="156"/>
      <c r="Z36" s="156"/>
      <c r="AA36" s="157"/>
      <c r="AB36" s="156" t="str">
        <f>IF(S36="","",SUM(S36:AA36))</f>
        <v/>
      </c>
      <c r="AC36" s="156">
        <f>IFERROR(Q36+AB36,"")</f>
        <v>0</v>
      </c>
      <c r="AD36" s="12"/>
      <c r="AE36" s="1"/>
      <c r="AF36" s="1"/>
    </row>
    <row r="37" ht="11.25" customHeight="1">
      <c r="A37" s="60"/>
      <c r="B37" s="60"/>
      <c r="C37" s="1"/>
      <c r="D37" s="1"/>
      <c r="E37" s="7"/>
      <c r="F37" s="149"/>
      <c r="G37" s="150" t="str">
        <f>IFERROR(VLOOKUP(F37,HANDICAPS!$B$8:$G$23,$D$3,FALSE),"")</f>
        <v/>
      </c>
      <c r="H37" s="158" t="str">
        <f t="shared" ref="H37:P37" si="37">IFERROR(IF($G37&gt;18,IF(($G37-18)&gt;H$33,"**","*"),IF($G37&gt;=H$8,"*","")),"")</f>
        <v>*</v>
      </c>
      <c r="I37" s="158" t="str">
        <f t="shared" si="37"/>
        <v>*</v>
      </c>
      <c r="J37" s="158" t="str">
        <f t="shared" si="37"/>
        <v>*</v>
      </c>
      <c r="K37" s="158" t="str">
        <f t="shared" si="37"/>
        <v>*</v>
      </c>
      <c r="L37" s="158" t="str">
        <f t="shared" si="37"/>
        <v>*</v>
      </c>
      <c r="M37" s="158" t="str">
        <f t="shared" si="37"/>
        <v>*</v>
      </c>
      <c r="N37" s="158" t="str">
        <f t="shared" si="37"/>
        <v>*</v>
      </c>
      <c r="O37" s="159" t="str">
        <f t="shared" si="37"/>
        <v>*</v>
      </c>
      <c r="P37" s="158" t="str">
        <f t="shared" si="37"/>
        <v>*</v>
      </c>
      <c r="Q37" s="158"/>
      <c r="R37" s="158"/>
      <c r="S37" s="158" t="str">
        <f t="shared" ref="S37:AA37" si="38">IFERROR(IF($G37&gt;18,IF(($G37-18)&gt;S$33,"**","*"),IF($G37&gt;=S$8,"*","")),"")</f>
        <v>*</v>
      </c>
      <c r="T37" s="158" t="str">
        <f t="shared" si="38"/>
        <v>*</v>
      </c>
      <c r="U37" s="158" t="str">
        <f t="shared" si="38"/>
        <v>*</v>
      </c>
      <c r="V37" s="158" t="str">
        <f t="shared" si="38"/>
        <v>*</v>
      </c>
      <c r="W37" s="158" t="str">
        <f t="shared" si="38"/>
        <v>*</v>
      </c>
      <c r="X37" s="158" t="str">
        <f t="shared" si="38"/>
        <v>*</v>
      </c>
      <c r="Y37" s="158" t="str">
        <f t="shared" si="38"/>
        <v>*</v>
      </c>
      <c r="Z37" s="158" t="str">
        <f t="shared" si="38"/>
        <v>*</v>
      </c>
      <c r="AA37" s="159" t="str">
        <f t="shared" si="38"/>
        <v>*</v>
      </c>
      <c r="AB37" s="151"/>
      <c r="AC37" s="151" t="str">
        <f>IF(AB37="","",SUM(Q37,AB37))</f>
        <v/>
      </c>
      <c r="AD37" s="12"/>
      <c r="AE37" s="1"/>
      <c r="AF37" s="1"/>
    </row>
    <row r="38" ht="18.75" customHeight="1">
      <c r="A38" s="60"/>
      <c r="B38" s="60"/>
      <c r="C38" s="1"/>
      <c r="D38" s="1"/>
      <c r="E38" s="7"/>
      <c r="F38" s="154"/>
      <c r="G38" s="155"/>
      <c r="H38" s="156"/>
      <c r="I38" s="156"/>
      <c r="J38" s="156"/>
      <c r="K38" s="156"/>
      <c r="L38" s="156"/>
      <c r="M38" s="156"/>
      <c r="N38" s="156"/>
      <c r="O38" s="157"/>
      <c r="P38" s="156"/>
      <c r="Q38" s="156" t="str">
        <f>IF(H38="","",SUM(H38:P38))</f>
        <v/>
      </c>
      <c r="R38" s="160"/>
      <c r="S38" s="156"/>
      <c r="T38" s="156"/>
      <c r="U38" s="156"/>
      <c r="V38" s="156"/>
      <c r="W38" s="156"/>
      <c r="X38" s="156"/>
      <c r="Y38" s="156"/>
      <c r="Z38" s="156"/>
      <c r="AA38" s="157"/>
      <c r="AB38" s="156" t="str">
        <f>IF(S38="","",SUM(S38:AA38))</f>
        <v/>
      </c>
      <c r="AC38" s="156">
        <f>IFERROR(Q38+AB38,"")</f>
        <v>0</v>
      </c>
      <c r="AD38" s="12"/>
      <c r="AE38" s="1"/>
      <c r="AF38" s="1"/>
    </row>
    <row r="39" ht="6.75" customHeight="1">
      <c r="A39" s="60"/>
      <c r="B39" s="60"/>
      <c r="C39" s="1"/>
      <c r="D39" s="1"/>
      <c r="E39" s="7"/>
      <c r="F39" s="16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12"/>
      <c r="AE39" s="1"/>
      <c r="AF39" s="1"/>
    </row>
    <row r="40" ht="27.75" customHeight="1">
      <c r="A40" s="60"/>
      <c r="B40" s="60"/>
      <c r="C40" s="1"/>
      <c r="D40" s="1"/>
      <c r="E40" s="7"/>
      <c r="F40" s="161" t="s">
        <v>143</v>
      </c>
      <c r="G40" s="142"/>
      <c r="H40" s="162" t="str">
        <f t="shared" ref="H40:P40" si="39">IF(H36="","",MIN(IF(H35="**",H36-2,IF(H35="*",H36-1,H36)),(IF(H37="**",H38-2,IF(H37="*",H38-1,H38)))))</f>
        <v/>
      </c>
      <c r="I40" s="162" t="str">
        <f t="shared" si="39"/>
        <v/>
      </c>
      <c r="J40" s="162" t="str">
        <f t="shared" si="39"/>
        <v/>
      </c>
      <c r="K40" s="162" t="str">
        <f t="shared" si="39"/>
        <v/>
      </c>
      <c r="L40" s="162" t="str">
        <f t="shared" si="39"/>
        <v/>
      </c>
      <c r="M40" s="162" t="str">
        <f t="shared" si="39"/>
        <v/>
      </c>
      <c r="N40" s="162" t="str">
        <f t="shared" si="39"/>
        <v/>
      </c>
      <c r="O40" s="163" t="str">
        <f t="shared" si="39"/>
        <v/>
      </c>
      <c r="P40" s="162" t="str">
        <f t="shared" si="39"/>
        <v/>
      </c>
      <c r="Q40" s="162" t="str">
        <f t="shared" ref="Q40:Q41" si="42">IF(H40="","",SUM(H40:P40))</f>
        <v/>
      </c>
      <c r="R40" s="23"/>
      <c r="S40" s="162" t="str">
        <f t="shared" ref="S40:AA40" si="40">IF(S36="","",MIN(IF(S35="**",S36-2,IF(S35="*",S36-1,S36)),(IF(S37="**",S38-2,IF(S37="*",S38-1,S38)))))</f>
        <v/>
      </c>
      <c r="T40" s="162" t="str">
        <f t="shared" si="40"/>
        <v/>
      </c>
      <c r="U40" s="162" t="str">
        <f t="shared" si="40"/>
        <v/>
      </c>
      <c r="V40" s="162" t="str">
        <f t="shared" si="40"/>
        <v/>
      </c>
      <c r="W40" s="162" t="str">
        <f t="shared" si="40"/>
        <v/>
      </c>
      <c r="X40" s="162" t="str">
        <f t="shared" si="40"/>
        <v/>
      </c>
      <c r="Y40" s="162" t="str">
        <f t="shared" si="40"/>
        <v/>
      </c>
      <c r="Z40" s="162" t="str">
        <f t="shared" si="40"/>
        <v/>
      </c>
      <c r="AA40" s="163" t="str">
        <f t="shared" si="40"/>
        <v/>
      </c>
      <c r="AB40" s="162" t="str">
        <f t="shared" ref="AB40:AB41" si="44">IF(S40="","",SUM(S40:AA40))</f>
        <v/>
      </c>
      <c r="AC40" s="162" t="str">
        <f t="shared" ref="AC40:AC41" si="45">IF(AB40="","",AB40+Q40)</f>
        <v/>
      </c>
      <c r="AD40" s="12"/>
      <c r="AE40" s="1"/>
      <c r="AF40" s="1"/>
    </row>
    <row r="41" ht="27.75" customHeight="1">
      <c r="A41" s="60"/>
      <c r="B41" s="60"/>
      <c r="C41" s="1"/>
      <c r="D41" s="1"/>
      <c r="E41" s="7"/>
      <c r="F41" s="161" t="s">
        <v>144</v>
      </c>
      <c r="G41" s="142"/>
      <c r="H41" s="164" t="str">
        <f t="shared" ref="H41:P41" si="41">IF(H40="","",IF(H40=H48,0.5,IF(H40&lt;H48,1,0)))</f>
        <v/>
      </c>
      <c r="I41" s="164" t="str">
        <f t="shared" si="41"/>
        <v/>
      </c>
      <c r="J41" s="164" t="str">
        <f t="shared" si="41"/>
        <v/>
      </c>
      <c r="K41" s="164" t="str">
        <f t="shared" si="41"/>
        <v/>
      </c>
      <c r="L41" s="164" t="str">
        <f t="shared" si="41"/>
        <v/>
      </c>
      <c r="M41" s="164" t="str">
        <f t="shared" si="41"/>
        <v/>
      </c>
      <c r="N41" s="164" t="str">
        <f t="shared" si="41"/>
        <v/>
      </c>
      <c r="O41" s="165" t="str">
        <f t="shared" si="41"/>
        <v/>
      </c>
      <c r="P41" s="164" t="str">
        <f t="shared" si="41"/>
        <v/>
      </c>
      <c r="Q41" s="164" t="str">
        <f t="shared" si="42"/>
        <v/>
      </c>
      <c r="R41" s="23"/>
      <c r="S41" s="164" t="str">
        <f t="shared" ref="S41:AA41" si="43">IF(S40="","",IF(S40=S48,0.5,IF(S40&lt;S48,1,0)))</f>
        <v/>
      </c>
      <c r="T41" s="164" t="str">
        <f t="shared" si="43"/>
        <v/>
      </c>
      <c r="U41" s="164" t="str">
        <f t="shared" si="43"/>
        <v/>
      </c>
      <c r="V41" s="164" t="str">
        <f t="shared" si="43"/>
        <v/>
      </c>
      <c r="W41" s="164" t="str">
        <f t="shared" si="43"/>
        <v/>
      </c>
      <c r="X41" s="164" t="str">
        <f t="shared" si="43"/>
        <v/>
      </c>
      <c r="Y41" s="164" t="str">
        <f t="shared" si="43"/>
        <v/>
      </c>
      <c r="Z41" s="164" t="str">
        <f t="shared" si="43"/>
        <v/>
      </c>
      <c r="AA41" s="165" t="str">
        <f t="shared" si="43"/>
        <v/>
      </c>
      <c r="AB41" s="164" t="str">
        <f t="shared" si="44"/>
        <v/>
      </c>
      <c r="AC41" s="164" t="str">
        <f t="shared" si="45"/>
        <v/>
      </c>
      <c r="AD41" s="12"/>
      <c r="AE41" s="1"/>
      <c r="AF41" s="1"/>
    </row>
    <row r="42" ht="6.75" customHeight="1">
      <c r="A42" s="60"/>
      <c r="B42" s="60"/>
      <c r="C42" s="1"/>
      <c r="D42" s="1"/>
      <c r="E42" s="7"/>
      <c r="F42" s="16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12"/>
      <c r="AE42" s="1"/>
      <c r="AF42" s="1"/>
    </row>
    <row r="43" ht="11.25" customHeight="1">
      <c r="A43" s="60"/>
      <c r="B43" s="60"/>
      <c r="C43" s="1"/>
      <c r="D43" s="1"/>
      <c r="E43" s="7"/>
      <c r="F43" s="149"/>
      <c r="G43" s="150" t="str">
        <f>IFERROR(VLOOKUP(F43,HANDICAPS!$B$8:$G$23,$D$3,FALSE),"")</f>
        <v/>
      </c>
      <c r="H43" s="151" t="str">
        <f t="shared" ref="H43:P43" si="46">IFERROR(IF($G43&gt;18,IF(($G43-18)&gt;H$33,"**","*"),IF($G43&gt;=H$8,"*","")),"")</f>
        <v>*</v>
      </c>
      <c r="I43" s="151" t="str">
        <f t="shared" si="46"/>
        <v>*</v>
      </c>
      <c r="J43" s="151" t="str">
        <f t="shared" si="46"/>
        <v>*</v>
      </c>
      <c r="K43" s="151" t="str">
        <f t="shared" si="46"/>
        <v>*</v>
      </c>
      <c r="L43" s="151" t="str">
        <f t="shared" si="46"/>
        <v>*</v>
      </c>
      <c r="M43" s="151" t="str">
        <f t="shared" si="46"/>
        <v>*</v>
      </c>
      <c r="N43" s="151" t="str">
        <f t="shared" si="46"/>
        <v>*</v>
      </c>
      <c r="O43" s="152" t="str">
        <f t="shared" si="46"/>
        <v>*</v>
      </c>
      <c r="P43" s="151" t="str">
        <f t="shared" si="46"/>
        <v>*</v>
      </c>
      <c r="Q43" s="151"/>
      <c r="R43" s="153"/>
      <c r="S43" s="151" t="str">
        <f t="shared" ref="S43:AA43" si="47">IFERROR(IF($G43&gt;18,IF(($G43-18)&gt;S$33,"**","*"),IF($G43&gt;=S$8,"*","")),"")</f>
        <v>*</v>
      </c>
      <c r="T43" s="151" t="str">
        <f t="shared" si="47"/>
        <v>*</v>
      </c>
      <c r="U43" s="151" t="str">
        <f t="shared" si="47"/>
        <v>*</v>
      </c>
      <c r="V43" s="151" t="str">
        <f t="shared" si="47"/>
        <v>*</v>
      </c>
      <c r="W43" s="151" t="str">
        <f t="shared" si="47"/>
        <v>*</v>
      </c>
      <c r="X43" s="151" t="str">
        <f t="shared" si="47"/>
        <v>*</v>
      </c>
      <c r="Y43" s="151" t="str">
        <f t="shared" si="47"/>
        <v>*</v>
      </c>
      <c r="Z43" s="151" t="str">
        <f t="shared" si="47"/>
        <v>*</v>
      </c>
      <c r="AA43" s="152" t="str">
        <f t="shared" si="47"/>
        <v>*</v>
      </c>
      <c r="AB43" s="151"/>
      <c r="AC43" s="151" t="str">
        <f>IF(AB43="","",SUM(Q43,AB43))</f>
        <v/>
      </c>
      <c r="AD43" s="12"/>
      <c r="AE43" s="1"/>
      <c r="AF43" s="1"/>
    </row>
    <row r="44" ht="18.75" customHeight="1">
      <c r="A44" s="60"/>
      <c r="B44" s="60"/>
      <c r="C44" s="1"/>
      <c r="D44" s="1"/>
      <c r="E44" s="7"/>
      <c r="F44" s="154"/>
      <c r="G44" s="155"/>
      <c r="H44" s="156"/>
      <c r="I44" s="156"/>
      <c r="J44" s="156"/>
      <c r="K44" s="156"/>
      <c r="L44" s="156"/>
      <c r="M44" s="156"/>
      <c r="N44" s="156"/>
      <c r="O44" s="157"/>
      <c r="P44" s="156"/>
      <c r="Q44" s="156" t="str">
        <f>IF(H44="","",SUM(H44:P44))</f>
        <v/>
      </c>
      <c r="R44" s="153"/>
      <c r="S44" s="156"/>
      <c r="T44" s="156"/>
      <c r="U44" s="156"/>
      <c r="V44" s="156"/>
      <c r="W44" s="156"/>
      <c r="X44" s="156"/>
      <c r="Y44" s="156"/>
      <c r="Z44" s="156"/>
      <c r="AA44" s="157"/>
      <c r="AB44" s="156" t="str">
        <f>IF(S44="","",SUM(S44:AA44))</f>
        <v/>
      </c>
      <c r="AC44" s="156">
        <f>IFERROR(Q44+AB44,"")</f>
        <v>0</v>
      </c>
      <c r="AD44" s="12"/>
      <c r="AE44" s="1"/>
      <c r="AF44" s="1"/>
    </row>
    <row r="45" ht="11.25" customHeight="1">
      <c r="A45" s="60"/>
      <c r="B45" s="60"/>
      <c r="C45" s="1"/>
      <c r="D45" s="1"/>
      <c r="E45" s="7"/>
      <c r="F45" s="149"/>
      <c r="G45" s="150" t="str">
        <f>IFERROR(VLOOKUP(F45,HANDICAPS!$B$8:$G$23,$D$3,FALSE),"")</f>
        <v/>
      </c>
      <c r="H45" s="158" t="str">
        <f t="shared" ref="H45:P45" si="48">IFERROR(IF($G45&gt;18,IF(($G45-18)&gt;H$33,"**","*"),IF($G45&gt;=H$8,"*","")),"")</f>
        <v>*</v>
      </c>
      <c r="I45" s="158" t="str">
        <f t="shared" si="48"/>
        <v>*</v>
      </c>
      <c r="J45" s="158" t="str">
        <f t="shared" si="48"/>
        <v>*</v>
      </c>
      <c r="K45" s="158" t="str">
        <f t="shared" si="48"/>
        <v>*</v>
      </c>
      <c r="L45" s="158" t="str">
        <f t="shared" si="48"/>
        <v>*</v>
      </c>
      <c r="M45" s="158" t="str">
        <f t="shared" si="48"/>
        <v>*</v>
      </c>
      <c r="N45" s="158" t="str">
        <f t="shared" si="48"/>
        <v>*</v>
      </c>
      <c r="O45" s="159" t="str">
        <f t="shared" si="48"/>
        <v>*</v>
      </c>
      <c r="P45" s="158" t="str">
        <f t="shared" si="48"/>
        <v>*</v>
      </c>
      <c r="Q45" s="158"/>
      <c r="R45" s="158"/>
      <c r="S45" s="158" t="str">
        <f t="shared" ref="S45:AA45" si="49">IFERROR(IF($G45&gt;18,IF(($G45-18)&gt;S$33,"**","*"),IF($G45&gt;=S$8,"*","")),"")</f>
        <v>*</v>
      </c>
      <c r="T45" s="158" t="str">
        <f t="shared" si="49"/>
        <v>*</v>
      </c>
      <c r="U45" s="158" t="str">
        <f t="shared" si="49"/>
        <v>*</v>
      </c>
      <c r="V45" s="158" t="str">
        <f t="shared" si="49"/>
        <v>*</v>
      </c>
      <c r="W45" s="158" t="str">
        <f t="shared" si="49"/>
        <v>*</v>
      </c>
      <c r="X45" s="158" t="str">
        <f t="shared" si="49"/>
        <v>*</v>
      </c>
      <c r="Y45" s="158" t="str">
        <f t="shared" si="49"/>
        <v>*</v>
      </c>
      <c r="Z45" s="158" t="str">
        <f t="shared" si="49"/>
        <v>*</v>
      </c>
      <c r="AA45" s="159" t="str">
        <f t="shared" si="49"/>
        <v>*</v>
      </c>
      <c r="AB45" s="151"/>
      <c r="AC45" s="151" t="str">
        <f>IF(AB45="","",SUM(Q45,AB45))</f>
        <v/>
      </c>
      <c r="AD45" s="12"/>
      <c r="AE45" s="1"/>
      <c r="AF45" s="1"/>
    </row>
    <row r="46" ht="18.75" customHeight="1">
      <c r="A46" s="60"/>
      <c r="B46" s="60"/>
      <c r="C46" s="1"/>
      <c r="D46" s="1"/>
      <c r="E46" s="7"/>
      <c r="F46" s="154"/>
      <c r="G46" s="155"/>
      <c r="H46" s="156"/>
      <c r="I46" s="156"/>
      <c r="J46" s="156"/>
      <c r="K46" s="156"/>
      <c r="L46" s="156"/>
      <c r="M46" s="156"/>
      <c r="N46" s="156"/>
      <c r="O46" s="157"/>
      <c r="P46" s="156"/>
      <c r="Q46" s="156" t="str">
        <f>IF(H46="","",SUM(H46:P46))</f>
        <v/>
      </c>
      <c r="R46" s="160"/>
      <c r="S46" s="156"/>
      <c r="T46" s="156"/>
      <c r="U46" s="156"/>
      <c r="V46" s="156"/>
      <c r="W46" s="156"/>
      <c r="X46" s="156"/>
      <c r="Y46" s="156"/>
      <c r="Z46" s="156"/>
      <c r="AA46" s="157"/>
      <c r="AB46" s="156" t="str">
        <f>IF(S46="","",SUM(S46:AA46))</f>
        <v/>
      </c>
      <c r="AC46" s="156">
        <f>IFERROR(Q46+AB46,"")</f>
        <v>0</v>
      </c>
      <c r="AD46" s="12"/>
      <c r="AE46" s="1"/>
      <c r="AF46" s="1"/>
    </row>
    <row r="47" ht="6.75" customHeight="1">
      <c r="A47" s="60"/>
      <c r="B47" s="60"/>
      <c r="C47" s="1"/>
      <c r="D47" s="1"/>
      <c r="E47" s="7"/>
      <c r="F47" s="16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12"/>
      <c r="AE47" s="1"/>
      <c r="AF47" s="1"/>
    </row>
    <row r="48" ht="27.75" customHeight="1">
      <c r="A48" s="60"/>
      <c r="B48" s="60"/>
      <c r="C48" s="1"/>
      <c r="D48" s="1"/>
      <c r="E48" s="7"/>
      <c r="F48" s="161" t="s">
        <v>143</v>
      </c>
      <c r="G48" s="142"/>
      <c r="H48" s="162" t="str">
        <f t="shared" ref="H48:P48" si="50">IF(H44="","",MIN(IF(H43="**",H44-2,IF(H43="*",H44-1,H44)),(IF(H45="**",H46-2,IF(H45="*",H46-1,H46)))))</f>
        <v/>
      </c>
      <c r="I48" s="162" t="str">
        <f t="shared" si="50"/>
        <v/>
      </c>
      <c r="J48" s="162" t="str">
        <f t="shared" si="50"/>
        <v/>
      </c>
      <c r="K48" s="162" t="str">
        <f t="shared" si="50"/>
        <v/>
      </c>
      <c r="L48" s="162" t="str">
        <f t="shared" si="50"/>
        <v/>
      </c>
      <c r="M48" s="162" t="str">
        <f t="shared" si="50"/>
        <v/>
      </c>
      <c r="N48" s="162" t="str">
        <f t="shared" si="50"/>
        <v/>
      </c>
      <c r="O48" s="163" t="str">
        <f t="shared" si="50"/>
        <v/>
      </c>
      <c r="P48" s="162" t="str">
        <f t="shared" si="50"/>
        <v/>
      </c>
      <c r="Q48" s="162" t="str">
        <f t="shared" ref="Q48:Q49" si="53">IF(H48="","",SUM(H48:P48))</f>
        <v/>
      </c>
      <c r="R48" s="23"/>
      <c r="S48" s="162" t="str">
        <f t="shared" ref="S48:AA48" si="51">IF(S44="","",MIN(IF(S43="**",S44-2,IF(S43="*",S44-1,S44)),(IF(S45="**",S46-2,IF(S45="*",S46-1,S46)))))</f>
        <v/>
      </c>
      <c r="T48" s="162" t="str">
        <f t="shared" si="51"/>
        <v/>
      </c>
      <c r="U48" s="162" t="str">
        <f t="shared" si="51"/>
        <v/>
      </c>
      <c r="V48" s="162" t="str">
        <f t="shared" si="51"/>
        <v/>
      </c>
      <c r="W48" s="162" t="str">
        <f t="shared" si="51"/>
        <v/>
      </c>
      <c r="X48" s="162" t="str">
        <f t="shared" si="51"/>
        <v/>
      </c>
      <c r="Y48" s="162" t="str">
        <f t="shared" si="51"/>
        <v/>
      </c>
      <c r="Z48" s="162" t="str">
        <f t="shared" si="51"/>
        <v/>
      </c>
      <c r="AA48" s="163" t="str">
        <f t="shared" si="51"/>
        <v/>
      </c>
      <c r="AB48" s="162" t="str">
        <f t="shared" ref="AB48:AB49" si="55">IF(S48="","",SUM(S48:AA48))</f>
        <v/>
      </c>
      <c r="AC48" s="162" t="str">
        <f t="shared" ref="AC48:AC49" si="56">IF(AB48="","",AB48+Q48)</f>
        <v/>
      </c>
      <c r="AD48" s="12"/>
      <c r="AE48" s="1"/>
      <c r="AF48" s="1"/>
    </row>
    <row r="49" ht="27.75" customHeight="1">
      <c r="A49" s="60"/>
      <c r="B49" s="60"/>
      <c r="C49" s="1"/>
      <c r="D49" s="1"/>
      <c r="E49" s="7"/>
      <c r="F49" s="161" t="s">
        <v>144</v>
      </c>
      <c r="G49" s="142"/>
      <c r="H49" s="164" t="str">
        <f t="shared" ref="H49:P49" si="52">IF(H48="","",IF(H48=H40,0.5,IF(H48&lt;H40,1,0)))</f>
        <v/>
      </c>
      <c r="I49" s="164" t="str">
        <f t="shared" si="52"/>
        <v/>
      </c>
      <c r="J49" s="164" t="str">
        <f t="shared" si="52"/>
        <v/>
      </c>
      <c r="K49" s="164" t="str">
        <f t="shared" si="52"/>
        <v/>
      </c>
      <c r="L49" s="164" t="str">
        <f t="shared" si="52"/>
        <v/>
      </c>
      <c r="M49" s="164" t="str">
        <f t="shared" si="52"/>
        <v/>
      </c>
      <c r="N49" s="164" t="str">
        <f t="shared" si="52"/>
        <v/>
      </c>
      <c r="O49" s="165" t="str">
        <f t="shared" si="52"/>
        <v/>
      </c>
      <c r="P49" s="164" t="str">
        <f t="shared" si="52"/>
        <v/>
      </c>
      <c r="Q49" s="164" t="str">
        <f t="shared" si="53"/>
        <v/>
      </c>
      <c r="R49" s="23"/>
      <c r="S49" s="164" t="str">
        <f t="shared" ref="S49:AA49" si="54">IF(S48="","",IF(S48=S40,0.5,IF(S48&lt;S40,1,0)))</f>
        <v/>
      </c>
      <c r="T49" s="164" t="str">
        <f t="shared" si="54"/>
        <v/>
      </c>
      <c r="U49" s="164" t="str">
        <f t="shared" si="54"/>
        <v/>
      </c>
      <c r="V49" s="164" t="str">
        <f t="shared" si="54"/>
        <v/>
      </c>
      <c r="W49" s="164" t="str">
        <f t="shared" si="54"/>
        <v/>
      </c>
      <c r="X49" s="164" t="str">
        <f t="shared" si="54"/>
        <v/>
      </c>
      <c r="Y49" s="164" t="str">
        <f t="shared" si="54"/>
        <v/>
      </c>
      <c r="Z49" s="164" t="str">
        <f t="shared" si="54"/>
        <v/>
      </c>
      <c r="AA49" s="165" t="str">
        <f t="shared" si="54"/>
        <v/>
      </c>
      <c r="AB49" s="164" t="str">
        <f t="shared" si="55"/>
        <v/>
      </c>
      <c r="AC49" s="164" t="str">
        <f t="shared" si="56"/>
        <v/>
      </c>
      <c r="AD49" s="12"/>
      <c r="AE49" s="1"/>
      <c r="AF49" s="1"/>
    </row>
    <row r="50" ht="6.75" customHeight="1">
      <c r="A50" s="60"/>
      <c r="B50" s="60"/>
      <c r="C50" s="1"/>
      <c r="D50" s="1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1"/>
      <c r="AF50" s="1"/>
    </row>
    <row r="51" ht="9.75" hidden="1" customHeight="1">
      <c r="A51" s="60"/>
      <c r="B51" s="60"/>
      <c r="C51" s="1"/>
      <c r="D51" s="1"/>
      <c r="E51" s="3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6.75" customHeight="1">
      <c r="A52" s="60"/>
      <c r="B52" s="60"/>
      <c r="C52" s="1"/>
      <c r="D52" s="1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  <c r="AA52" s="4"/>
      <c r="AB52" s="4"/>
      <c r="AC52" s="4"/>
      <c r="AD52" s="5"/>
      <c r="AE52" s="1"/>
      <c r="AF52" s="1"/>
    </row>
    <row r="53" ht="15.75" customHeight="1">
      <c r="A53" s="60"/>
      <c r="B53" s="60"/>
      <c r="C53" s="1"/>
      <c r="D53" s="1"/>
      <c r="E53" s="7"/>
      <c r="F53" s="140" t="str">
        <f>F28</f>
        <v>MICHIGAN OPEN 2022 - PRACTICE ROUND - CROOKED TREE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2"/>
      <c r="AD53" s="12"/>
      <c r="AE53" s="1"/>
      <c r="AF53" s="1"/>
    </row>
    <row r="54" ht="18.75" customHeight="1">
      <c r="A54" s="60"/>
      <c r="B54" s="60"/>
      <c r="C54" s="1"/>
      <c r="D54" s="1"/>
      <c r="E54" s="7"/>
      <c r="F54" s="1"/>
      <c r="G54" s="1"/>
      <c r="H54" s="1"/>
      <c r="I54" s="1"/>
      <c r="J54" s="13" t="str">
        <f>J29</f>
        <v>FRONT</v>
      </c>
      <c r="K54" s="14"/>
      <c r="L54" s="14"/>
      <c r="M54" s="14"/>
      <c r="N54" s="14"/>
      <c r="O54" s="1"/>
      <c r="P54" s="1"/>
      <c r="Q54" s="1"/>
      <c r="R54" s="1"/>
      <c r="S54" s="1"/>
      <c r="T54" s="1"/>
      <c r="U54" s="1"/>
      <c r="V54" s="13" t="str">
        <f>V29</f>
        <v>BACK</v>
      </c>
      <c r="W54" s="14"/>
      <c r="X54" s="14"/>
      <c r="Y54" s="14"/>
      <c r="Z54" s="14"/>
      <c r="AA54" s="1"/>
      <c r="AB54" s="1"/>
      <c r="AC54" s="1"/>
      <c r="AD54" s="12"/>
      <c r="AE54" s="1"/>
      <c r="AF54" s="1"/>
    </row>
    <row r="55" ht="15.0" customHeight="1">
      <c r="A55" s="60"/>
      <c r="B55" s="60"/>
      <c r="C55" s="1"/>
      <c r="D55" s="1"/>
      <c r="E55" s="7"/>
      <c r="F55" s="1"/>
      <c r="G55" s="143" t="str">
        <f t="shared" ref="G55:Q55" si="57">G30</f>
        <v>HOLE</v>
      </c>
      <c r="H55" s="143">
        <f t="shared" si="57"/>
        <v>1</v>
      </c>
      <c r="I55" s="143">
        <f t="shared" si="57"/>
        <v>2</v>
      </c>
      <c r="J55" s="143">
        <f t="shared" si="57"/>
        <v>3</v>
      </c>
      <c r="K55" s="143">
        <f t="shared" si="57"/>
        <v>4</v>
      </c>
      <c r="L55" s="143">
        <f t="shared" si="57"/>
        <v>5</v>
      </c>
      <c r="M55" s="143">
        <f t="shared" si="57"/>
        <v>6</v>
      </c>
      <c r="N55" s="143">
        <f t="shared" si="57"/>
        <v>7</v>
      </c>
      <c r="O55" s="143">
        <f t="shared" si="57"/>
        <v>8</v>
      </c>
      <c r="P55" s="143">
        <f t="shared" si="57"/>
        <v>9</v>
      </c>
      <c r="Q55" s="143" t="str">
        <f t="shared" si="57"/>
        <v>OUT</v>
      </c>
      <c r="R55" s="16"/>
      <c r="S55" s="143">
        <f t="shared" ref="S55:AC55" si="58">S30</f>
        <v>10</v>
      </c>
      <c r="T55" s="143">
        <f t="shared" si="58"/>
        <v>11</v>
      </c>
      <c r="U55" s="143">
        <f t="shared" si="58"/>
        <v>12</v>
      </c>
      <c r="V55" s="143">
        <f t="shared" si="58"/>
        <v>13</v>
      </c>
      <c r="W55" s="143">
        <f t="shared" si="58"/>
        <v>14</v>
      </c>
      <c r="X55" s="143">
        <f t="shared" si="58"/>
        <v>15</v>
      </c>
      <c r="Y55" s="143">
        <f t="shared" si="58"/>
        <v>16</v>
      </c>
      <c r="Z55" s="143">
        <f t="shared" si="58"/>
        <v>17</v>
      </c>
      <c r="AA55" s="143">
        <f t="shared" si="58"/>
        <v>18</v>
      </c>
      <c r="AB55" s="143" t="str">
        <f t="shared" si="58"/>
        <v>IN</v>
      </c>
      <c r="AC55" s="143" t="str">
        <f t="shared" si="58"/>
        <v>TOTAL</v>
      </c>
      <c r="AD55" s="12"/>
      <c r="AE55" s="1"/>
      <c r="AF55" s="1"/>
    </row>
    <row r="56" ht="15.0" customHeight="1">
      <c r="A56" s="60"/>
      <c r="B56" s="60"/>
      <c r="C56" s="1"/>
      <c r="D56" s="1"/>
      <c r="E56" s="7"/>
      <c r="F56" s="144" t="str">
        <f>$F$6</f>
        <v>BEST TWO OF FOUR</v>
      </c>
      <c r="G56" s="145" t="str">
        <f t="shared" ref="G56:Q56" si="59">G31</f>
        <v>PURPLE</v>
      </c>
      <c r="H56" s="145">
        <f t="shared" si="59"/>
        <v>376</v>
      </c>
      <c r="I56" s="145">
        <f t="shared" si="59"/>
        <v>166</v>
      </c>
      <c r="J56" s="145">
        <f t="shared" si="59"/>
        <v>403</v>
      </c>
      <c r="K56" s="145">
        <f t="shared" si="59"/>
        <v>388</v>
      </c>
      <c r="L56" s="145">
        <f t="shared" si="59"/>
        <v>166</v>
      </c>
      <c r="M56" s="145">
        <f t="shared" si="59"/>
        <v>532</v>
      </c>
      <c r="N56" s="145">
        <f t="shared" si="59"/>
        <v>388</v>
      </c>
      <c r="O56" s="145">
        <f t="shared" si="59"/>
        <v>160</v>
      </c>
      <c r="P56" s="145">
        <f t="shared" si="59"/>
        <v>470</v>
      </c>
      <c r="Q56" s="145">
        <f t="shared" si="59"/>
        <v>3049</v>
      </c>
      <c r="R56" s="17"/>
      <c r="S56" s="145">
        <f t="shared" ref="S56:AB56" si="60">S31</f>
        <v>431</v>
      </c>
      <c r="T56" s="145">
        <f t="shared" si="60"/>
        <v>170</v>
      </c>
      <c r="U56" s="145">
        <f t="shared" si="60"/>
        <v>405</v>
      </c>
      <c r="V56" s="145">
        <f t="shared" si="60"/>
        <v>551</v>
      </c>
      <c r="W56" s="145">
        <f t="shared" si="60"/>
        <v>377</v>
      </c>
      <c r="X56" s="145">
        <f t="shared" si="60"/>
        <v>173</v>
      </c>
      <c r="Y56" s="145">
        <f t="shared" si="60"/>
        <v>376</v>
      </c>
      <c r="Z56" s="145">
        <f t="shared" si="60"/>
        <v>474</v>
      </c>
      <c r="AA56" s="145">
        <f t="shared" si="60"/>
        <v>390</v>
      </c>
      <c r="AB56" s="145">
        <f t="shared" si="60"/>
        <v>3347</v>
      </c>
      <c r="AC56" s="145">
        <f t="shared" ref="AC56:AC57" si="63">AB56+Q56</f>
        <v>6396</v>
      </c>
      <c r="AD56" s="12"/>
      <c r="AE56" s="1"/>
      <c r="AF56" s="1"/>
    </row>
    <row r="57" ht="15.0" customHeight="1">
      <c r="A57" s="60"/>
      <c r="B57" s="60"/>
      <c r="C57" s="1"/>
      <c r="D57" s="1"/>
      <c r="E57" s="7"/>
      <c r="F57" s="146"/>
      <c r="G57" s="147" t="str">
        <f t="shared" ref="G57:Q57" si="61">G32</f>
        <v>PAR</v>
      </c>
      <c r="H57" s="147">
        <f t="shared" si="61"/>
        <v>4</v>
      </c>
      <c r="I57" s="147">
        <f t="shared" si="61"/>
        <v>3</v>
      </c>
      <c r="J57" s="147">
        <f t="shared" si="61"/>
        <v>4</v>
      </c>
      <c r="K57" s="147">
        <f t="shared" si="61"/>
        <v>4</v>
      </c>
      <c r="L57" s="147">
        <f t="shared" si="61"/>
        <v>3</v>
      </c>
      <c r="M57" s="147">
        <f t="shared" si="61"/>
        <v>5</v>
      </c>
      <c r="N57" s="147">
        <f t="shared" si="61"/>
        <v>4</v>
      </c>
      <c r="O57" s="147">
        <f t="shared" si="61"/>
        <v>3</v>
      </c>
      <c r="P57" s="147">
        <f t="shared" si="61"/>
        <v>5</v>
      </c>
      <c r="Q57" s="147">
        <f t="shared" si="61"/>
        <v>35</v>
      </c>
      <c r="R57" s="17"/>
      <c r="S57" s="147">
        <f t="shared" ref="S57:AB57" si="62">S32</f>
        <v>4</v>
      </c>
      <c r="T57" s="147">
        <f t="shared" si="62"/>
        <v>3</v>
      </c>
      <c r="U57" s="147">
        <f t="shared" si="62"/>
        <v>4</v>
      </c>
      <c r="V57" s="147">
        <f t="shared" si="62"/>
        <v>5</v>
      </c>
      <c r="W57" s="147">
        <f t="shared" si="62"/>
        <v>4</v>
      </c>
      <c r="X57" s="147">
        <f t="shared" si="62"/>
        <v>3</v>
      </c>
      <c r="Y57" s="147">
        <f t="shared" si="62"/>
        <v>4</v>
      </c>
      <c r="Z57" s="147">
        <f t="shared" si="62"/>
        <v>5</v>
      </c>
      <c r="AA57" s="147">
        <f t="shared" si="62"/>
        <v>4</v>
      </c>
      <c r="AB57" s="147">
        <f t="shared" si="62"/>
        <v>36</v>
      </c>
      <c r="AC57" s="147">
        <f t="shared" si="63"/>
        <v>71</v>
      </c>
      <c r="AD57" s="12"/>
      <c r="AE57" s="1"/>
      <c r="AF57" s="1"/>
    </row>
    <row r="58" ht="15.0" customHeight="1">
      <c r="A58" s="60"/>
      <c r="B58" s="60"/>
      <c r="C58" s="1"/>
      <c r="D58" s="1"/>
      <c r="E58" s="7"/>
      <c r="F58" s="1"/>
      <c r="G58" s="148" t="str">
        <f t="shared" ref="G58:P58" si="64">G33</f>
        <v>HDCP</v>
      </c>
      <c r="H58" s="148">
        <f t="shared" si="64"/>
        <v>7</v>
      </c>
      <c r="I58" s="148">
        <f t="shared" si="64"/>
        <v>11</v>
      </c>
      <c r="J58" s="148">
        <f t="shared" si="64"/>
        <v>3</v>
      </c>
      <c r="K58" s="148">
        <f t="shared" si="64"/>
        <v>1</v>
      </c>
      <c r="L58" s="148">
        <f t="shared" si="64"/>
        <v>13</v>
      </c>
      <c r="M58" s="148">
        <f t="shared" si="64"/>
        <v>9</v>
      </c>
      <c r="N58" s="148">
        <f t="shared" si="64"/>
        <v>5</v>
      </c>
      <c r="O58" s="148">
        <f t="shared" si="64"/>
        <v>15</v>
      </c>
      <c r="P58" s="148">
        <f t="shared" si="64"/>
        <v>17</v>
      </c>
      <c r="Q58" s="148"/>
      <c r="R58" s="17"/>
      <c r="S58" s="148">
        <f t="shared" ref="S58:AA58" si="65">S33</f>
        <v>8</v>
      </c>
      <c r="T58" s="148">
        <f t="shared" si="65"/>
        <v>14</v>
      </c>
      <c r="U58" s="148">
        <f t="shared" si="65"/>
        <v>2</v>
      </c>
      <c r="V58" s="148">
        <f t="shared" si="65"/>
        <v>6</v>
      </c>
      <c r="W58" s="148">
        <f t="shared" si="65"/>
        <v>12</v>
      </c>
      <c r="X58" s="148">
        <f t="shared" si="65"/>
        <v>16</v>
      </c>
      <c r="Y58" s="148">
        <f t="shared" si="65"/>
        <v>10</v>
      </c>
      <c r="Z58" s="148">
        <f t="shared" si="65"/>
        <v>18</v>
      </c>
      <c r="AA58" s="148">
        <f t="shared" si="65"/>
        <v>4</v>
      </c>
      <c r="AB58" s="148"/>
      <c r="AC58" s="148"/>
      <c r="AD58" s="12"/>
      <c r="AE58" s="1"/>
      <c r="AF58" s="1"/>
    </row>
    <row r="59" ht="6.75" customHeight="1">
      <c r="A59" s="60"/>
      <c r="B59" s="60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2"/>
      <c r="AE59" s="1"/>
      <c r="AF59" s="1"/>
    </row>
    <row r="60" ht="11.25" customHeight="1">
      <c r="A60" s="60"/>
      <c r="B60" s="60"/>
      <c r="C60" s="1"/>
      <c r="D60" s="1"/>
      <c r="E60" s="7"/>
      <c r="F60" s="149"/>
      <c r="G60" s="150" t="str">
        <f>IFERROR(VLOOKUP(F60,HANDICAPS!$B$8:$G$23,$D$3,FALSE),"")</f>
        <v/>
      </c>
      <c r="H60" s="151" t="str">
        <f t="shared" ref="H60:P60" si="66">IFERROR(IF($G60&gt;18,IF(($G60-18)&gt;H$33,"**","*"),IF($G60&gt;=H$8,"*","")),"")</f>
        <v>*</v>
      </c>
      <c r="I60" s="151" t="str">
        <f t="shared" si="66"/>
        <v>*</v>
      </c>
      <c r="J60" s="151" t="str">
        <f t="shared" si="66"/>
        <v>*</v>
      </c>
      <c r="K60" s="151" t="str">
        <f t="shared" si="66"/>
        <v>*</v>
      </c>
      <c r="L60" s="151" t="str">
        <f t="shared" si="66"/>
        <v>*</v>
      </c>
      <c r="M60" s="151" t="str">
        <f t="shared" si="66"/>
        <v>*</v>
      </c>
      <c r="N60" s="151" t="str">
        <f t="shared" si="66"/>
        <v>*</v>
      </c>
      <c r="O60" s="152" t="str">
        <f t="shared" si="66"/>
        <v>*</v>
      </c>
      <c r="P60" s="151" t="str">
        <f t="shared" si="66"/>
        <v>*</v>
      </c>
      <c r="Q60" s="151"/>
      <c r="R60" s="153"/>
      <c r="S60" s="151" t="str">
        <f t="shared" ref="S60:AA60" si="67">IFERROR(IF($G60&gt;18,IF(($G60-18)&gt;S$33,"**","*"),IF($G60&gt;=S$8,"*","")),"")</f>
        <v>*</v>
      </c>
      <c r="T60" s="151" t="str">
        <f t="shared" si="67"/>
        <v>*</v>
      </c>
      <c r="U60" s="151" t="str">
        <f t="shared" si="67"/>
        <v>*</v>
      </c>
      <c r="V60" s="151" t="str">
        <f t="shared" si="67"/>
        <v>*</v>
      </c>
      <c r="W60" s="151" t="str">
        <f t="shared" si="67"/>
        <v>*</v>
      </c>
      <c r="X60" s="151" t="str">
        <f t="shared" si="67"/>
        <v>*</v>
      </c>
      <c r="Y60" s="151" t="str">
        <f t="shared" si="67"/>
        <v>*</v>
      </c>
      <c r="Z60" s="151" t="str">
        <f t="shared" si="67"/>
        <v>*</v>
      </c>
      <c r="AA60" s="152" t="str">
        <f t="shared" si="67"/>
        <v>*</v>
      </c>
      <c r="AB60" s="151"/>
      <c r="AC60" s="151" t="str">
        <f>IF(AB60="","",SUM(Q60,AB60))</f>
        <v/>
      </c>
      <c r="AD60" s="12"/>
      <c r="AE60" s="1"/>
      <c r="AF60" s="1"/>
    </row>
    <row r="61" ht="18.75" customHeight="1">
      <c r="A61" s="60"/>
      <c r="B61" s="60"/>
      <c r="C61" s="1"/>
      <c r="D61" s="1"/>
      <c r="E61" s="7"/>
      <c r="F61" s="154"/>
      <c r="G61" s="155"/>
      <c r="H61" s="156"/>
      <c r="I61" s="156"/>
      <c r="J61" s="156"/>
      <c r="K61" s="156"/>
      <c r="L61" s="156"/>
      <c r="M61" s="156"/>
      <c r="N61" s="156"/>
      <c r="O61" s="157"/>
      <c r="P61" s="156"/>
      <c r="Q61" s="156" t="str">
        <f>IF(H61="","",SUM(H61:P61))</f>
        <v/>
      </c>
      <c r="R61" s="153"/>
      <c r="S61" s="156"/>
      <c r="T61" s="156"/>
      <c r="U61" s="156"/>
      <c r="V61" s="156"/>
      <c r="W61" s="156"/>
      <c r="X61" s="156"/>
      <c r="Y61" s="156"/>
      <c r="Z61" s="156"/>
      <c r="AA61" s="157"/>
      <c r="AB61" s="156" t="str">
        <f>IF(S61="","",SUM(S61:AA61))</f>
        <v/>
      </c>
      <c r="AC61" s="156">
        <f>IFERROR(Q61+AB61,"")</f>
        <v>0</v>
      </c>
      <c r="AD61" s="12"/>
      <c r="AE61" s="1"/>
      <c r="AF61" s="1"/>
    </row>
    <row r="62" ht="11.25" customHeight="1">
      <c r="A62" s="60"/>
      <c r="B62" s="60"/>
      <c r="C62" s="1"/>
      <c r="D62" s="1"/>
      <c r="E62" s="7"/>
      <c r="F62" s="149"/>
      <c r="G62" s="150" t="str">
        <f>IFERROR(VLOOKUP(F62,HANDICAPS!$B$8:$G$23,$D$3,FALSE),"")</f>
        <v/>
      </c>
      <c r="H62" s="158" t="str">
        <f t="shared" ref="H62:P62" si="68">IFERROR(IF($G62&gt;18,IF(($G62-18)&gt;H$33,"**","*"),IF($G62&gt;=H$8,"*","")),"")</f>
        <v>*</v>
      </c>
      <c r="I62" s="158" t="str">
        <f t="shared" si="68"/>
        <v>*</v>
      </c>
      <c r="J62" s="158" t="str">
        <f t="shared" si="68"/>
        <v>*</v>
      </c>
      <c r="K62" s="158" t="str">
        <f t="shared" si="68"/>
        <v>*</v>
      </c>
      <c r="L62" s="158" t="str">
        <f t="shared" si="68"/>
        <v>*</v>
      </c>
      <c r="M62" s="158" t="str">
        <f t="shared" si="68"/>
        <v>*</v>
      </c>
      <c r="N62" s="158" t="str">
        <f t="shared" si="68"/>
        <v>*</v>
      </c>
      <c r="O62" s="159" t="str">
        <f t="shared" si="68"/>
        <v>*</v>
      </c>
      <c r="P62" s="158" t="str">
        <f t="shared" si="68"/>
        <v>*</v>
      </c>
      <c r="Q62" s="158"/>
      <c r="R62" s="158"/>
      <c r="S62" s="158" t="str">
        <f t="shared" ref="S62:AA62" si="69">IFERROR(IF($G62&gt;18,IF(($G62-18)&gt;S$33,"**","*"),IF($G62&gt;=S$8,"*","")),"")</f>
        <v>*</v>
      </c>
      <c r="T62" s="158" t="str">
        <f t="shared" si="69"/>
        <v>*</v>
      </c>
      <c r="U62" s="158" t="str">
        <f t="shared" si="69"/>
        <v>*</v>
      </c>
      <c r="V62" s="158" t="str">
        <f t="shared" si="69"/>
        <v>*</v>
      </c>
      <c r="W62" s="158" t="str">
        <f t="shared" si="69"/>
        <v>*</v>
      </c>
      <c r="X62" s="158" t="str">
        <f t="shared" si="69"/>
        <v>*</v>
      </c>
      <c r="Y62" s="158" t="str">
        <f t="shared" si="69"/>
        <v>*</v>
      </c>
      <c r="Z62" s="158" t="str">
        <f t="shared" si="69"/>
        <v>*</v>
      </c>
      <c r="AA62" s="159" t="str">
        <f t="shared" si="69"/>
        <v>*</v>
      </c>
      <c r="AB62" s="151"/>
      <c r="AC62" s="151" t="str">
        <f>IF(AB62="","",SUM(Q62,AB62))</f>
        <v/>
      </c>
      <c r="AD62" s="12"/>
      <c r="AE62" s="1"/>
      <c r="AF62" s="1"/>
    </row>
    <row r="63" ht="18.75" customHeight="1">
      <c r="A63" s="60"/>
      <c r="B63" s="60"/>
      <c r="C63" s="1"/>
      <c r="D63" s="1"/>
      <c r="E63" s="7"/>
      <c r="F63" s="154"/>
      <c r="G63" s="155"/>
      <c r="H63" s="156"/>
      <c r="I63" s="156"/>
      <c r="J63" s="156"/>
      <c r="K63" s="156"/>
      <c r="L63" s="156"/>
      <c r="M63" s="156"/>
      <c r="N63" s="156"/>
      <c r="O63" s="157"/>
      <c r="P63" s="156"/>
      <c r="Q63" s="156" t="str">
        <f>IF(H63="","",SUM(H63:P63))</f>
        <v/>
      </c>
      <c r="R63" s="160"/>
      <c r="S63" s="156"/>
      <c r="T63" s="156"/>
      <c r="U63" s="156"/>
      <c r="V63" s="156"/>
      <c r="W63" s="156"/>
      <c r="X63" s="156"/>
      <c r="Y63" s="156"/>
      <c r="Z63" s="156"/>
      <c r="AA63" s="157"/>
      <c r="AB63" s="156" t="str">
        <f>IF(S63="","",SUM(S63:AA63))</f>
        <v/>
      </c>
      <c r="AC63" s="156">
        <f>IFERROR(Q63+AB63,"")</f>
        <v>0</v>
      </c>
      <c r="AD63" s="12"/>
      <c r="AE63" s="1"/>
      <c r="AF63" s="1"/>
    </row>
    <row r="64" ht="6.75" customHeight="1">
      <c r="A64" s="60"/>
      <c r="B64" s="60"/>
      <c r="C64" s="1"/>
      <c r="D64" s="1"/>
      <c r="E64" s="7"/>
      <c r="F64" s="16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12"/>
      <c r="AE64" s="1"/>
      <c r="AF64" s="1"/>
    </row>
    <row r="65" ht="27.75" customHeight="1">
      <c r="A65" s="60"/>
      <c r="B65" s="60"/>
      <c r="C65" s="1"/>
      <c r="D65" s="1"/>
      <c r="E65" s="7"/>
      <c r="F65" s="161" t="s">
        <v>143</v>
      </c>
      <c r="G65" s="142"/>
      <c r="H65" s="162" t="str">
        <f t="shared" ref="H65:P65" si="70">IF(H61="","",MIN(IF(H60="**",H61-2,IF(H60="*",H61-1,H61)),(IF(H62="**",H63-2,IF(H62="*",H63-1,H63)))))</f>
        <v/>
      </c>
      <c r="I65" s="162" t="str">
        <f t="shared" si="70"/>
        <v/>
      </c>
      <c r="J65" s="162" t="str">
        <f t="shared" si="70"/>
        <v/>
      </c>
      <c r="K65" s="162" t="str">
        <f t="shared" si="70"/>
        <v/>
      </c>
      <c r="L65" s="162" t="str">
        <f t="shared" si="70"/>
        <v/>
      </c>
      <c r="M65" s="162" t="str">
        <f t="shared" si="70"/>
        <v/>
      </c>
      <c r="N65" s="162" t="str">
        <f t="shared" si="70"/>
        <v/>
      </c>
      <c r="O65" s="163" t="str">
        <f t="shared" si="70"/>
        <v/>
      </c>
      <c r="P65" s="162" t="str">
        <f t="shared" si="70"/>
        <v/>
      </c>
      <c r="Q65" s="162" t="str">
        <f t="shared" ref="Q65:Q66" si="73">IF(H65="","",SUM(H65:P65))</f>
        <v/>
      </c>
      <c r="R65" s="23"/>
      <c r="S65" s="162" t="str">
        <f t="shared" ref="S65:AA65" si="71">IF(S61="","",MIN(IF(S60="**",S61-2,IF(S60="*",S61-1,S61)),(IF(S62="**",S63-2,IF(S62="*",S63-1,S63)))))</f>
        <v/>
      </c>
      <c r="T65" s="162" t="str">
        <f t="shared" si="71"/>
        <v/>
      </c>
      <c r="U65" s="162" t="str">
        <f t="shared" si="71"/>
        <v/>
      </c>
      <c r="V65" s="162" t="str">
        <f t="shared" si="71"/>
        <v/>
      </c>
      <c r="W65" s="162" t="str">
        <f t="shared" si="71"/>
        <v/>
      </c>
      <c r="X65" s="162" t="str">
        <f t="shared" si="71"/>
        <v/>
      </c>
      <c r="Y65" s="162" t="str">
        <f t="shared" si="71"/>
        <v/>
      </c>
      <c r="Z65" s="162" t="str">
        <f t="shared" si="71"/>
        <v/>
      </c>
      <c r="AA65" s="163" t="str">
        <f t="shared" si="71"/>
        <v/>
      </c>
      <c r="AB65" s="162" t="str">
        <f t="shared" ref="AB65:AB66" si="75">IF(S65="","",SUM(S65:AA65))</f>
        <v/>
      </c>
      <c r="AC65" s="162" t="str">
        <f t="shared" ref="AC65:AC66" si="76">IF(AB65="","",AB65+Q65)</f>
        <v/>
      </c>
      <c r="AD65" s="12"/>
      <c r="AE65" s="1"/>
      <c r="AF65" s="1"/>
    </row>
    <row r="66" ht="27.75" customHeight="1">
      <c r="A66" s="60"/>
      <c r="B66" s="60"/>
      <c r="C66" s="1"/>
      <c r="D66" s="1"/>
      <c r="E66" s="7"/>
      <c r="F66" s="161" t="s">
        <v>144</v>
      </c>
      <c r="G66" s="142"/>
      <c r="H66" s="164" t="str">
        <f t="shared" ref="H66:P66" si="72">IF(H65="","",IF(H65=H73,0.5,IF(H65&lt;H73,1,0)))</f>
        <v/>
      </c>
      <c r="I66" s="164" t="str">
        <f t="shared" si="72"/>
        <v/>
      </c>
      <c r="J66" s="164" t="str">
        <f t="shared" si="72"/>
        <v/>
      </c>
      <c r="K66" s="164" t="str">
        <f t="shared" si="72"/>
        <v/>
      </c>
      <c r="L66" s="164" t="str">
        <f t="shared" si="72"/>
        <v/>
      </c>
      <c r="M66" s="164" t="str">
        <f t="shared" si="72"/>
        <v/>
      </c>
      <c r="N66" s="164" t="str">
        <f t="shared" si="72"/>
        <v/>
      </c>
      <c r="O66" s="165" t="str">
        <f t="shared" si="72"/>
        <v/>
      </c>
      <c r="P66" s="164" t="str">
        <f t="shared" si="72"/>
        <v/>
      </c>
      <c r="Q66" s="164" t="str">
        <f t="shared" si="73"/>
        <v/>
      </c>
      <c r="R66" s="23"/>
      <c r="S66" s="164" t="str">
        <f t="shared" ref="S66:AA66" si="74">IF(S65="","",IF(S65=S73,0.5,IF(S65&lt;S73,1,0)))</f>
        <v/>
      </c>
      <c r="T66" s="164" t="str">
        <f t="shared" si="74"/>
        <v/>
      </c>
      <c r="U66" s="164" t="str">
        <f t="shared" si="74"/>
        <v/>
      </c>
      <c r="V66" s="164" t="str">
        <f t="shared" si="74"/>
        <v/>
      </c>
      <c r="W66" s="164" t="str">
        <f t="shared" si="74"/>
        <v/>
      </c>
      <c r="X66" s="164" t="str">
        <f t="shared" si="74"/>
        <v/>
      </c>
      <c r="Y66" s="164" t="str">
        <f t="shared" si="74"/>
        <v/>
      </c>
      <c r="Z66" s="164" t="str">
        <f t="shared" si="74"/>
        <v/>
      </c>
      <c r="AA66" s="165" t="str">
        <f t="shared" si="74"/>
        <v/>
      </c>
      <c r="AB66" s="164" t="str">
        <f t="shared" si="75"/>
        <v/>
      </c>
      <c r="AC66" s="164" t="str">
        <f t="shared" si="76"/>
        <v/>
      </c>
      <c r="AD66" s="12"/>
      <c r="AE66" s="1"/>
      <c r="AF66" s="1"/>
    </row>
    <row r="67" ht="6.75" customHeight="1">
      <c r="A67" s="60"/>
      <c r="B67" s="60"/>
      <c r="C67" s="1"/>
      <c r="D67" s="1"/>
      <c r="E67" s="7"/>
      <c r="F67" s="16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12"/>
      <c r="AE67" s="1"/>
      <c r="AF67" s="1"/>
    </row>
    <row r="68" ht="11.25" customHeight="1">
      <c r="A68" s="60"/>
      <c r="B68" s="60"/>
      <c r="C68" s="1"/>
      <c r="D68" s="1"/>
      <c r="E68" s="7"/>
      <c r="F68" s="149"/>
      <c r="G68" s="150" t="str">
        <f>IFERROR(VLOOKUP(F68,HANDICAPS!$B$8:$G$23,$D$3,FALSE),"")</f>
        <v/>
      </c>
      <c r="H68" s="151" t="str">
        <f t="shared" ref="H68:P68" si="77">IFERROR(IF($G68&gt;18,IF(($G68-18)&gt;H$33,"**","*"),IF($G68&gt;=H$8,"*","")),"")</f>
        <v>*</v>
      </c>
      <c r="I68" s="151" t="str">
        <f t="shared" si="77"/>
        <v>*</v>
      </c>
      <c r="J68" s="151" t="str">
        <f t="shared" si="77"/>
        <v>*</v>
      </c>
      <c r="K68" s="151" t="str">
        <f t="shared" si="77"/>
        <v>*</v>
      </c>
      <c r="L68" s="151" t="str">
        <f t="shared" si="77"/>
        <v>*</v>
      </c>
      <c r="M68" s="151" t="str">
        <f t="shared" si="77"/>
        <v>*</v>
      </c>
      <c r="N68" s="151" t="str">
        <f t="shared" si="77"/>
        <v>*</v>
      </c>
      <c r="O68" s="152" t="str">
        <f t="shared" si="77"/>
        <v>*</v>
      </c>
      <c r="P68" s="151" t="str">
        <f t="shared" si="77"/>
        <v>*</v>
      </c>
      <c r="Q68" s="151"/>
      <c r="R68" s="153"/>
      <c r="S68" s="151" t="str">
        <f t="shared" ref="S68:AA68" si="78">IFERROR(IF($G68&gt;18,IF(($G68-18)&gt;S$33,"**","*"),IF($G68&gt;=S$8,"*","")),"")</f>
        <v>*</v>
      </c>
      <c r="T68" s="151" t="str">
        <f t="shared" si="78"/>
        <v>*</v>
      </c>
      <c r="U68" s="151" t="str">
        <f t="shared" si="78"/>
        <v>*</v>
      </c>
      <c r="V68" s="151" t="str">
        <f t="shared" si="78"/>
        <v>*</v>
      </c>
      <c r="W68" s="151" t="str">
        <f t="shared" si="78"/>
        <v>*</v>
      </c>
      <c r="X68" s="151" t="str">
        <f t="shared" si="78"/>
        <v>*</v>
      </c>
      <c r="Y68" s="151" t="str">
        <f t="shared" si="78"/>
        <v>*</v>
      </c>
      <c r="Z68" s="151" t="str">
        <f t="shared" si="78"/>
        <v>*</v>
      </c>
      <c r="AA68" s="152" t="str">
        <f t="shared" si="78"/>
        <v>*</v>
      </c>
      <c r="AB68" s="151"/>
      <c r="AC68" s="151" t="str">
        <f>IF(AB68="","",SUM(Q68,AB68))</f>
        <v/>
      </c>
      <c r="AD68" s="12"/>
      <c r="AE68" s="1"/>
      <c r="AF68" s="1"/>
    </row>
    <row r="69" ht="18.75" customHeight="1">
      <c r="A69" s="60"/>
      <c r="B69" s="60"/>
      <c r="C69" s="1"/>
      <c r="D69" s="1"/>
      <c r="E69" s="7"/>
      <c r="F69" s="154"/>
      <c r="G69" s="155"/>
      <c r="H69" s="156"/>
      <c r="I69" s="156"/>
      <c r="J69" s="156"/>
      <c r="K69" s="156"/>
      <c r="L69" s="156"/>
      <c r="M69" s="156"/>
      <c r="N69" s="156"/>
      <c r="O69" s="157"/>
      <c r="P69" s="156"/>
      <c r="Q69" s="156" t="str">
        <f>IF(H69="","",SUM(H69:P69))</f>
        <v/>
      </c>
      <c r="R69" s="153"/>
      <c r="S69" s="156"/>
      <c r="T69" s="156"/>
      <c r="U69" s="156"/>
      <c r="V69" s="156"/>
      <c r="W69" s="156"/>
      <c r="X69" s="156"/>
      <c r="Y69" s="156"/>
      <c r="Z69" s="156"/>
      <c r="AA69" s="157"/>
      <c r="AB69" s="156" t="str">
        <f>IF(S69="","",SUM(S69:AA69))</f>
        <v/>
      </c>
      <c r="AC69" s="156">
        <f>IFERROR(Q69+AB69,"")</f>
        <v>0</v>
      </c>
      <c r="AD69" s="12"/>
      <c r="AE69" s="1"/>
      <c r="AF69" s="1"/>
    </row>
    <row r="70" ht="11.25" customHeight="1">
      <c r="A70" s="60"/>
      <c r="B70" s="60"/>
      <c r="C70" s="1"/>
      <c r="D70" s="1"/>
      <c r="E70" s="7"/>
      <c r="F70" s="149"/>
      <c r="G70" s="150" t="str">
        <f>IFERROR(VLOOKUP(F70,HANDICAPS!$B$8:$G$23,$D$3,FALSE),"")</f>
        <v/>
      </c>
      <c r="H70" s="158" t="str">
        <f t="shared" ref="H70:P70" si="79">IFERROR(IF($G70&gt;18,IF(($G70-18)&gt;H$33,"**","*"),IF($G70&gt;=H$8,"*","")),"")</f>
        <v>*</v>
      </c>
      <c r="I70" s="158" t="str">
        <f t="shared" si="79"/>
        <v>*</v>
      </c>
      <c r="J70" s="158" t="str">
        <f t="shared" si="79"/>
        <v>*</v>
      </c>
      <c r="K70" s="158" t="str">
        <f t="shared" si="79"/>
        <v>*</v>
      </c>
      <c r="L70" s="158" t="str">
        <f t="shared" si="79"/>
        <v>*</v>
      </c>
      <c r="M70" s="158" t="str">
        <f t="shared" si="79"/>
        <v>*</v>
      </c>
      <c r="N70" s="158" t="str">
        <f t="shared" si="79"/>
        <v>*</v>
      </c>
      <c r="O70" s="159" t="str">
        <f t="shared" si="79"/>
        <v>*</v>
      </c>
      <c r="P70" s="158" t="str">
        <f t="shared" si="79"/>
        <v>*</v>
      </c>
      <c r="Q70" s="158"/>
      <c r="R70" s="158"/>
      <c r="S70" s="158" t="str">
        <f t="shared" ref="S70:AA70" si="80">IFERROR(IF($G70&gt;18,IF(($G70-18)&gt;S$33,"**","*"),IF($G70&gt;=S$8,"*","")),"")</f>
        <v>*</v>
      </c>
      <c r="T70" s="158" t="str">
        <f t="shared" si="80"/>
        <v>*</v>
      </c>
      <c r="U70" s="158" t="str">
        <f t="shared" si="80"/>
        <v>*</v>
      </c>
      <c r="V70" s="158" t="str">
        <f t="shared" si="80"/>
        <v>*</v>
      </c>
      <c r="W70" s="158" t="str">
        <f t="shared" si="80"/>
        <v>*</v>
      </c>
      <c r="X70" s="158" t="str">
        <f t="shared" si="80"/>
        <v>*</v>
      </c>
      <c r="Y70" s="158" t="str">
        <f t="shared" si="80"/>
        <v>*</v>
      </c>
      <c r="Z70" s="158" t="str">
        <f t="shared" si="80"/>
        <v>*</v>
      </c>
      <c r="AA70" s="159" t="str">
        <f t="shared" si="80"/>
        <v>*</v>
      </c>
      <c r="AB70" s="151"/>
      <c r="AC70" s="151" t="str">
        <f>IF(AB70="","",SUM(Q70,AB70))</f>
        <v/>
      </c>
      <c r="AD70" s="12"/>
      <c r="AE70" s="1"/>
      <c r="AF70" s="1"/>
    </row>
    <row r="71" ht="18.75" customHeight="1">
      <c r="A71" s="60"/>
      <c r="B71" s="60"/>
      <c r="C71" s="1"/>
      <c r="D71" s="1"/>
      <c r="E71" s="7"/>
      <c r="F71" s="154"/>
      <c r="G71" s="155"/>
      <c r="H71" s="156"/>
      <c r="I71" s="156"/>
      <c r="J71" s="156"/>
      <c r="K71" s="156"/>
      <c r="L71" s="156"/>
      <c r="M71" s="156"/>
      <c r="N71" s="156"/>
      <c r="O71" s="157"/>
      <c r="P71" s="156"/>
      <c r="Q71" s="156" t="str">
        <f>IF(H71="","",SUM(H71:P71))</f>
        <v/>
      </c>
      <c r="R71" s="160"/>
      <c r="S71" s="156"/>
      <c r="T71" s="156"/>
      <c r="U71" s="156"/>
      <c r="V71" s="156"/>
      <c r="W71" s="156"/>
      <c r="X71" s="156"/>
      <c r="Y71" s="156"/>
      <c r="Z71" s="156"/>
      <c r="AA71" s="157"/>
      <c r="AB71" s="156" t="str">
        <f>IF(S71="","",SUM(S71:AA71))</f>
        <v/>
      </c>
      <c r="AC71" s="156">
        <f>IFERROR(Q71+AB71,"")</f>
        <v>0</v>
      </c>
      <c r="AD71" s="12"/>
      <c r="AE71" s="1"/>
      <c r="AF71" s="1"/>
    </row>
    <row r="72" ht="6.75" customHeight="1">
      <c r="A72" s="60"/>
      <c r="B72" s="60"/>
      <c r="C72" s="1"/>
      <c r="D72" s="1"/>
      <c r="E72" s="7"/>
      <c r="F72" s="16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12"/>
      <c r="AE72" s="1"/>
      <c r="AF72" s="1"/>
    </row>
    <row r="73" ht="27.75" customHeight="1">
      <c r="A73" s="60"/>
      <c r="B73" s="60"/>
      <c r="C73" s="1"/>
      <c r="D73" s="1"/>
      <c r="E73" s="7"/>
      <c r="F73" s="161" t="s">
        <v>143</v>
      </c>
      <c r="G73" s="142"/>
      <c r="H73" s="162" t="str">
        <f t="shared" ref="H73:P73" si="81">IF(H69="","",MIN(IF(H68="**",H69-2,IF(H68="*",H69-1,H69)),(IF(H70="**",H71-2,IF(H70="*",H71-1,H71)))))</f>
        <v/>
      </c>
      <c r="I73" s="162" t="str">
        <f t="shared" si="81"/>
        <v/>
      </c>
      <c r="J73" s="162" t="str">
        <f t="shared" si="81"/>
        <v/>
      </c>
      <c r="K73" s="162" t="str">
        <f t="shared" si="81"/>
        <v/>
      </c>
      <c r="L73" s="162" t="str">
        <f t="shared" si="81"/>
        <v/>
      </c>
      <c r="M73" s="162" t="str">
        <f t="shared" si="81"/>
        <v/>
      </c>
      <c r="N73" s="162" t="str">
        <f t="shared" si="81"/>
        <v/>
      </c>
      <c r="O73" s="163" t="str">
        <f t="shared" si="81"/>
        <v/>
      </c>
      <c r="P73" s="162" t="str">
        <f t="shared" si="81"/>
        <v/>
      </c>
      <c r="Q73" s="162" t="str">
        <f t="shared" ref="Q73:Q74" si="84">IF(H73="","",SUM(H73:P73))</f>
        <v/>
      </c>
      <c r="R73" s="23"/>
      <c r="S73" s="162" t="str">
        <f t="shared" ref="S73:AA73" si="82">IF(S69="","",MIN(IF(S68="**",S69-2,IF(S68="*",S69-1,S69)),(IF(S70="**",S71-2,IF(S70="*",S71-1,S71)))))</f>
        <v/>
      </c>
      <c r="T73" s="162" t="str">
        <f t="shared" si="82"/>
        <v/>
      </c>
      <c r="U73" s="162" t="str">
        <f t="shared" si="82"/>
        <v/>
      </c>
      <c r="V73" s="162" t="str">
        <f t="shared" si="82"/>
        <v/>
      </c>
      <c r="W73" s="162" t="str">
        <f t="shared" si="82"/>
        <v/>
      </c>
      <c r="X73" s="162" t="str">
        <f t="shared" si="82"/>
        <v/>
      </c>
      <c r="Y73" s="162" t="str">
        <f t="shared" si="82"/>
        <v/>
      </c>
      <c r="Z73" s="162" t="str">
        <f t="shared" si="82"/>
        <v/>
      </c>
      <c r="AA73" s="163" t="str">
        <f t="shared" si="82"/>
        <v/>
      </c>
      <c r="AB73" s="162" t="str">
        <f t="shared" ref="AB73:AB74" si="86">IF(S73="","",SUM(S73:AA73))</f>
        <v/>
      </c>
      <c r="AC73" s="162" t="str">
        <f t="shared" ref="AC73:AC74" si="87">IF(AB73="","",AB73+Q73)</f>
        <v/>
      </c>
      <c r="AD73" s="12"/>
      <c r="AE73" s="1"/>
      <c r="AF73" s="1"/>
    </row>
    <row r="74" ht="27.75" customHeight="1">
      <c r="A74" s="60"/>
      <c r="B74" s="60"/>
      <c r="C74" s="1"/>
      <c r="D74" s="1"/>
      <c r="E74" s="7"/>
      <c r="F74" s="161" t="s">
        <v>144</v>
      </c>
      <c r="G74" s="142"/>
      <c r="H74" s="164" t="str">
        <f t="shared" ref="H74:P74" si="83">IF(H73="","",IF(H73=H65,0.5,IF(H73&lt;H65,1,0)))</f>
        <v/>
      </c>
      <c r="I74" s="164" t="str">
        <f t="shared" si="83"/>
        <v/>
      </c>
      <c r="J74" s="164" t="str">
        <f t="shared" si="83"/>
        <v/>
      </c>
      <c r="K74" s="164" t="str">
        <f t="shared" si="83"/>
        <v/>
      </c>
      <c r="L74" s="164" t="str">
        <f t="shared" si="83"/>
        <v/>
      </c>
      <c r="M74" s="164" t="str">
        <f t="shared" si="83"/>
        <v/>
      </c>
      <c r="N74" s="164" t="str">
        <f t="shared" si="83"/>
        <v/>
      </c>
      <c r="O74" s="165" t="str">
        <f t="shared" si="83"/>
        <v/>
      </c>
      <c r="P74" s="164" t="str">
        <f t="shared" si="83"/>
        <v/>
      </c>
      <c r="Q74" s="164" t="str">
        <f t="shared" si="84"/>
        <v/>
      </c>
      <c r="R74" s="23"/>
      <c r="S74" s="164" t="str">
        <f t="shared" ref="S74:AA74" si="85">IF(S73="","",IF(S73=S65,0.5,IF(S73&lt;S65,1,0)))</f>
        <v/>
      </c>
      <c r="T74" s="164" t="str">
        <f t="shared" si="85"/>
        <v/>
      </c>
      <c r="U74" s="164" t="str">
        <f t="shared" si="85"/>
        <v/>
      </c>
      <c r="V74" s="164" t="str">
        <f t="shared" si="85"/>
        <v/>
      </c>
      <c r="W74" s="164" t="str">
        <f t="shared" si="85"/>
        <v/>
      </c>
      <c r="X74" s="164" t="str">
        <f t="shared" si="85"/>
        <v/>
      </c>
      <c r="Y74" s="164" t="str">
        <f t="shared" si="85"/>
        <v/>
      </c>
      <c r="Z74" s="164" t="str">
        <f t="shared" si="85"/>
        <v/>
      </c>
      <c r="AA74" s="165" t="str">
        <f t="shared" si="85"/>
        <v/>
      </c>
      <c r="AB74" s="164" t="str">
        <f t="shared" si="86"/>
        <v/>
      </c>
      <c r="AC74" s="164" t="str">
        <f t="shared" si="87"/>
        <v/>
      </c>
      <c r="AD74" s="12"/>
      <c r="AE74" s="1"/>
      <c r="AF74" s="1"/>
    </row>
    <row r="75" ht="6.75" customHeight="1">
      <c r="A75" s="60"/>
      <c r="B75" s="60"/>
      <c r="C75" s="1"/>
      <c r="D75" s="1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7"/>
      <c r="AE75" s="1"/>
      <c r="AF75" s="1"/>
    </row>
    <row r="76" ht="60.0" customHeight="1">
      <c r="A76" s="60"/>
      <c r="B76" s="60"/>
      <c r="C76" s="1"/>
      <c r="D76" s="1"/>
      <c r="E76" s="3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6.75" customHeight="1">
      <c r="A77" s="60"/>
      <c r="B77" s="60"/>
      <c r="C77" s="1"/>
      <c r="D77" s="1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  <c r="AA77" s="4"/>
      <c r="AB77" s="4"/>
      <c r="AC77" s="4"/>
      <c r="AD77" s="5"/>
      <c r="AE77" s="1"/>
      <c r="AF77" s="1"/>
    </row>
    <row r="78" ht="15.75" customHeight="1">
      <c r="A78" s="60"/>
      <c r="B78" s="60"/>
      <c r="C78" s="1"/>
      <c r="D78" s="1"/>
      <c r="E78" s="7"/>
      <c r="F78" s="140" t="str">
        <f>F53</f>
        <v>MICHIGAN OPEN 2022 - PRACTICE ROUND - CROOKED TREE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2"/>
      <c r="AD78" s="12"/>
      <c r="AE78" s="1"/>
      <c r="AF78" s="1"/>
    </row>
    <row r="79" ht="18.75" customHeight="1">
      <c r="A79" s="60"/>
      <c r="B79" s="60"/>
      <c r="C79" s="1"/>
      <c r="D79" s="1"/>
      <c r="E79" s="7"/>
      <c r="F79" s="1"/>
      <c r="G79" s="1"/>
      <c r="H79" s="1"/>
      <c r="I79" s="1"/>
      <c r="J79" s="13" t="str">
        <f>J54</f>
        <v>FRONT</v>
      </c>
      <c r="K79" s="14"/>
      <c r="L79" s="14"/>
      <c r="M79" s="14"/>
      <c r="N79" s="14"/>
      <c r="O79" s="1"/>
      <c r="P79" s="1"/>
      <c r="Q79" s="1"/>
      <c r="R79" s="1"/>
      <c r="S79" s="1"/>
      <c r="T79" s="1"/>
      <c r="U79" s="1"/>
      <c r="V79" s="13" t="str">
        <f>V54</f>
        <v>BACK</v>
      </c>
      <c r="W79" s="14"/>
      <c r="X79" s="14"/>
      <c r="Y79" s="14"/>
      <c r="Z79" s="14"/>
      <c r="AA79" s="1"/>
      <c r="AB79" s="1"/>
      <c r="AC79" s="1"/>
      <c r="AD79" s="12"/>
      <c r="AE79" s="1"/>
      <c r="AF79" s="1"/>
    </row>
    <row r="80" ht="15.0" customHeight="1">
      <c r="A80" s="60"/>
      <c r="B80" s="60"/>
      <c r="C80" s="1"/>
      <c r="D80" s="1"/>
      <c r="E80" s="7"/>
      <c r="F80" s="1"/>
      <c r="G80" s="143" t="str">
        <f t="shared" ref="G80:Q80" si="88">G55</f>
        <v>HOLE</v>
      </c>
      <c r="H80" s="143">
        <f t="shared" si="88"/>
        <v>1</v>
      </c>
      <c r="I80" s="143">
        <f t="shared" si="88"/>
        <v>2</v>
      </c>
      <c r="J80" s="143">
        <f t="shared" si="88"/>
        <v>3</v>
      </c>
      <c r="K80" s="143">
        <f t="shared" si="88"/>
        <v>4</v>
      </c>
      <c r="L80" s="143">
        <f t="shared" si="88"/>
        <v>5</v>
      </c>
      <c r="M80" s="143">
        <f t="shared" si="88"/>
        <v>6</v>
      </c>
      <c r="N80" s="143">
        <f t="shared" si="88"/>
        <v>7</v>
      </c>
      <c r="O80" s="143">
        <f t="shared" si="88"/>
        <v>8</v>
      </c>
      <c r="P80" s="143">
        <f t="shared" si="88"/>
        <v>9</v>
      </c>
      <c r="Q80" s="143" t="str">
        <f t="shared" si="88"/>
        <v>OUT</v>
      </c>
      <c r="R80" s="16"/>
      <c r="S80" s="143">
        <f t="shared" ref="S80:AC80" si="89">S55</f>
        <v>10</v>
      </c>
      <c r="T80" s="143">
        <f t="shared" si="89"/>
        <v>11</v>
      </c>
      <c r="U80" s="143">
        <f t="shared" si="89"/>
        <v>12</v>
      </c>
      <c r="V80" s="143">
        <f t="shared" si="89"/>
        <v>13</v>
      </c>
      <c r="W80" s="143">
        <f t="shared" si="89"/>
        <v>14</v>
      </c>
      <c r="X80" s="143">
        <f t="shared" si="89"/>
        <v>15</v>
      </c>
      <c r="Y80" s="143">
        <f t="shared" si="89"/>
        <v>16</v>
      </c>
      <c r="Z80" s="143">
        <f t="shared" si="89"/>
        <v>17</v>
      </c>
      <c r="AA80" s="143">
        <f t="shared" si="89"/>
        <v>18</v>
      </c>
      <c r="AB80" s="143" t="str">
        <f t="shared" si="89"/>
        <v>IN</v>
      </c>
      <c r="AC80" s="143" t="str">
        <f t="shared" si="89"/>
        <v>TOTAL</v>
      </c>
      <c r="AD80" s="12"/>
      <c r="AE80" s="1"/>
      <c r="AF80" s="1"/>
    </row>
    <row r="81" ht="15.0" customHeight="1">
      <c r="A81" s="60"/>
      <c r="B81" s="60"/>
      <c r="C81" s="1"/>
      <c r="D81" s="1"/>
      <c r="E81" s="7"/>
      <c r="F81" s="144" t="str">
        <f>$F$6</f>
        <v>BEST TWO OF FOUR</v>
      </c>
      <c r="G81" s="145" t="str">
        <f t="shared" ref="G81:Q81" si="90">G56</f>
        <v>PURPLE</v>
      </c>
      <c r="H81" s="145">
        <f t="shared" si="90"/>
        <v>376</v>
      </c>
      <c r="I81" s="145">
        <f t="shared" si="90"/>
        <v>166</v>
      </c>
      <c r="J81" s="145">
        <f t="shared" si="90"/>
        <v>403</v>
      </c>
      <c r="K81" s="145">
        <f t="shared" si="90"/>
        <v>388</v>
      </c>
      <c r="L81" s="145">
        <f t="shared" si="90"/>
        <v>166</v>
      </c>
      <c r="M81" s="145">
        <f t="shared" si="90"/>
        <v>532</v>
      </c>
      <c r="N81" s="145">
        <f t="shared" si="90"/>
        <v>388</v>
      </c>
      <c r="O81" s="145">
        <f t="shared" si="90"/>
        <v>160</v>
      </c>
      <c r="P81" s="145">
        <f t="shared" si="90"/>
        <v>470</v>
      </c>
      <c r="Q81" s="145">
        <f t="shared" si="90"/>
        <v>3049</v>
      </c>
      <c r="R81" s="17"/>
      <c r="S81" s="145">
        <f t="shared" ref="S81:AB81" si="91">S56</f>
        <v>431</v>
      </c>
      <c r="T81" s="145">
        <f t="shared" si="91"/>
        <v>170</v>
      </c>
      <c r="U81" s="145">
        <f t="shared" si="91"/>
        <v>405</v>
      </c>
      <c r="V81" s="145">
        <f t="shared" si="91"/>
        <v>551</v>
      </c>
      <c r="W81" s="145">
        <f t="shared" si="91"/>
        <v>377</v>
      </c>
      <c r="X81" s="145">
        <f t="shared" si="91"/>
        <v>173</v>
      </c>
      <c r="Y81" s="145">
        <f t="shared" si="91"/>
        <v>376</v>
      </c>
      <c r="Z81" s="145">
        <f t="shared" si="91"/>
        <v>474</v>
      </c>
      <c r="AA81" s="145">
        <f t="shared" si="91"/>
        <v>390</v>
      </c>
      <c r="AB81" s="145">
        <f t="shared" si="91"/>
        <v>3347</v>
      </c>
      <c r="AC81" s="145">
        <f t="shared" ref="AC81:AC82" si="94">AB81+Q81</f>
        <v>6396</v>
      </c>
      <c r="AD81" s="12"/>
      <c r="AE81" s="1"/>
      <c r="AF81" s="1"/>
    </row>
    <row r="82" ht="15.0" customHeight="1">
      <c r="A82" s="60"/>
      <c r="B82" s="60"/>
      <c r="C82" s="1"/>
      <c r="D82" s="1"/>
      <c r="E82" s="7"/>
      <c r="F82" s="146"/>
      <c r="G82" s="147" t="str">
        <f t="shared" ref="G82:Q82" si="92">G57</f>
        <v>PAR</v>
      </c>
      <c r="H82" s="147">
        <f t="shared" si="92"/>
        <v>4</v>
      </c>
      <c r="I82" s="147">
        <f t="shared" si="92"/>
        <v>3</v>
      </c>
      <c r="J82" s="147">
        <f t="shared" si="92"/>
        <v>4</v>
      </c>
      <c r="K82" s="147">
        <f t="shared" si="92"/>
        <v>4</v>
      </c>
      <c r="L82" s="147">
        <f t="shared" si="92"/>
        <v>3</v>
      </c>
      <c r="M82" s="147">
        <f t="shared" si="92"/>
        <v>5</v>
      </c>
      <c r="N82" s="147">
        <f t="shared" si="92"/>
        <v>4</v>
      </c>
      <c r="O82" s="147">
        <f t="shared" si="92"/>
        <v>3</v>
      </c>
      <c r="P82" s="147">
        <f t="shared" si="92"/>
        <v>5</v>
      </c>
      <c r="Q82" s="147">
        <f t="shared" si="92"/>
        <v>35</v>
      </c>
      <c r="R82" s="17"/>
      <c r="S82" s="147">
        <f t="shared" ref="S82:AB82" si="93">S57</f>
        <v>4</v>
      </c>
      <c r="T82" s="147">
        <f t="shared" si="93"/>
        <v>3</v>
      </c>
      <c r="U82" s="147">
        <f t="shared" si="93"/>
        <v>4</v>
      </c>
      <c r="V82" s="147">
        <f t="shared" si="93"/>
        <v>5</v>
      </c>
      <c r="W82" s="147">
        <f t="shared" si="93"/>
        <v>4</v>
      </c>
      <c r="X82" s="147">
        <f t="shared" si="93"/>
        <v>3</v>
      </c>
      <c r="Y82" s="147">
        <f t="shared" si="93"/>
        <v>4</v>
      </c>
      <c r="Z82" s="147">
        <f t="shared" si="93"/>
        <v>5</v>
      </c>
      <c r="AA82" s="147">
        <f t="shared" si="93"/>
        <v>4</v>
      </c>
      <c r="AB82" s="147">
        <f t="shared" si="93"/>
        <v>36</v>
      </c>
      <c r="AC82" s="147">
        <f t="shared" si="94"/>
        <v>71</v>
      </c>
      <c r="AD82" s="12"/>
      <c r="AE82" s="1"/>
      <c r="AF82" s="1"/>
    </row>
    <row r="83" ht="15.0" customHeight="1">
      <c r="A83" s="60"/>
      <c r="B83" s="60"/>
      <c r="C83" s="1"/>
      <c r="D83" s="1"/>
      <c r="E83" s="7"/>
      <c r="F83" s="1"/>
      <c r="G83" s="148" t="str">
        <f t="shared" ref="G83:P83" si="95">G58</f>
        <v>HDCP</v>
      </c>
      <c r="H83" s="148">
        <f t="shared" si="95"/>
        <v>7</v>
      </c>
      <c r="I83" s="148">
        <f t="shared" si="95"/>
        <v>11</v>
      </c>
      <c r="J83" s="148">
        <f t="shared" si="95"/>
        <v>3</v>
      </c>
      <c r="K83" s="148">
        <f t="shared" si="95"/>
        <v>1</v>
      </c>
      <c r="L83" s="148">
        <f t="shared" si="95"/>
        <v>13</v>
      </c>
      <c r="M83" s="148">
        <f t="shared" si="95"/>
        <v>9</v>
      </c>
      <c r="N83" s="148">
        <f t="shared" si="95"/>
        <v>5</v>
      </c>
      <c r="O83" s="148">
        <f t="shared" si="95"/>
        <v>15</v>
      </c>
      <c r="P83" s="148">
        <f t="shared" si="95"/>
        <v>17</v>
      </c>
      <c r="Q83" s="148"/>
      <c r="R83" s="17"/>
      <c r="S83" s="148">
        <f t="shared" ref="S83:AA83" si="96">S58</f>
        <v>8</v>
      </c>
      <c r="T83" s="148">
        <f t="shared" si="96"/>
        <v>14</v>
      </c>
      <c r="U83" s="148">
        <f t="shared" si="96"/>
        <v>2</v>
      </c>
      <c r="V83" s="148">
        <f t="shared" si="96"/>
        <v>6</v>
      </c>
      <c r="W83" s="148">
        <f t="shared" si="96"/>
        <v>12</v>
      </c>
      <c r="X83" s="148">
        <f t="shared" si="96"/>
        <v>16</v>
      </c>
      <c r="Y83" s="148">
        <f t="shared" si="96"/>
        <v>10</v>
      </c>
      <c r="Z83" s="148">
        <f t="shared" si="96"/>
        <v>18</v>
      </c>
      <c r="AA83" s="148">
        <f t="shared" si="96"/>
        <v>4</v>
      </c>
      <c r="AB83" s="148"/>
      <c r="AC83" s="148"/>
      <c r="AD83" s="12"/>
      <c r="AE83" s="1"/>
      <c r="AF83" s="1"/>
    </row>
    <row r="84" ht="6.75" customHeight="1">
      <c r="A84" s="60"/>
      <c r="B84" s="60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2"/>
      <c r="AE84" s="1"/>
      <c r="AF84" s="1"/>
    </row>
    <row r="85" ht="11.25" customHeight="1">
      <c r="A85" s="60"/>
      <c r="B85" s="60"/>
      <c r="C85" s="1"/>
      <c r="D85" s="1"/>
      <c r="E85" s="7"/>
      <c r="F85" s="149"/>
      <c r="G85" s="150" t="str">
        <f>IFERROR(VLOOKUP(F85,HANDICAPS!$B$8:$G$23,$D$3,FALSE),"")</f>
        <v/>
      </c>
      <c r="H85" s="151" t="str">
        <f t="shared" ref="H85:P85" si="97">IFERROR(IF($G85&gt;18,IF(($G85-18)&gt;H$33,"**","*"),IF($G85&gt;=H$8,"*","")),"")</f>
        <v>*</v>
      </c>
      <c r="I85" s="151" t="str">
        <f t="shared" si="97"/>
        <v>*</v>
      </c>
      <c r="J85" s="151" t="str">
        <f t="shared" si="97"/>
        <v>*</v>
      </c>
      <c r="K85" s="151" t="str">
        <f t="shared" si="97"/>
        <v>*</v>
      </c>
      <c r="L85" s="151" t="str">
        <f t="shared" si="97"/>
        <v>*</v>
      </c>
      <c r="M85" s="151" t="str">
        <f t="shared" si="97"/>
        <v>*</v>
      </c>
      <c r="N85" s="151" t="str">
        <f t="shared" si="97"/>
        <v>*</v>
      </c>
      <c r="O85" s="152" t="str">
        <f t="shared" si="97"/>
        <v>*</v>
      </c>
      <c r="P85" s="151" t="str">
        <f t="shared" si="97"/>
        <v>*</v>
      </c>
      <c r="Q85" s="151"/>
      <c r="R85" s="153"/>
      <c r="S85" s="151" t="str">
        <f t="shared" ref="S85:AA85" si="98">IFERROR(IF($G85&gt;18,IF(($G85-18)&gt;S$33,"**","*"),IF($G85&gt;=S$8,"*","")),"")</f>
        <v>*</v>
      </c>
      <c r="T85" s="151" t="str">
        <f t="shared" si="98"/>
        <v>*</v>
      </c>
      <c r="U85" s="151" t="str">
        <f t="shared" si="98"/>
        <v>*</v>
      </c>
      <c r="V85" s="151" t="str">
        <f t="shared" si="98"/>
        <v>*</v>
      </c>
      <c r="W85" s="151" t="str">
        <f t="shared" si="98"/>
        <v>*</v>
      </c>
      <c r="X85" s="151" t="str">
        <f t="shared" si="98"/>
        <v>*</v>
      </c>
      <c r="Y85" s="151" t="str">
        <f t="shared" si="98"/>
        <v>*</v>
      </c>
      <c r="Z85" s="151" t="str">
        <f t="shared" si="98"/>
        <v>*</v>
      </c>
      <c r="AA85" s="152" t="str">
        <f t="shared" si="98"/>
        <v>*</v>
      </c>
      <c r="AB85" s="151"/>
      <c r="AC85" s="151" t="str">
        <f>IF(AB85="","",SUM(Q85,AB85))</f>
        <v/>
      </c>
      <c r="AD85" s="12"/>
      <c r="AE85" s="1"/>
      <c r="AF85" s="1"/>
    </row>
    <row r="86" ht="18.75" customHeight="1">
      <c r="A86" s="60"/>
      <c r="B86" s="60"/>
      <c r="C86" s="1"/>
      <c r="D86" s="1"/>
      <c r="E86" s="7"/>
      <c r="F86" s="154"/>
      <c r="G86" s="155"/>
      <c r="H86" s="156"/>
      <c r="I86" s="156"/>
      <c r="J86" s="156"/>
      <c r="K86" s="156"/>
      <c r="L86" s="156"/>
      <c r="M86" s="156"/>
      <c r="N86" s="156"/>
      <c r="O86" s="157"/>
      <c r="P86" s="156"/>
      <c r="Q86" s="156" t="str">
        <f>IF(H86="","",SUM(H86:P86))</f>
        <v/>
      </c>
      <c r="R86" s="153"/>
      <c r="S86" s="156"/>
      <c r="T86" s="156"/>
      <c r="U86" s="156"/>
      <c r="V86" s="156"/>
      <c r="W86" s="156"/>
      <c r="X86" s="156"/>
      <c r="Y86" s="156"/>
      <c r="Z86" s="156"/>
      <c r="AA86" s="157"/>
      <c r="AB86" s="156" t="str">
        <f>IF(S86="","",SUM(S86:AA86))</f>
        <v/>
      </c>
      <c r="AC86" s="156">
        <f>IFERROR(Q86+AB86,"")</f>
        <v>0</v>
      </c>
      <c r="AD86" s="12"/>
      <c r="AE86" s="1"/>
      <c r="AF86" s="1"/>
    </row>
    <row r="87" ht="11.25" customHeight="1">
      <c r="A87" s="60"/>
      <c r="B87" s="60"/>
      <c r="C87" s="1"/>
      <c r="D87" s="1"/>
      <c r="E87" s="7"/>
      <c r="F87" s="149"/>
      <c r="G87" s="150" t="str">
        <f>IFERROR(VLOOKUP(F87,HANDICAPS!$B$8:$G$23,$D$3,FALSE),"")</f>
        <v/>
      </c>
      <c r="H87" s="158" t="str">
        <f t="shared" ref="H87:P87" si="99">IFERROR(IF($G87&gt;18,IF(($G87-18)&gt;H$33,"**","*"),IF($G87&gt;=H$8,"*","")),"")</f>
        <v>*</v>
      </c>
      <c r="I87" s="158" t="str">
        <f t="shared" si="99"/>
        <v>*</v>
      </c>
      <c r="J87" s="158" t="str">
        <f t="shared" si="99"/>
        <v>*</v>
      </c>
      <c r="K87" s="158" t="str">
        <f t="shared" si="99"/>
        <v>*</v>
      </c>
      <c r="L87" s="158" t="str">
        <f t="shared" si="99"/>
        <v>*</v>
      </c>
      <c r="M87" s="158" t="str">
        <f t="shared" si="99"/>
        <v>*</v>
      </c>
      <c r="N87" s="158" t="str">
        <f t="shared" si="99"/>
        <v>*</v>
      </c>
      <c r="O87" s="159" t="str">
        <f t="shared" si="99"/>
        <v>*</v>
      </c>
      <c r="P87" s="158" t="str">
        <f t="shared" si="99"/>
        <v>*</v>
      </c>
      <c r="Q87" s="158"/>
      <c r="R87" s="158"/>
      <c r="S87" s="158" t="str">
        <f t="shared" ref="S87:AA87" si="100">IFERROR(IF($G87&gt;18,IF(($G87-18)&gt;S$33,"**","*"),IF($G87&gt;=S$8,"*","")),"")</f>
        <v>*</v>
      </c>
      <c r="T87" s="158" t="str">
        <f t="shared" si="100"/>
        <v>*</v>
      </c>
      <c r="U87" s="158" t="str">
        <f t="shared" si="100"/>
        <v>*</v>
      </c>
      <c r="V87" s="158" t="str">
        <f t="shared" si="100"/>
        <v>*</v>
      </c>
      <c r="W87" s="158" t="str">
        <f t="shared" si="100"/>
        <v>*</v>
      </c>
      <c r="X87" s="158" t="str">
        <f t="shared" si="100"/>
        <v>*</v>
      </c>
      <c r="Y87" s="158" t="str">
        <f t="shared" si="100"/>
        <v>*</v>
      </c>
      <c r="Z87" s="158" t="str">
        <f t="shared" si="100"/>
        <v>*</v>
      </c>
      <c r="AA87" s="159" t="str">
        <f t="shared" si="100"/>
        <v>*</v>
      </c>
      <c r="AB87" s="151"/>
      <c r="AC87" s="151" t="str">
        <f>IF(AB87="","",SUM(Q87,AB87))</f>
        <v/>
      </c>
      <c r="AD87" s="12"/>
      <c r="AE87" s="1"/>
      <c r="AF87" s="1"/>
    </row>
    <row r="88" ht="18.75" customHeight="1">
      <c r="A88" s="60"/>
      <c r="B88" s="60"/>
      <c r="C88" s="1"/>
      <c r="D88" s="1"/>
      <c r="E88" s="7"/>
      <c r="F88" s="154"/>
      <c r="G88" s="155"/>
      <c r="H88" s="156"/>
      <c r="I88" s="156"/>
      <c r="J88" s="156"/>
      <c r="K88" s="156"/>
      <c r="L88" s="156"/>
      <c r="M88" s="156"/>
      <c r="N88" s="156"/>
      <c r="O88" s="157"/>
      <c r="P88" s="156"/>
      <c r="Q88" s="156" t="str">
        <f>IF(H88="","",SUM(H88:P88))</f>
        <v/>
      </c>
      <c r="R88" s="160"/>
      <c r="S88" s="156"/>
      <c r="T88" s="156"/>
      <c r="U88" s="156"/>
      <c r="V88" s="156"/>
      <c r="W88" s="156"/>
      <c r="X88" s="156"/>
      <c r="Y88" s="156"/>
      <c r="Z88" s="156"/>
      <c r="AA88" s="157"/>
      <c r="AB88" s="156" t="str">
        <f>IF(S88="","",SUM(S88:AA88))</f>
        <v/>
      </c>
      <c r="AC88" s="156">
        <f>IFERROR(Q88+AB88,"")</f>
        <v>0</v>
      </c>
      <c r="AD88" s="12"/>
      <c r="AE88" s="1"/>
      <c r="AF88" s="1"/>
    </row>
    <row r="89" ht="6.75" customHeight="1">
      <c r="A89" s="60"/>
      <c r="B89" s="60"/>
      <c r="C89" s="1"/>
      <c r="D89" s="1"/>
      <c r="E89" s="7"/>
      <c r="F89" s="16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12"/>
      <c r="AE89" s="1"/>
      <c r="AF89" s="1"/>
    </row>
    <row r="90" ht="27.75" customHeight="1">
      <c r="A90" s="60"/>
      <c r="B90" s="60"/>
      <c r="C90" s="1"/>
      <c r="D90" s="1"/>
      <c r="E90" s="7"/>
      <c r="F90" s="161" t="s">
        <v>143</v>
      </c>
      <c r="G90" s="142"/>
      <c r="H90" s="162" t="str">
        <f t="shared" ref="H90:P90" si="101">IF(H86="","",MIN(IF(H85="**",H86-2,IF(H85="*",H86-1,H86)),(IF(H87="**",H88-2,IF(H87="*",H88-1,H88)))))</f>
        <v/>
      </c>
      <c r="I90" s="162" t="str">
        <f t="shared" si="101"/>
        <v/>
      </c>
      <c r="J90" s="162" t="str">
        <f t="shared" si="101"/>
        <v/>
      </c>
      <c r="K90" s="162" t="str">
        <f t="shared" si="101"/>
        <v/>
      </c>
      <c r="L90" s="162" t="str">
        <f t="shared" si="101"/>
        <v/>
      </c>
      <c r="M90" s="162" t="str">
        <f t="shared" si="101"/>
        <v/>
      </c>
      <c r="N90" s="162" t="str">
        <f t="shared" si="101"/>
        <v/>
      </c>
      <c r="O90" s="163" t="str">
        <f t="shared" si="101"/>
        <v/>
      </c>
      <c r="P90" s="162" t="str">
        <f t="shared" si="101"/>
        <v/>
      </c>
      <c r="Q90" s="162" t="str">
        <f t="shared" ref="Q90:Q91" si="104">IF(H90="","",SUM(H90:P90))</f>
        <v/>
      </c>
      <c r="R90" s="23"/>
      <c r="S90" s="162" t="str">
        <f t="shared" ref="S90:AA90" si="102">IF(S86="","",MIN(IF(S85="**",S86-2,IF(S85="*",S86-1,S86)),(IF(S87="**",S88-2,IF(S87="*",S88-1,S88)))))</f>
        <v/>
      </c>
      <c r="T90" s="162" t="str">
        <f t="shared" si="102"/>
        <v/>
      </c>
      <c r="U90" s="162" t="str">
        <f t="shared" si="102"/>
        <v/>
      </c>
      <c r="V90" s="162" t="str">
        <f t="shared" si="102"/>
        <v/>
      </c>
      <c r="W90" s="162" t="str">
        <f t="shared" si="102"/>
        <v/>
      </c>
      <c r="X90" s="162" t="str">
        <f t="shared" si="102"/>
        <v/>
      </c>
      <c r="Y90" s="162" t="str">
        <f t="shared" si="102"/>
        <v/>
      </c>
      <c r="Z90" s="162" t="str">
        <f t="shared" si="102"/>
        <v/>
      </c>
      <c r="AA90" s="163" t="str">
        <f t="shared" si="102"/>
        <v/>
      </c>
      <c r="AB90" s="162" t="str">
        <f t="shared" ref="AB90:AB91" si="106">IF(S90="","",SUM(S90:AA90))</f>
        <v/>
      </c>
      <c r="AC90" s="162" t="str">
        <f t="shared" ref="AC90:AC91" si="107">IF(AB90="","",AB90+Q90)</f>
        <v/>
      </c>
      <c r="AD90" s="12"/>
      <c r="AE90" s="1"/>
      <c r="AF90" s="1"/>
    </row>
    <row r="91" ht="27.75" customHeight="1">
      <c r="A91" s="60"/>
      <c r="B91" s="60"/>
      <c r="C91" s="1"/>
      <c r="D91" s="1"/>
      <c r="E91" s="7"/>
      <c r="F91" s="161" t="s">
        <v>144</v>
      </c>
      <c r="G91" s="142"/>
      <c r="H91" s="164" t="str">
        <f t="shared" ref="H91:P91" si="103">IF(H90="","",IF(H90=H98,0.5,IF(H90&lt;H98,1,0)))</f>
        <v/>
      </c>
      <c r="I91" s="164" t="str">
        <f t="shared" si="103"/>
        <v/>
      </c>
      <c r="J91" s="164" t="str">
        <f t="shared" si="103"/>
        <v/>
      </c>
      <c r="K91" s="164" t="str">
        <f t="shared" si="103"/>
        <v/>
      </c>
      <c r="L91" s="164" t="str">
        <f t="shared" si="103"/>
        <v/>
      </c>
      <c r="M91" s="164" t="str">
        <f t="shared" si="103"/>
        <v/>
      </c>
      <c r="N91" s="164" t="str">
        <f t="shared" si="103"/>
        <v/>
      </c>
      <c r="O91" s="165" t="str">
        <f t="shared" si="103"/>
        <v/>
      </c>
      <c r="P91" s="164" t="str">
        <f t="shared" si="103"/>
        <v/>
      </c>
      <c r="Q91" s="164" t="str">
        <f t="shared" si="104"/>
        <v/>
      </c>
      <c r="R91" s="23"/>
      <c r="S91" s="164" t="str">
        <f t="shared" ref="S91:AA91" si="105">IF(S90="","",IF(S90=S98,0.5,IF(S90&lt;S98,1,0)))</f>
        <v/>
      </c>
      <c r="T91" s="164" t="str">
        <f t="shared" si="105"/>
        <v/>
      </c>
      <c r="U91" s="164" t="str">
        <f t="shared" si="105"/>
        <v/>
      </c>
      <c r="V91" s="164" t="str">
        <f t="shared" si="105"/>
        <v/>
      </c>
      <c r="W91" s="164" t="str">
        <f t="shared" si="105"/>
        <v/>
      </c>
      <c r="X91" s="164" t="str">
        <f t="shared" si="105"/>
        <v/>
      </c>
      <c r="Y91" s="164" t="str">
        <f t="shared" si="105"/>
        <v/>
      </c>
      <c r="Z91" s="164" t="str">
        <f t="shared" si="105"/>
        <v/>
      </c>
      <c r="AA91" s="165" t="str">
        <f t="shared" si="105"/>
        <v/>
      </c>
      <c r="AB91" s="164" t="str">
        <f t="shared" si="106"/>
        <v/>
      </c>
      <c r="AC91" s="164" t="str">
        <f t="shared" si="107"/>
        <v/>
      </c>
      <c r="AD91" s="12"/>
      <c r="AE91" s="1"/>
      <c r="AF91" s="1"/>
    </row>
    <row r="92" ht="6.75" customHeight="1">
      <c r="A92" s="60"/>
      <c r="B92" s="60"/>
      <c r="C92" s="1"/>
      <c r="D92" s="1"/>
      <c r="E92" s="7"/>
      <c r="F92" s="16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12"/>
      <c r="AE92" s="1"/>
      <c r="AF92" s="1"/>
    </row>
    <row r="93" ht="11.25" customHeight="1">
      <c r="A93" s="60"/>
      <c r="B93" s="60"/>
      <c r="C93" s="1"/>
      <c r="D93" s="1"/>
      <c r="E93" s="7"/>
      <c r="F93" s="149"/>
      <c r="G93" s="150" t="str">
        <f>IFERROR(VLOOKUP(F93,HANDICAPS!$B$8:$G$23,$D$3,FALSE),"")</f>
        <v/>
      </c>
      <c r="H93" s="151" t="str">
        <f t="shared" ref="H93:P93" si="108">IFERROR(IF($G93&gt;18,IF(($G93-18)&gt;H$33,"**","*"),IF($G93&gt;=H$8,"*","")),"")</f>
        <v>*</v>
      </c>
      <c r="I93" s="151" t="str">
        <f t="shared" si="108"/>
        <v>*</v>
      </c>
      <c r="J93" s="151" t="str">
        <f t="shared" si="108"/>
        <v>*</v>
      </c>
      <c r="K93" s="151" t="str">
        <f t="shared" si="108"/>
        <v>*</v>
      </c>
      <c r="L93" s="151" t="str">
        <f t="shared" si="108"/>
        <v>*</v>
      </c>
      <c r="M93" s="151" t="str">
        <f t="shared" si="108"/>
        <v>*</v>
      </c>
      <c r="N93" s="151" t="str">
        <f t="shared" si="108"/>
        <v>*</v>
      </c>
      <c r="O93" s="152" t="str">
        <f t="shared" si="108"/>
        <v>*</v>
      </c>
      <c r="P93" s="151" t="str">
        <f t="shared" si="108"/>
        <v>*</v>
      </c>
      <c r="Q93" s="151"/>
      <c r="R93" s="153"/>
      <c r="S93" s="151" t="str">
        <f t="shared" ref="S93:AA93" si="109">IFERROR(IF($G93&gt;18,IF(($G93-18)&gt;S$33,"**","*"),IF($G93&gt;=S$8,"*","")),"")</f>
        <v>*</v>
      </c>
      <c r="T93" s="151" t="str">
        <f t="shared" si="109"/>
        <v>*</v>
      </c>
      <c r="U93" s="151" t="str">
        <f t="shared" si="109"/>
        <v>*</v>
      </c>
      <c r="V93" s="151" t="str">
        <f t="shared" si="109"/>
        <v>*</v>
      </c>
      <c r="W93" s="151" t="str">
        <f t="shared" si="109"/>
        <v>*</v>
      </c>
      <c r="X93" s="151" t="str">
        <f t="shared" si="109"/>
        <v>*</v>
      </c>
      <c r="Y93" s="151" t="str">
        <f t="shared" si="109"/>
        <v>*</v>
      </c>
      <c r="Z93" s="151" t="str">
        <f t="shared" si="109"/>
        <v>*</v>
      </c>
      <c r="AA93" s="152" t="str">
        <f t="shared" si="109"/>
        <v>*</v>
      </c>
      <c r="AB93" s="151"/>
      <c r="AC93" s="151" t="str">
        <f>IF(AB93="","",SUM(Q93,AB93))</f>
        <v/>
      </c>
      <c r="AD93" s="12"/>
      <c r="AE93" s="1"/>
      <c r="AF93" s="1"/>
    </row>
    <row r="94" ht="18.75" customHeight="1">
      <c r="A94" s="60"/>
      <c r="B94" s="60"/>
      <c r="C94" s="1"/>
      <c r="D94" s="1"/>
      <c r="E94" s="7"/>
      <c r="F94" s="154"/>
      <c r="G94" s="155"/>
      <c r="H94" s="156"/>
      <c r="I94" s="156"/>
      <c r="J94" s="156"/>
      <c r="K94" s="156"/>
      <c r="L94" s="156"/>
      <c r="M94" s="156"/>
      <c r="N94" s="156"/>
      <c r="O94" s="157"/>
      <c r="P94" s="156"/>
      <c r="Q94" s="156" t="str">
        <f>IF(H94="","",SUM(H94:P94))</f>
        <v/>
      </c>
      <c r="R94" s="153"/>
      <c r="S94" s="156"/>
      <c r="T94" s="156"/>
      <c r="U94" s="156"/>
      <c r="V94" s="156"/>
      <c r="W94" s="156"/>
      <c r="X94" s="156"/>
      <c r="Y94" s="156"/>
      <c r="Z94" s="156"/>
      <c r="AA94" s="157"/>
      <c r="AB94" s="156" t="str">
        <f>IF(S94="","",SUM(S94:AA94))</f>
        <v/>
      </c>
      <c r="AC94" s="156">
        <f>IFERROR(Q94+AB94,"")</f>
        <v>0</v>
      </c>
      <c r="AD94" s="12"/>
      <c r="AE94" s="1"/>
      <c r="AF94" s="1"/>
    </row>
    <row r="95" ht="11.25" customHeight="1">
      <c r="A95" s="60"/>
      <c r="B95" s="60"/>
      <c r="C95" s="1"/>
      <c r="D95" s="1"/>
      <c r="E95" s="7"/>
      <c r="F95" s="149"/>
      <c r="G95" s="150" t="str">
        <f>IFERROR(VLOOKUP(F95,HANDICAPS!$B$8:$G$23,$D$3,FALSE),"")</f>
        <v/>
      </c>
      <c r="H95" s="158" t="str">
        <f t="shared" ref="H95:P95" si="110">IFERROR(IF($G95&gt;18,IF(($G95-18)&gt;H$33,"**","*"),IF($G95&gt;=H$8,"*","")),"")</f>
        <v>*</v>
      </c>
      <c r="I95" s="158" t="str">
        <f t="shared" si="110"/>
        <v>*</v>
      </c>
      <c r="J95" s="158" t="str">
        <f t="shared" si="110"/>
        <v>*</v>
      </c>
      <c r="K95" s="158" t="str">
        <f t="shared" si="110"/>
        <v>*</v>
      </c>
      <c r="L95" s="158" t="str">
        <f t="shared" si="110"/>
        <v>*</v>
      </c>
      <c r="M95" s="158" t="str">
        <f t="shared" si="110"/>
        <v>*</v>
      </c>
      <c r="N95" s="158" t="str">
        <f t="shared" si="110"/>
        <v>*</v>
      </c>
      <c r="O95" s="159" t="str">
        <f t="shared" si="110"/>
        <v>*</v>
      </c>
      <c r="P95" s="158" t="str">
        <f t="shared" si="110"/>
        <v>*</v>
      </c>
      <c r="Q95" s="158"/>
      <c r="R95" s="158"/>
      <c r="S95" s="158" t="str">
        <f t="shared" ref="S95:AA95" si="111">IFERROR(IF($G95&gt;18,IF(($G95-18)&gt;S$33,"**","*"),IF($G95&gt;=S$8,"*","")),"")</f>
        <v>*</v>
      </c>
      <c r="T95" s="158" t="str">
        <f t="shared" si="111"/>
        <v>*</v>
      </c>
      <c r="U95" s="158" t="str">
        <f t="shared" si="111"/>
        <v>*</v>
      </c>
      <c r="V95" s="158" t="str">
        <f t="shared" si="111"/>
        <v>*</v>
      </c>
      <c r="W95" s="158" t="str">
        <f t="shared" si="111"/>
        <v>*</v>
      </c>
      <c r="X95" s="158" t="str">
        <f t="shared" si="111"/>
        <v>*</v>
      </c>
      <c r="Y95" s="158" t="str">
        <f t="shared" si="111"/>
        <v>*</v>
      </c>
      <c r="Z95" s="158" t="str">
        <f t="shared" si="111"/>
        <v>*</v>
      </c>
      <c r="AA95" s="159" t="str">
        <f t="shared" si="111"/>
        <v>*</v>
      </c>
      <c r="AB95" s="151"/>
      <c r="AC95" s="151" t="str">
        <f>IF(AB95="","",SUM(Q95,AB95))</f>
        <v/>
      </c>
      <c r="AD95" s="12"/>
      <c r="AE95" s="1"/>
      <c r="AF95" s="1"/>
    </row>
    <row r="96" ht="18.75" customHeight="1">
      <c r="A96" s="60"/>
      <c r="B96" s="60"/>
      <c r="C96" s="1"/>
      <c r="D96" s="1"/>
      <c r="E96" s="7"/>
      <c r="F96" s="154"/>
      <c r="G96" s="155"/>
      <c r="H96" s="156"/>
      <c r="I96" s="156"/>
      <c r="J96" s="156"/>
      <c r="K96" s="156"/>
      <c r="L96" s="156"/>
      <c r="M96" s="156"/>
      <c r="N96" s="156"/>
      <c r="O96" s="157"/>
      <c r="P96" s="156"/>
      <c r="Q96" s="156" t="str">
        <f>IF(H96="","",SUM(H96:P96))</f>
        <v/>
      </c>
      <c r="R96" s="160"/>
      <c r="S96" s="156"/>
      <c r="T96" s="156"/>
      <c r="U96" s="156"/>
      <c r="V96" s="156"/>
      <c r="W96" s="156"/>
      <c r="X96" s="156"/>
      <c r="Y96" s="156"/>
      <c r="Z96" s="156"/>
      <c r="AA96" s="157"/>
      <c r="AB96" s="156" t="str">
        <f>IF(S96="","",SUM(S96:AA96))</f>
        <v/>
      </c>
      <c r="AC96" s="156">
        <f>IFERROR(Q96+AB96,"")</f>
        <v>0</v>
      </c>
      <c r="AD96" s="12"/>
      <c r="AE96" s="1"/>
      <c r="AF96" s="1"/>
    </row>
    <row r="97" ht="6.75" customHeight="1">
      <c r="A97" s="60"/>
      <c r="B97" s="60"/>
      <c r="C97" s="1"/>
      <c r="D97" s="1"/>
      <c r="E97" s="7"/>
      <c r="F97" s="16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12"/>
      <c r="AE97" s="1"/>
      <c r="AF97" s="1"/>
    </row>
    <row r="98" ht="27.75" customHeight="1">
      <c r="A98" s="60"/>
      <c r="B98" s="60"/>
      <c r="C98" s="1"/>
      <c r="D98" s="1"/>
      <c r="E98" s="7"/>
      <c r="F98" s="161" t="s">
        <v>143</v>
      </c>
      <c r="G98" s="142"/>
      <c r="H98" s="162" t="str">
        <f t="shared" ref="H98:P98" si="112">IF(H94="","",MIN(IF(H93="**",H94-2,IF(H93="*",H94-1,H94)),(IF(H95="**",H96-2,IF(H95="*",H96-1,H96)))))</f>
        <v/>
      </c>
      <c r="I98" s="162" t="str">
        <f t="shared" si="112"/>
        <v/>
      </c>
      <c r="J98" s="162" t="str">
        <f t="shared" si="112"/>
        <v/>
      </c>
      <c r="K98" s="162" t="str">
        <f t="shared" si="112"/>
        <v/>
      </c>
      <c r="L98" s="162" t="str">
        <f t="shared" si="112"/>
        <v/>
      </c>
      <c r="M98" s="162" t="str">
        <f t="shared" si="112"/>
        <v/>
      </c>
      <c r="N98" s="162" t="str">
        <f t="shared" si="112"/>
        <v/>
      </c>
      <c r="O98" s="163" t="str">
        <f t="shared" si="112"/>
        <v/>
      </c>
      <c r="P98" s="162" t="str">
        <f t="shared" si="112"/>
        <v/>
      </c>
      <c r="Q98" s="162" t="str">
        <f t="shared" ref="Q98:Q99" si="115">IF(H98="","",SUM(H98:P98))</f>
        <v/>
      </c>
      <c r="R98" s="23"/>
      <c r="S98" s="162" t="str">
        <f t="shared" ref="S98:AA98" si="113">IF(S94="","",MIN(IF(S93="**",S94-2,IF(S93="*",S94-1,S94)),(IF(S95="**",S96-2,IF(S95="*",S96-1,S96)))))</f>
        <v/>
      </c>
      <c r="T98" s="162" t="str">
        <f t="shared" si="113"/>
        <v/>
      </c>
      <c r="U98" s="162" t="str">
        <f t="shared" si="113"/>
        <v/>
      </c>
      <c r="V98" s="162" t="str">
        <f t="shared" si="113"/>
        <v/>
      </c>
      <c r="W98" s="162" t="str">
        <f t="shared" si="113"/>
        <v/>
      </c>
      <c r="X98" s="162" t="str">
        <f t="shared" si="113"/>
        <v/>
      </c>
      <c r="Y98" s="162" t="str">
        <f t="shared" si="113"/>
        <v/>
      </c>
      <c r="Z98" s="162" t="str">
        <f t="shared" si="113"/>
        <v/>
      </c>
      <c r="AA98" s="163" t="str">
        <f t="shared" si="113"/>
        <v/>
      </c>
      <c r="AB98" s="162" t="str">
        <f t="shared" ref="AB98:AB99" si="117">IF(S98="","",SUM(S98:AA98))</f>
        <v/>
      </c>
      <c r="AC98" s="162" t="str">
        <f t="shared" ref="AC98:AC99" si="118">IF(AB98="","",AB98+Q98)</f>
        <v/>
      </c>
      <c r="AD98" s="12"/>
      <c r="AE98" s="1"/>
      <c r="AF98" s="1"/>
    </row>
    <row r="99" ht="27.75" customHeight="1">
      <c r="A99" s="60"/>
      <c r="B99" s="60"/>
      <c r="C99" s="1"/>
      <c r="D99" s="1"/>
      <c r="E99" s="7"/>
      <c r="F99" s="161" t="s">
        <v>144</v>
      </c>
      <c r="G99" s="142"/>
      <c r="H99" s="164" t="str">
        <f t="shared" ref="H99:P99" si="114">IF(H98="","",IF(H98=H90,0.5,IF(H98&lt;H90,1,0)))</f>
        <v/>
      </c>
      <c r="I99" s="164" t="str">
        <f t="shared" si="114"/>
        <v/>
      </c>
      <c r="J99" s="164" t="str">
        <f t="shared" si="114"/>
        <v/>
      </c>
      <c r="K99" s="164" t="str">
        <f t="shared" si="114"/>
        <v/>
      </c>
      <c r="L99" s="164" t="str">
        <f t="shared" si="114"/>
        <v/>
      </c>
      <c r="M99" s="164" t="str">
        <f t="shared" si="114"/>
        <v/>
      </c>
      <c r="N99" s="164" t="str">
        <f t="shared" si="114"/>
        <v/>
      </c>
      <c r="O99" s="165" t="str">
        <f t="shared" si="114"/>
        <v/>
      </c>
      <c r="P99" s="164" t="str">
        <f t="shared" si="114"/>
        <v/>
      </c>
      <c r="Q99" s="164" t="str">
        <f t="shared" si="115"/>
        <v/>
      </c>
      <c r="R99" s="23"/>
      <c r="S99" s="164" t="str">
        <f t="shared" ref="S99:AA99" si="116">IF(S98="","",IF(S98=S90,0.5,IF(S98&lt;S90,1,0)))</f>
        <v/>
      </c>
      <c r="T99" s="164" t="str">
        <f t="shared" si="116"/>
        <v/>
      </c>
      <c r="U99" s="164" t="str">
        <f t="shared" si="116"/>
        <v/>
      </c>
      <c r="V99" s="164" t="str">
        <f t="shared" si="116"/>
        <v/>
      </c>
      <c r="W99" s="164" t="str">
        <f t="shared" si="116"/>
        <v/>
      </c>
      <c r="X99" s="164" t="str">
        <f t="shared" si="116"/>
        <v/>
      </c>
      <c r="Y99" s="164" t="str">
        <f t="shared" si="116"/>
        <v/>
      </c>
      <c r="Z99" s="164" t="str">
        <f t="shared" si="116"/>
        <v/>
      </c>
      <c r="AA99" s="165" t="str">
        <f t="shared" si="116"/>
        <v/>
      </c>
      <c r="AB99" s="164" t="str">
        <f t="shared" si="117"/>
        <v/>
      </c>
      <c r="AC99" s="164" t="str">
        <f t="shared" si="118"/>
        <v/>
      </c>
      <c r="AD99" s="12"/>
      <c r="AE99" s="1"/>
      <c r="AF99" s="1"/>
    </row>
    <row r="100" ht="6.75" customHeight="1">
      <c r="A100" s="60"/>
      <c r="B100" s="60"/>
      <c r="C100" s="1"/>
      <c r="D100" s="1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  <c r="AE100" s="1"/>
      <c r="AF100" s="1"/>
    </row>
    <row r="101" ht="6.75" customHeight="1">
      <c r="A101" s="60"/>
      <c r="B101" s="6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6.75" customHeight="1">
      <c r="A102" s="60"/>
      <c r="B102" s="6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6.75" customHeight="1">
      <c r="A103" s="60"/>
      <c r="B103" s="6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6.75" customHeight="1">
      <c r="A104" s="60"/>
      <c r="B104" s="6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6.75" customHeight="1">
      <c r="A105" s="60"/>
      <c r="B105" s="6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6.75" customHeight="1">
      <c r="A106" s="60"/>
      <c r="B106" s="6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6.75" customHeight="1">
      <c r="A107" s="60"/>
      <c r="B107" s="6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6.75" customHeight="1">
      <c r="A108" s="60"/>
      <c r="B108" s="6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6.75" customHeight="1">
      <c r="A109" s="60"/>
      <c r="B109" s="6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6.75" customHeight="1">
      <c r="A110" s="60"/>
      <c r="B110" s="6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6.75" customHeight="1">
      <c r="A111" s="60"/>
      <c r="B111" s="6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6.75" customHeight="1">
      <c r="A112" s="60"/>
      <c r="B112" s="6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6.75" customHeight="1">
      <c r="A113" s="60"/>
      <c r="B113" s="6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6.75" customHeight="1">
      <c r="A114" s="60"/>
      <c r="B114" s="6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6.75" customHeight="1">
      <c r="A115" s="60"/>
      <c r="B115" s="6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6.75" customHeight="1">
      <c r="A116" s="60"/>
      <c r="B116" s="6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6.75" hidden="1" customHeight="1">
      <c r="A117" s="60"/>
      <c r="B117" s="6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6.75" hidden="1" customHeight="1">
      <c r="A118" s="60"/>
      <c r="B118" s="6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6.75" hidden="1" customHeight="1">
      <c r="A119" s="60"/>
      <c r="B119" s="6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6.75" hidden="1" customHeight="1">
      <c r="A120" s="60"/>
      <c r="B120" s="6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6.75" hidden="1" customHeight="1">
      <c r="A121" s="60"/>
      <c r="B121" s="6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4.25" hidden="1" customHeight="1">
      <c r="A122" s="60"/>
      <c r="B122" s="6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4.25" hidden="1" customHeight="1">
      <c r="A123" s="60"/>
      <c r="B123" s="60"/>
      <c r="C123" s="1"/>
      <c r="D123" s="1"/>
      <c r="E123" s="1"/>
      <c r="F123" s="39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4.25" hidden="1" customHeight="1">
      <c r="A124" s="60"/>
      <c r="B124" s="60"/>
      <c r="C124" s="1"/>
      <c r="D124" s="1"/>
      <c r="E124" s="1"/>
      <c r="F124" s="1" t="str">
        <f>F10</f>
        <v/>
      </c>
      <c r="G124" s="1"/>
      <c r="H124" s="40" t="str">
        <f t="shared" ref="H124:P124" si="119">H11</f>
        <v/>
      </c>
      <c r="I124" s="40" t="str">
        <f t="shared" si="119"/>
        <v/>
      </c>
      <c r="J124" s="40" t="str">
        <f t="shared" si="119"/>
        <v/>
      </c>
      <c r="K124" s="40" t="str">
        <f t="shared" si="119"/>
        <v/>
      </c>
      <c r="L124" s="40" t="str">
        <f t="shared" si="119"/>
        <v/>
      </c>
      <c r="M124" s="40" t="str">
        <f t="shared" si="119"/>
        <v/>
      </c>
      <c r="N124" s="40" t="str">
        <f t="shared" si="119"/>
        <v/>
      </c>
      <c r="O124" s="40" t="str">
        <f t="shared" si="119"/>
        <v/>
      </c>
      <c r="P124" s="40" t="str">
        <f t="shared" si="119"/>
        <v/>
      </c>
      <c r="Q124" s="40"/>
      <c r="R124" s="40"/>
      <c r="S124" s="40" t="str">
        <f t="shared" ref="S124:AA124" si="120">S11</f>
        <v/>
      </c>
      <c r="T124" s="40" t="str">
        <f t="shared" si="120"/>
        <v/>
      </c>
      <c r="U124" s="40" t="str">
        <f t="shared" si="120"/>
        <v/>
      </c>
      <c r="V124" s="40" t="str">
        <f t="shared" si="120"/>
        <v/>
      </c>
      <c r="W124" s="40" t="str">
        <f t="shared" si="120"/>
        <v/>
      </c>
      <c r="X124" s="40" t="str">
        <f t="shared" si="120"/>
        <v/>
      </c>
      <c r="Y124" s="40" t="str">
        <f t="shared" si="120"/>
        <v/>
      </c>
      <c r="Z124" s="40" t="str">
        <f t="shared" si="120"/>
        <v/>
      </c>
      <c r="AA124" s="40" t="str">
        <f t="shared" si="120"/>
        <v/>
      </c>
      <c r="AB124" s="1"/>
      <c r="AC124" s="1"/>
      <c r="AD124" s="1"/>
      <c r="AE124" s="1"/>
      <c r="AF124" s="1"/>
    </row>
    <row r="125" ht="14.25" hidden="1" customHeight="1">
      <c r="A125" s="60"/>
      <c r="B125" s="60"/>
      <c r="C125" s="1"/>
      <c r="D125" s="1"/>
      <c r="E125" s="1"/>
      <c r="F125" s="1" t="str">
        <f>F12</f>
        <v/>
      </c>
      <c r="G125" s="1"/>
      <c r="H125" s="40" t="str">
        <f t="shared" ref="H125:P125" si="121">H13</f>
        <v/>
      </c>
      <c r="I125" s="40" t="str">
        <f t="shared" si="121"/>
        <v/>
      </c>
      <c r="J125" s="40" t="str">
        <f t="shared" si="121"/>
        <v/>
      </c>
      <c r="K125" s="40" t="str">
        <f t="shared" si="121"/>
        <v/>
      </c>
      <c r="L125" s="40" t="str">
        <f t="shared" si="121"/>
        <v/>
      </c>
      <c r="M125" s="40" t="str">
        <f t="shared" si="121"/>
        <v/>
      </c>
      <c r="N125" s="40" t="str">
        <f t="shared" si="121"/>
        <v/>
      </c>
      <c r="O125" s="40" t="str">
        <f t="shared" si="121"/>
        <v/>
      </c>
      <c r="P125" s="40" t="str">
        <f t="shared" si="121"/>
        <v/>
      </c>
      <c r="Q125" s="40"/>
      <c r="R125" s="40"/>
      <c r="S125" s="40" t="str">
        <f t="shared" ref="S125:AA125" si="122">S13</f>
        <v/>
      </c>
      <c r="T125" s="40" t="str">
        <f t="shared" si="122"/>
        <v/>
      </c>
      <c r="U125" s="40" t="str">
        <f t="shared" si="122"/>
        <v/>
      </c>
      <c r="V125" s="40" t="str">
        <f t="shared" si="122"/>
        <v/>
      </c>
      <c r="W125" s="40" t="str">
        <f t="shared" si="122"/>
        <v/>
      </c>
      <c r="X125" s="40" t="str">
        <f t="shared" si="122"/>
        <v/>
      </c>
      <c r="Y125" s="40" t="str">
        <f t="shared" si="122"/>
        <v/>
      </c>
      <c r="Z125" s="40" t="str">
        <f t="shared" si="122"/>
        <v/>
      </c>
      <c r="AA125" s="40" t="str">
        <f t="shared" si="122"/>
        <v/>
      </c>
      <c r="AB125" s="1"/>
      <c r="AC125" s="1"/>
      <c r="AD125" s="1"/>
      <c r="AE125" s="1"/>
      <c r="AF125" s="1"/>
    </row>
    <row r="126" ht="14.25" hidden="1" customHeight="1">
      <c r="A126" s="60"/>
      <c r="B126" s="60"/>
      <c r="C126" s="1"/>
      <c r="D126" s="1"/>
      <c r="E126" s="1"/>
      <c r="F126" s="1" t="str">
        <f>F18</f>
        <v/>
      </c>
      <c r="G126" s="1"/>
      <c r="H126" s="40" t="str">
        <f t="shared" ref="H126:P126" si="123">H19</f>
        <v/>
      </c>
      <c r="I126" s="40" t="str">
        <f t="shared" si="123"/>
        <v/>
      </c>
      <c r="J126" s="40" t="str">
        <f t="shared" si="123"/>
        <v/>
      </c>
      <c r="K126" s="40" t="str">
        <f t="shared" si="123"/>
        <v/>
      </c>
      <c r="L126" s="40" t="str">
        <f t="shared" si="123"/>
        <v/>
      </c>
      <c r="M126" s="40" t="str">
        <f t="shared" si="123"/>
        <v/>
      </c>
      <c r="N126" s="40" t="str">
        <f t="shared" si="123"/>
        <v/>
      </c>
      <c r="O126" s="40" t="str">
        <f t="shared" si="123"/>
        <v/>
      </c>
      <c r="P126" s="40" t="str">
        <f t="shared" si="123"/>
        <v/>
      </c>
      <c r="Q126" s="40"/>
      <c r="R126" s="40"/>
      <c r="S126" s="40" t="str">
        <f t="shared" ref="S126:AA126" si="124">S19</f>
        <v/>
      </c>
      <c r="T126" s="40" t="str">
        <f t="shared" si="124"/>
        <v/>
      </c>
      <c r="U126" s="40" t="str">
        <f t="shared" si="124"/>
        <v/>
      </c>
      <c r="V126" s="40" t="str">
        <f t="shared" si="124"/>
        <v/>
      </c>
      <c r="W126" s="40" t="str">
        <f t="shared" si="124"/>
        <v/>
      </c>
      <c r="X126" s="40" t="str">
        <f t="shared" si="124"/>
        <v/>
      </c>
      <c r="Y126" s="40" t="str">
        <f t="shared" si="124"/>
        <v/>
      </c>
      <c r="Z126" s="40" t="str">
        <f t="shared" si="124"/>
        <v/>
      </c>
      <c r="AA126" s="40" t="str">
        <f t="shared" si="124"/>
        <v/>
      </c>
      <c r="AB126" s="1"/>
      <c r="AC126" s="1"/>
      <c r="AD126" s="1"/>
      <c r="AE126" s="1"/>
      <c r="AF126" s="1"/>
    </row>
    <row r="127" ht="14.25" hidden="1" customHeight="1">
      <c r="A127" s="60"/>
      <c r="B127" s="60"/>
      <c r="C127" s="1"/>
      <c r="D127" s="1"/>
      <c r="E127" s="1"/>
      <c r="F127" s="1" t="str">
        <f>F20</f>
        <v/>
      </c>
      <c r="G127" s="1"/>
      <c r="H127" s="40" t="str">
        <f t="shared" ref="H127:P127" si="125">H21</f>
        <v/>
      </c>
      <c r="I127" s="40" t="str">
        <f t="shared" si="125"/>
        <v/>
      </c>
      <c r="J127" s="40" t="str">
        <f t="shared" si="125"/>
        <v/>
      </c>
      <c r="K127" s="40" t="str">
        <f t="shared" si="125"/>
        <v/>
      </c>
      <c r="L127" s="40" t="str">
        <f t="shared" si="125"/>
        <v/>
      </c>
      <c r="M127" s="40" t="str">
        <f t="shared" si="125"/>
        <v/>
      </c>
      <c r="N127" s="40" t="str">
        <f t="shared" si="125"/>
        <v/>
      </c>
      <c r="O127" s="40" t="str">
        <f t="shared" si="125"/>
        <v/>
      </c>
      <c r="P127" s="40" t="str">
        <f t="shared" si="125"/>
        <v/>
      </c>
      <c r="Q127" s="40"/>
      <c r="R127" s="40"/>
      <c r="S127" s="40" t="str">
        <f t="shared" ref="S127:AA127" si="126">S21</f>
        <v/>
      </c>
      <c r="T127" s="40" t="str">
        <f t="shared" si="126"/>
        <v/>
      </c>
      <c r="U127" s="40" t="str">
        <f t="shared" si="126"/>
        <v/>
      </c>
      <c r="V127" s="40" t="str">
        <f t="shared" si="126"/>
        <v/>
      </c>
      <c r="W127" s="40" t="str">
        <f t="shared" si="126"/>
        <v/>
      </c>
      <c r="X127" s="40" t="str">
        <f t="shared" si="126"/>
        <v/>
      </c>
      <c r="Y127" s="40" t="str">
        <f t="shared" si="126"/>
        <v/>
      </c>
      <c r="Z127" s="40" t="str">
        <f t="shared" si="126"/>
        <v/>
      </c>
      <c r="AA127" s="40" t="str">
        <f t="shared" si="126"/>
        <v/>
      </c>
      <c r="AB127" s="1"/>
      <c r="AC127" s="1"/>
      <c r="AD127" s="1"/>
      <c r="AE127" s="1"/>
      <c r="AF127" s="1"/>
    </row>
    <row r="128" ht="14.25" hidden="1" customHeight="1">
      <c r="A128" s="60"/>
      <c r="B128" s="60"/>
      <c r="C128" s="1"/>
      <c r="D128" s="1"/>
      <c r="E128" s="1"/>
      <c r="F128" s="1" t="str">
        <f>F35</f>
        <v/>
      </c>
      <c r="G128" s="1"/>
      <c r="H128" s="40" t="str">
        <f t="shared" ref="H128:P128" si="127">H36</f>
        <v/>
      </c>
      <c r="I128" s="40" t="str">
        <f t="shared" si="127"/>
        <v/>
      </c>
      <c r="J128" s="40" t="str">
        <f t="shared" si="127"/>
        <v/>
      </c>
      <c r="K128" s="40" t="str">
        <f t="shared" si="127"/>
        <v/>
      </c>
      <c r="L128" s="40" t="str">
        <f t="shared" si="127"/>
        <v/>
      </c>
      <c r="M128" s="40" t="str">
        <f t="shared" si="127"/>
        <v/>
      </c>
      <c r="N128" s="40" t="str">
        <f t="shared" si="127"/>
        <v/>
      </c>
      <c r="O128" s="40" t="str">
        <f t="shared" si="127"/>
        <v/>
      </c>
      <c r="P128" s="40" t="str">
        <f t="shared" si="127"/>
        <v/>
      </c>
      <c r="Q128" s="40"/>
      <c r="R128" s="40"/>
      <c r="S128" s="40" t="str">
        <f t="shared" ref="S128:AA128" si="128">S36</f>
        <v/>
      </c>
      <c r="T128" s="40" t="str">
        <f t="shared" si="128"/>
        <v/>
      </c>
      <c r="U128" s="40" t="str">
        <f t="shared" si="128"/>
        <v/>
      </c>
      <c r="V128" s="40" t="str">
        <f t="shared" si="128"/>
        <v/>
      </c>
      <c r="W128" s="40" t="str">
        <f t="shared" si="128"/>
        <v/>
      </c>
      <c r="X128" s="40" t="str">
        <f t="shared" si="128"/>
        <v/>
      </c>
      <c r="Y128" s="40" t="str">
        <f t="shared" si="128"/>
        <v/>
      </c>
      <c r="Z128" s="40" t="str">
        <f t="shared" si="128"/>
        <v/>
      </c>
      <c r="AA128" s="40" t="str">
        <f t="shared" si="128"/>
        <v/>
      </c>
      <c r="AB128" s="1"/>
      <c r="AC128" s="1"/>
      <c r="AD128" s="1"/>
      <c r="AE128" s="1"/>
      <c r="AF128" s="1"/>
    </row>
    <row r="129" ht="14.25" hidden="1" customHeight="1">
      <c r="A129" s="60"/>
      <c r="B129" s="60"/>
      <c r="C129" s="1"/>
      <c r="D129" s="1"/>
      <c r="E129" s="1"/>
      <c r="F129" s="1" t="str">
        <f>F37</f>
        <v/>
      </c>
      <c r="G129" s="1"/>
      <c r="H129" s="40" t="str">
        <f t="shared" ref="H129:P129" si="129">H38</f>
        <v/>
      </c>
      <c r="I129" s="40" t="str">
        <f t="shared" si="129"/>
        <v/>
      </c>
      <c r="J129" s="40" t="str">
        <f t="shared" si="129"/>
        <v/>
      </c>
      <c r="K129" s="40" t="str">
        <f t="shared" si="129"/>
        <v/>
      </c>
      <c r="L129" s="40" t="str">
        <f t="shared" si="129"/>
        <v/>
      </c>
      <c r="M129" s="40" t="str">
        <f t="shared" si="129"/>
        <v/>
      </c>
      <c r="N129" s="40" t="str">
        <f t="shared" si="129"/>
        <v/>
      </c>
      <c r="O129" s="40" t="str">
        <f t="shared" si="129"/>
        <v/>
      </c>
      <c r="P129" s="40" t="str">
        <f t="shared" si="129"/>
        <v/>
      </c>
      <c r="Q129" s="40"/>
      <c r="R129" s="40"/>
      <c r="S129" s="40" t="str">
        <f t="shared" ref="S129:AA129" si="130">S38</f>
        <v/>
      </c>
      <c r="T129" s="40" t="str">
        <f t="shared" si="130"/>
        <v/>
      </c>
      <c r="U129" s="40" t="str">
        <f t="shared" si="130"/>
        <v/>
      </c>
      <c r="V129" s="40" t="str">
        <f t="shared" si="130"/>
        <v/>
      </c>
      <c r="W129" s="40" t="str">
        <f t="shared" si="130"/>
        <v/>
      </c>
      <c r="X129" s="40" t="str">
        <f t="shared" si="130"/>
        <v/>
      </c>
      <c r="Y129" s="40" t="str">
        <f t="shared" si="130"/>
        <v/>
      </c>
      <c r="Z129" s="40" t="str">
        <f t="shared" si="130"/>
        <v/>
      </c>
      <c r="AA129" s="40" t="str">
        <f t="shared" si="130"/>
        <v/>
      </c>
      <c r="AB129" s="1"/>
      <c r="AC129" s="1"/>
      <c r="AD129" s="1"/>
      <c r="AE129" s="1"/>
      <c r="AF129" s="1"/>
    </row>
    <row r="130" ht="14.25" hidden="1" customHeight="1">
      <c r="A130" s="60"/>
      <c r="B130" s="60"/>
      <c r="C130" s="1"/>
      <c r="D130" s="1"/>
      <c r="E130" s="1"/>
      <c r="F130" s="1" t="str">
        <f>F43</f>
        <v/>
      </c>
      <c r="G130" s="1"/>
      <c r="H130" s="40" t="str">
        <f t="shared" ref="H130:P130" si="131">H44</f>
        <v/>
      </c>
      <c r="I130" s="40" t="str">
        <f t="shared" si="131"/>
        <v/>
      </c>
      <c r="J130" s="40" t="str">
        <f t="shared" si="131"/>
        <v/>
      </c>
      <c r="K130" s="40" t="str">
        <f t="shared" si="131"/>
        <v/>
      </c>
      <c r="L130" s="40" t="str">
        <f t="shared" si="131"/>
        <v/>
      </c>
      <c r="M130" s="40" t="str">
        <f t="shared" si="131"/>
        <v/>
      </c>
      <c r="N130" s="40" t="str">
        <f t="shared" si="131"/>
        <v/>
      </c>
      <c r="O130" s="40" t="str">
        <f t="shared" si="131"/>
        <v/>
      </c>
      <c r="P130" s="40" t="str">
        <f t="shared" si="131"/>
        <v/>
      </c>
      <c r="Q130" s="40"/>
      <c r="R130" s="40"/>
      <c r="S130" s="40" t="str">
        <f t="shared" ref="S130:AA130" si="132">S44</f>
        <v/>
      </c>
      <c r="T130" s="40" t="str">
        <f t="shared" si="132"/>
        <v/>
      </c>
      <c r="U130" s="40" t="str">
        <f t="shared" si="132"/>
        <v/>
      </c>
      <c r="V130" s="40" t="str">
        <f t="shared" si="132"/>
        <v/>
      </c>
      <c r="W130" s="40" t="str">
        <f t="shared" si="132"/>
        <v/>
      </c>
      <c r="X130" s="40" t="str">
        <f t="shared" si="132"/>
        <v/>
      </c>
      <c r="Y130" s="40" t="str">
        <f t="shared" si="132"/>
        <v/>
      </c>
      <c r="Z130" s="40" t="str">
        <f t="shared" si="132"/>
        <v/>
      </c>
      <c r="AA130" s="40" t="str">
        <f t="shared" si="132"/>
        <v/>
      </c>
      <c r="AB130" s="1"/>
      <c r="AC130" s="1"/>
      <c r="AD130" s="1"/>
      <c r="AE130" s="1"/>
      <c r="AF130" s="1"/>
    </row>
    <row r="131" ht="14.25" hidden="1" customHeight="1">
      <c r="A131" s="60"/>
      <c r="B131" s="60"/>
      <c r="C131" s="1"/>
      <c r="D131" s="1"/>
      <c r="E131" s="1"/>
      <c r="F131" s="1" t="str">
        <f>F45</f>
        <v/>
      </c>
      <c r="G131" s="1"/>
      <c r="H131" s="40" t="str">
        <f t="shared" ref="H131:P131" si="133">H46</f>
        <v/>
      </c>
      <c r="I131" s="40" t="str">
        <f t="shared" si="133"/>
        <v/>
      </c>
      <c r="J131" s="40" t="str">
        <f t="shared" si="133"/>
        <v/>
      </c>
      <c r="K131" s="40" t="str">
        <f t="shared" si="133"/>
        <v/>
      </c>
      <c r="L131" s="40" t="str">
        <f t="shared" si="133"/>
        <v/>
      </c>
      <c r="M131" s="40" t="str">
        <f t="shared" si="133"/>
        <v/>
      </c>
      <c r="N131" s="40" t="str">
        <f t="shared" si="133"/>
        <v/>
      </c>
      <c r="O131" s="40" t="str">
        <f t="shared" si="133"/>
        <v/>
      </c>
      <c r="P131" s="40" t="str">
        <f t="shared" si="133"/>
        <v/>
      </c>
      <c r="Q131" s="40"/>
      <c r="R131" s="40"/>
      <c r="S131" s="40" t="str">
        <f t="shared" ref="S131:AA131" si="134">S46</f>
        <v/>
      </c>
      <c r="T131" s="40" t="str">
        <f t="shared" si="134"/>
        <v/>
      </c>
      <c r="U131" s="40" t="str">
        <f t="shared" si="134"/>
        <v/>
      </c>
      <c r="V131" s="40" t="str">
        <f t="shared" si="134"/>
        <v/>
      </c>
      <c r="W131" s="40" t="str">
        <f t="shared" si="134"/>
        <v/>
      </c>
      <c r="X131" s="40" t="str">
        <f t="shared" si="134"/>
        <v/>
      </c>
      <c r="Y131" s="40" t="str">
        <f t="shared" si="134"/>
        <v/>
      </c>
      <c r="Z131" s="40" t="str">
        <f t="shared" si="134"/>
        <v/>
      </c>
      <c r="AA131" s="40" t="str">
        <f t="shared" si="134"/>
        <v/>
      </c>
      <c r="AB131" s="1"/>
      <c r="AC131" s="1"/>
      <c r="AD131" s="1"/>
      <c r="AE131" s="1"/>
      <c r="AF131" s="1"/>
    </row>
    <row r="132" ht="14.25" hidden="1" customHeight="1">
      <c r="A132" s="60"/>
      <c r="B132" s="60"/>
      <c r="C132" s="1"/>
      <c r="D132" s="1"/>
      <c r="E132" s="1"/>
      <c r="F132" s="1" t="str">
        <f>F60</f>
        <v/>
      </c>
      <c r="G132" s="1"/>
      <c r="H132" s="40" t="str">
        <f t="shared" ref="H132:P132" si="135">H61</f>
        <v/>
      </c>
      <c r="I132" s="40" t="str">
        <f t="shared" si="135"/>
        <v/>
      </c>
      <c r="J132" s="40" t="str">
        <f t="shared" si="135"/>
        <v/>
      </c>
      <c r="K132" s="40" t="str">
        <f t="shared" si="135"/>
        <v/>
      </c>
      <c r="L132" s="40" t="str">
        <f t="shared" si="135"/>
        <v/>
      </c>
      <c r="M132" s="40" t="str">
        <f t="shared" si="135"/>
        <v/>
      </c>
      <c r="N132" s="40" t="str">
        <f t="shared" si="135"/>
        <v/>
      </c>
      <c r="O132" s="40" t="str">
        <f t="shared" si="135"/>
        <v/>
      </c>
      <c r="P132" s="40" t="str">
        <f t="shared" si="135"/>
        <v/>
      </c>
      <c r="Q132" s="40"/>
      <c r="R132" s="40"/>
      <c r="S132" s="40" t="str">
        <f t="shared" ref="S132:AA132" si="136">S61</f>
        <v/>
      </c>
      <c r="T132" s="40" t="str">
        <f t="shared" si="136"/>
        <v/>
      </c>
      <c r="U132" s="40" t="str">
        <f t="shared" si="136"/>
        <v/>
      </c>
      <c r="V132" s="40" t="str">
        <f t="shared" si="136"/>
        <v/>
      </c>
      <c r="W132" s="40" t="str">
        <f t="shared" si="136"/>
        <v/>
      </c>
      <c r="X132" s="40" t="str">
        <f t="shared" si="136"/>
        <v/>
      </c>
      <c r="Y132" s="40" t="str">
        <f t="shared" si="136"/>
        <v/>
      </c>
      <c r="Z132" s="40" t="str">
        <f t="shared" si="136"/>
        <v/>
      </c>
      <c r="AA132" s="40" t="str">
        <f t="shared" si="136"/>
        <v/>
      </c>
      <c r="AB132" s="1"/>
      <c r="AC132" s="1"/>
      <c r="AD132" s="1"/>
      <c r="AE132" s="1"/>
      <c r="AF132" s="1"/>
    </row>
    <row r="133" ht="14.25" hidden="1" customHeight="1">
      <c r="A133" s="60"/>
      <c r="B133" s="60"/>
      <c r="C133" s="1"/>
      <c r="D133" s="1"/>
      <c r="E133" s="1"/>
      <c r="F133" s="1" t="str">
        <f>F62</f>
        <v/>
      </c>
      <c r="G133" s="1"/>
      <c r="H133" s="40" t="str">
        <f t="shared" ref="H133:P133" si="137">H63</f>
        <v/>
      </c>
      <c r="I133" s="40" t="str">
        <f t="shared" si="137"/>
        <v/>
      </c>
      <c r="J133" s="40" t="str">
        <f t="shared" si="137"/>
        <v/>
      </c>
      <c r="K133" s="40" t="str">
        <f t="shared" si="137"/>
        <v/>
      </c>
      <c r="L133" s="40" t="str">
        <f t="shared" si="137"/>
        <v/>
      </c>
      <c r="M133" s="40" t="str">
        <f t="shared" si="137"/>
        <v/>
      </c>
      <c r="N133" s="40" t="str">
        <f t="shared" si="137"/>
        <v/>
      </c>
      <c r="O133" s="40" t="str">
        <f t="shared" si="137"/>
        <v/>
      </c>
      <c r="P133" s="40" t="str">
        <f t="shared" si="137"/>
        <v/>
      </c>
      <c r="Q133" s="40"/>
      <c r="R133" s="40"/>
      <c r="S133" s="40" t="str">
        <f t="shared" ref="S133:AA133" si="138">S63</f>
        <v/>
      </c>
      <c r="T133" s="40" t="str">
        <f t="shared" si="138"/>
        <v/>
      </c>
      <c r="U133" s="40" t="str">
        <f t="shared" si="138"/>
        <v/>
      </c>
      <c r="V133" s="40" t="str">
        <f t="shared" si="138"/>
        <v/>
      </c>
      <c r="W133" s="40" t="str">
        <f t="shared" si="138"/>
        <v/>
      </c>
      <c r="X133" s="40" t="str">
        <f t="shared" si="138"/>
        <v/>
      </c>
      <c r="Y133" s="40" t="str">
        <f t="shared" si="138"/>
        <v/>
      </c>
      <c r="Z133" s="40" t="str">
        <f t="shared" si="138"/>
        <v/>
      </c>
      <c r="AA133" s="40" t="str">
        <f t="shared" si="138"/>
        <v/>
      </c>
      <c r="AB133" s="1"/>
      <c r="AC133" s="1"/>
      <c r="AD133" s="1"/>
      <c r="AE133" s="1"/>
      <c r="AF133" s="1"/>
    </row>
    <row r="134" ht="14.25" hidden="1" customHeight="1">
      <c r="A134" s="60"/>
      <c r="B134" s="60"/>
      <c r="C134" s="1"/>
      <c r="D134" s="1"/>
      <c r="E134" s="1"/>
      <c r="F134" s="1" t="str">
        <f>F68</f>
        <v/>
      </c>
      <c r="G134" s="1"/>
      <c r="H134" s="40" t="str">
        <f t="shared" ref="H134:P134" si="139">H69</f>
        <v/>
      </c>
      <c r="I134" s="40" t="str">
        <f t="shared" si="139"/>
        <v/>
      </c>
      <c r="J134" s="40" t="str">
        <f t="shared" si="139"/>
        <v/>
      </c>
      <c r="K134" s="40" t="str">
        <f t="shared" si="139"/>
        <v/>
      </c>
      <c r="L134" s="40" t="str">
        <f t="shared" si="139"/>
        <v/>
      </c>
      <c r="M134" s="40" t="str">
        <f t="shared" si="139"/>
        <v/>
      </c>
      <c r="N134" s="40" t="str">
        <f t="shared" si="139"/>
        <v/>
      </c>
      <c r="O134" s="40" t="str">
        <f t="shared" si="139"/>
        <v/>
      </c>
      <c r="P134" s="40" t="str">
        <f t="shared" si="139"/>
        <v/>
      </c>
      <c r="Q134" s="40"/>
      <c r="R134" s="40"/>
      <c r="S134" s="40" t="str">
        <f t="shared" ref="S134:AA134" si="140">S69</f>
        <v/>
      </c>
      <c r="T134" s="40" t="str">
        <f t="shared" si="140"/>
        <v/>
      </c>
      <c r="U134" s="40" t="str">
        <f t="shared" si="140"/>
        <v/>
      </c>
      <c r="V134" s="40" t="str">
        <f t="shared" si="140"/>
        <v/>
      </c>
      <c r="W134" s="40" t="str">
        <f t="shared" si="140"/>
        <v/>
      </c>
      <c r="X134" s="40" t="str">
        <f t="shared" si="140"/>
        <v/>
      </c>
      <c r="Y134" s="40" t="str">
        <f t="shared" si="140"/>
        <v/>
      </c>
      <c r="Z134" s="40" t="str">
        <f t="shared" si="140"/>
        <v/>
      </c>
      <c r="AA134" s="40" t="str">
        <f t="shared" si="140"/>
        <v/>
      </c>
      <c r="AB134" s="1"/>
      <c r="AC134" s="1"/>
      <c r="AD134" s="1"/>
      <c r="AE134" s="1"/>
      <c r="AF134" s="1"/>
    </row>
    <row r="135" ht="14.25" hidden="1" customHeight="1">
      <c r="A135" s="60"/>
      <c r="B135" s="60"/>
      <c r="C135" s="1"/>
      <c r="D135" s="1"/>
      <c r="E135" s="1"/>
      <c r="F135" s="1" t="str">
        <f>F70</f>
        <v/>
      </c>
      <c r="G135" s="1"/>
      <c r="H135" s="40" t="str">
        <f t="shared" ref="H135:P135" si="141">H71</f>
        <v/>
      </c>
      <c r="I135" s="40" t="str">
        <f t="shared" si="141"/>
        <v/>
      </c>
      <c r="J135" s="40" t="str">
        <f t="shared" si="141"/>
        <v/>
      </c>
      <c r="K135" s="40" t="str">
        <f t="shared" si="141"/>
        <v/>
      </c>
      <c r="L135" s="40" t="str">
        <f t="shared" si="141"/>
        <v/>
      </c>
      <c r="M135" s="40" t="str">
        <f t="shared" si="141"/>
        <v/>
      </c>
      <c r="N135" s="40" t="str">
        <f t="shared" si="141"/>
        <v/>
      </c>
      <c r="O135" s="40" t="str">
        <f t="shared" si="141"/>
        <v/>
      </c>
      <c r="P135" s="40" t="str">
        <f t="shared" si="141"/>
        <v/>
      </c>
      <c r="Q135" s="40"/>
      <c r="R135" s="40"/>
      <c r="S135" s="40" t="str">
        <f t="shared" ref="S135:AA135" si="142">S71</f>
        <v/>
      </c>
      <c r="T135" s="40" t="str">
        <f t="shared" si="142"/>
        <v/>
      </c>
      <c r="U135" s="40" t="str">
        <f t="shared" si="142"/>
        <v/>
      </c>
      <c r="V135" s="40" t="str">
        <f t="shared" si="142"/>
        <v/>
      </c>
      <c r="W135" s="40" t="str">
        <f t="shared" si="142"/>
        <v/>
      </c>
      <c r="X135" s="40" t="str">
        <f t="shared" si="142"/>
        <v/>
      </c>
      <c r="Y135" s="40" t="str">
        <f t="shared" si="142"/>
        <v/>
      </c>
      <c r="Z135" s="40" t="str">
        <f t="shared" si="142"/>
        <v/>
      </c>
      <c r="AA135" s="40" t="str">
        <f t="shared" si="142"/>
        <v/>
      </c>
      <c r="AB135" s="1"/>
      <c r="AC135" s="1"/>
      <c r="AD135" s="1"/>
      <c r="AE135" s="1"/>
      <c r="AF135" s="1"/>
    </row>
    <row r="136" ht="14.25" hidden="1" customHeight="1">
      <c r="A136" s="60"/>
      <c r="B136" s="60"/>
      <c r="C136" s="1"/>
      <c r="D136" s="1"/>
      <c r="E136" s="1"/>
      <c r="F136" s="1" t="str">
        <f>F85</f>
        <v/>
      </c>
      <c r="G136" s="1"/>
      <c r="H136" s="40" t="str">
        <f t="shared" ref="H136:P136" si="143">H86</f>
        <v/>
      </c>
      <c r="I136" s="40" t="str">
        <f t="shared" si="143"/>
        <v/>
      </c>
      <c r="J136" s="40" t="str">
        <f t="shared" si="143"/>
        <v/>
      </c>
      <c r="K136" s="40" t="str">
        <f t="shared" si="143"/>
        <v/>
      </c>
      <c r="L136" s="40" t="str">
        <f t="shared" si="143"/>
        <v/>
      </c>
      <c r="M136" s="40" t="str">
        <f t="shared" si="143"/>
        <v/>
      </c>
      <c r="N136" s="40" t="str">
        <f t="shared" si="143"/>
        <v/>
      </c>
      <c r="O136" s="40" t="str">
        <f t="shared" si="143"/>
        <v/>
      </c>
      <c r="P136" s="40" t="str">
        <f t="shared" si="143"/>
        <v/>
      </c>
      <c r="Q136" s="40"/>
      <c r="R136" s="40"/>
      <c r="S136" s="40" t="str">
        <f t="shared" ref="S136:AA136" si="144">S86</f>
        <v/>
      </c>
      <c r="T136" s="40" t="str">
        <f t="shared" si="144"/>
        <v/>
      </c>
      <c r="U136" s="40" t="str">
        <f t="shared" si="144"/>
        <v/>
      </c>
      <c r="V136" s="40" t="str">
        <f t="shared" si="144"/>
        <v/>
      </c>
      <c r="W136" s="40" t="str">
        <f t="shared" si="144"/>
        <v/>
      </c>
      <c r="X136" s="40" t="str">
        <f t="shared" si="144"/>
        <v/>
      </c>
      <c r="Y136" s="40" t="str">
        <f t="shared" si="144"/>
        <v/>
      </c>
      <c r="Z136" s="40" t="str">
        <f t="shared" si="144"/>
        <v/>
      </c>
      <c r="AA136" s="40" t="str">
        <f t="shared" si="144"/>
        <v/>
      </c>
      <c r="AB136" s="1"/>
      <c r="AC136" s="1"/>
      <c r="AD136" s="1"/>
      <c r="AE136" s="1"/>
      <c r="AF136" s="1"/>
    </row>
    <row r="137" ht="14.25" hidden="1" customHeight="1">
      <c r="A137" s="60"/>
      <c r="B137" s="60"/>
      <c r="C137" s="1"/>
      <c r="D137" s="1"/>
      <c r="E137" s="1"/>
      <c r="F137" s="1" t="str">
        <f>F87</f>
        <v/>
      </c>
      <c r="G137" s="1"/>
      <c r="H137" s="40" t="str">
        <f t="shared" ref="H137:P137" si="145">H88</f>
        <v/>
      </c>
      <c r="I137" s="40" t="str">
        <f t="shared" si="145"/>
        <v/>
      </c>
      <c r="J137" s="40" t="str">
        <f t="shared" si="145"/>
        <v/>
      </c>
      <c r="K137" s="40" t="str">
        <f t="shared" si="145"/>
        <v/>
      </c>
      <c r="L137" s="40" t="str">
        <f t="shared" si="145"/>
        <v/>
      </c>
      <c r="M137" s="40" t="str">
        <f t="shared" si="145"/>
        <v/>
      </c>
      <c r="N137" s="40" t="str">
        <f t="shared" si="145"/>
        <v/>
      </c>
      <c r="O137" s="40" t="str">
        <f t="shared" si="145"/>
        <v/>
      </c>
      <c r="P137" s="40" t="str">
        <f t="shared" si="145"/>
        <v/>
      </c>
      <c r="Q137" s="40"/>
      <c r="R137" s="40"/>
      <c r="S137" s="40" t="str">
        <f t="shared" ref="S137:AA137" si="146">S88</f>
        <v/>
      </c>
      <c r="T137" s="40" t="str">
        <f t="shared" si="146"/>
        <v/>
      </c>
      <c r="U137" s="40" t="str">
        <f t="shared" si="146"/>
        <v/>
      </c>
      <c r="V137" s="40" t="str">
        <f t="shared" si="146"/>
        <v/>
      </c>
      <c r="W137" s="40" t="str">
        <f t="shared" si="146"/>
        <v/>
      </c>
      <c r="X137" s="40" t="str">
        <f t="shared" si="146"/>
        <v/>
      </c>
      <c r="Y137" s="40" t="str">
        <f t="shared" si="146"/>
        <v/>
      </c>
      <c r="Z137" s="40" t="str">
        <f t="shared" si="146"/>
        <v/>
      </c>
      <c r="AA137" s="40" t="str">
        <f t="shared" si="146"/>
        <v/>
      </c>
      <c r="AB137" s="1"/>
      <c r="AC137" s="1"/>
      <c r="AD137" s="1"/>
      <c r="AE137" s="1"/>
      <c r="AF137" s="1"/>
    </row>
    <row r="138" ht="14.25" hidden="1" customHeight="1">
      <c r="A138" s="60"/>
      <c r="B138" s="60"/>
      <c r="C138" s="1"/>
      <c r="D138" s="1"/>
      <c r="E138" s="1"/>
      <c r="F138" s="1" t="str">
        <f>F93</f>
        <v/>
      </c>
      <c r="G138" s="1"/>
      <c r="H138" s="40" t="str">
        <f t="shared" ref="H138:P138" si="147">H94</f>
        <v/>
      </c>
      <c r="I138" s="40" t="str">
        <f t="shared" si="147"/>
        <v/>
      </c>
      <c r="J138" s="40" t="str">
        <f t="shared" si="147"/>
        <v/>
      </c>
      <c r="K138" s="40" t="str">
        <f t="shared" si="147"/>
        <v/>
      </c>
      <c r="L138" s="40" t="str">
        <f t="shared" si="147"/>
        <v/>
      </c>
      <c r="M138" s="40" t="str">
        <f t="shared" si="147"/>
        <v/>
      </c>
      <c r="N138" s="40" t="str">
        <f t="shared" si="147"/>
        <v/>
      </c>
      <c r="O138" s="40" t="str">
        <f t="shared" si="147"/>
        <v/>
      </c>
      <c r="P138" s="40" t="str">
        <f t="shared" si="147"/>
        <v/>
      </c>
      <c r="Q138" s="40"/>
      <c r="R138" s="40"/>
      <c r="S138" s="40" t="str">
        <f t="shared" ref="S138:AA138" si="148">S94</f>
        <v/>
      </c>
      <c r="T138" s="40" t="str">
        <f t="shared" si="148"/>
        <v/>
      </c>
      <c r="U138" s="40" t="str">
        <f t="shared" si="148"/>
        <v/>
      </c>
      <c r="V138" s="40" t="str">
        <f t="shared" si="148"/>
        <v/>
      </c>
      <c r="W138" s="40" t="str">
        <f t="shared" si="148"/>
        <v/>
      </c>
      <c r="X138" s="40" t="str">
        <f t="shared" si="148"/>
        <v/>
      </c>
      <c r="Y138" s="40" t="str">
        <f t="shared" si="148"/>
        <v/>
      </c>
      <c r="Z138" s="40" t="str">
        <f t="shared" si="148"/>
        <v/>
      </c>
      <c r="AA138" s="40" t="str">
        <f t="shared" si="148"/>
        <v/>
      </c>
      <c r="AB138" s="1"/>
      <c r="AC138" s="1"/>
      <c r="AD138" s="1"/>
      <c r="AE138" s="1"/>
      <c r="AF138" s="1"/>
    </row>
    <row r="139" ht="14.25" hidden="1" customHeight="1">
      <c r="A139" s="60"/>
      <c r="B139" s="60"/>
      <c r="C139" s="1"/>
      <c r="D139" s="1"/>
      <c r="E139" s="1"/>
      <c r="F139" s="1" t="str">
        <f>F95</f>
        <v/>
      </c>
      <c r="G139" s="1"/>
      <c r="H139" s="40" t="str">
        <f t="shared" ref="H139:P139" si="149">H96</f>
        <v/>
      </c>
      <c r="I139" s="40" t="str">
        <f t="shared" si="149"/>
        <v/>
      </c>
      <c r="J139" s="40" t="str">
        <f t="shared" si="149"/>
        <v/>
      </c>
      <c r="K139" s="40" t="str">
        <f t="shared" si="149"/>
        <v/>
      </c>
      <c r="L139" s="40" t="str">
        <f t="shared" si="149"/>
        <v/>
      </c>
      <c r="M139" s="40" t="str">
        <f t="shared" si="149"/>
        <v/>
      </c>
      <c r="N139" s="40" t="str">
        <f t="shared" si="149"/>
        <v/>
      </c>
      <c r="O139" s="40" t="str">
        <f t="shared" si="149"/>
        <v/>
      </c>
      <c r="P139" s="40" t="str">
        <f t="shared" si="149"/>
        <v/>
      </c>
      <c r="Q139" s="40"/>
      <c r="R139" s="40"/>
      <c r="S139" s="40" t="str">
        <f t="shared" ref="S139:AA139" si="150">S96</f>
        <v/>
      </c>
      <c r="T139" s="40" t="str">
        <f t="shared" si="150"/>
        <v/>
      </c>
      <c r="U139" s="40" t="str">
        <f t="shared" si="150"/>
        <v/>
      </c>
      <c r="V139" s="40" t="str">
        <f t="shared" si="150"/>
        <v/>
      </c>
      <c r="W139" s="40" t="str">
        <f t="shared" si="150"/>
        <v/>
      </c>
      <c r="X139" s="40" t="str">
        <f t="shared" si="150"/>
        <v/>
      </c>
      <c r="Y139" s="40" t="str">
        <f t="shared" si="150"/>
        <v/>
      </c>
      <c r="Z139" s="40" t="str">
        <f t="shared" si="150"/>
        <v/>
      </c>
      <c r="AA139" s="40" t="str">
        <f t="shared" si="150"/>
        <v/>
      </c>
      <c r="AB139" s="1"/>
      <c r="AC139" s="1"/>
      <c r="AD139" s="1"/>
      <c r="AE139" s="1"/>
      <c r="AF139" s="1"/>
    </row>
    <row r="140" ht="14.25" hidden="1" customHeight="1">
      <c r="A140" s="60"/>
      <c r="B140" s="60"/>
      <c r="C140" s="1"/>
      <c r="D140" s="1"/>
      <c r="E140" s="1"/>
      <c r="F140" s="1"/>
      <c r="G140" s="1"/>
      <c r="H140" s="40">
        <v>24.0</v>
      </c>
      <c r="I140" s="40">
        <f t="shared" ref="I140:P140" si="151">H140-1</f>
        <v>23</v>
      </c>
      <c r="J140" s="40">
        <f t="shared" si="151"/>
        <v>22</v>
      </c>
      <c r="K140" s="40">
        <f t="shared" si="151"/>
        <v>21</v>
      </c>
      <c r="L140" s="40">
        <f t="shared" si="151"/>
        <v>20</v>
      </c>
      <c r="M140" s="40">
        <f t="shared" si="151"/>
        <v>19</v>
      </c>
      <c r="N140" s="40">
        <f t="shared" si="151"/>
        <v>18</v>
      </c>
      <c r="O140" s="40">
        <f t="shared" si="151"/>
        <v>17</v>
      </c>
      <c r="P140" s="40">
        <f t="shared" si="151"/>
        <v>16</v>
      </c>
      <c r="Q140" s="40"/>
      <c r="R140" s="40"/>
      <c r="S140" s="40">
        <f>P140-3</f>
        <v>13</v>
      </c>
      <c r="T140" s="40">
        <f t="shared" ref="T140:AA140" si="152">S140-1</f>
        <v>12</v>
      </c>
      <c r="U140" s="40">
        <f t="shared" si="152"/>
        <v>11</v>
      </c>
      <c r="V140" s="40">
        <f t="shared" si="152"/>
        <v>10</v>
      </c>
      <c r="W140" s="40">
        <f t="shared" si="152"/>
        <v>9</v>
      </c>
      <c r="X140" s="40">
        <f t="shared" si="152"/>
        <v>8</v>
      </c>
      <c r="Y140" s="40">
        <f t="shared" si="152"/>
        <v>7</v>
      </c>
      <c r="Z140" s="40">
        <f t="shared" si="152"/>
        <v>6</v>
      </c>
      <c r="AA140" s="40">
        <f t="shared" si="152"/>
        <v>5</v>
      </c>
      <c r="AB140" s="1"/>
      <c r="AC140" s="1"/>
      <c r="AD140" s="1"/>
      <c r="AE140" s="1"/>
      <c r="AF140" s="1"/>
    </row>
    <row r="141" ht="14.25" hidden="1" customHeight="1">
      <c r="A141" s="60"/>
      <c r="B141" s="60"/>
      <c r="C141" s="1"/>
      <c r="D141" s="1"/>
      <c r="E141" s="1"/>
      <c r="F141" s="41"/>
      <c r="G141" s="1"/>
      <c r="H141" s="42">
        <v>3.0</v>
      </c>
      <c r="I141" s="42">
        <f t="shared" ref="I141:P141" si="153">H141+1</f>
        <v>4</v>
      </c>
      <c r="J141" s="42">
        <f t="shared" si="153"/>
        <v>5</v>
      </c>
      <c r="K141" s="42">
        <f t="shared" si="153"/>
        <v>6</v>
      </c>
      <c r="L141" s="42">
        <f t="shared" si="153"/>
        <v>7</v>
      </c>
      <c r="M141" s="42">
        <f t="shared" si="153"/>
        <v>8</v>
      </c>
      <c r="N141" s="42">
        <f t="shared" si="153"/>
        <v>9</v>
      </c>
      <c r="O141" s="42">
        <f t="shared" si="153"/>
        <v>10</v>
      </c>
      <c r="P141" s="42">
        <f t="shared" si="153"/>
        <v>11</v>
      </c>
      <c r="Q141" s="42"/>
      <c r="R141" s="42"/>
      <c r="S141" s="42">
        <f>P141+3</f>
        <v>14</v>
      </c>
      <c r="T141" s="42">
        <f t="shared" ref="T141:AA141" si="154">S141+1</f>
        <v>15</v>
      </c>
      <c r="U141" s="42">
        <f t="shared" si="154"/>
        <v>16</v>
      </c>
      <c r="V141" s="42">
        <f t="shared" si="154"/>
        <v>17</v>
      </c>
      <c r="W141" s="42">
        <f t="shared" si="154"/>
        <v>18</v>
      </c>
      <c r="X141" s="42">
        <f t="shared" si="154"/>
        <v>19</v>
      </c>
      <c r="Y141" s="42">
        <f t="shared" si="154"/>
        <v>20</v>
      </c>
      <c r="Z141" s="42">
        <f t="shared" si="154"/>
        <v>21</v>
      </c>
      <c r="AA141" s="42">
        <f t="shared" si="154"/>
        <v>22</v>
      </c>
      <c r="AB141" s="1"/>
      <c r="AC141" s="1"/>
      <c r="AD141" s="1"/>
      <c r="AE141" s="1"/>
      <c r="AF141" s="1"/>
    </row>
    <row r="142" ht="27.75" customHeight="1">
      <c r="A142" s="60"/>
      <c r="B142" s="60"/>
      <c r="C142" s="1"/>
      <c r="D142" s="1"/>
      <c r="E142" s="1"/>
      <c r="F142" s="66" t="s">
        <v>145</v>
      </c>
      <c r="G142" s="66" t="s">
        <v>113</v>
      </c>
      <c r="H142" s="66">
        <f t="shared" ref="H142:P142" si="155">H7</f>
        <v>4</v>
      </c>
      <c r="I142" s="66">
        <f t="shared" si="155"/>
        <v>3</v>
      </c>
      <c r="J142" s="66">
        <f t="shared" si="155"/>
        <v>4</v>
      </c>
      <c r="K142" s="66">
        <f t="shared" si="155"/>
        <v>4</v>
      </c>
      <c r="L142" s="66">
        <f t="shared" si="155"/>
        <v>3</v>
      </c>
      <c r="M142" s="66">
        <f t="shared" si="155"/>
        <v>5</v>
      </c>
      <c r="N142" s="66">
        <f t="shared" si="155"/>
        <v>4</v>
      </c>
      <c r="O142" s="66">
        <f t="shared" si="155"/>
        <v>3</v>
      </c>
      <c r="P142" s="66">
        <f t="shared" si="155"/>
        <v>5</v>
      </c>
      <c r="Q142" s="10"/>
      <c r="R142" s="10"/>
      <c r="S142" s="66">
        <f t="shared" ref="S142:AA142" si="156">S7</f>
        <v>4</v>
      </c>
      <c r="T142" s="66">
        <f t="shared" si="156"/>
        <v>3</v>
      </c>
      <c r="U142" s="66">
        <f t="shared" si="156"/>
        <v>4</v>
      </c>
      <c r="V142" s="66">
        <f t="shared" si="156"/>
        <v>5</v>
      </c>
      <c r="W142" s="66">
        <f t="shared" si="156"/>
        <v>4</v>
      </c>
      <c r="X142" s="66">
        <f t="shared" si="156"/>
        <v>3</v>
      </c>
      <c r="Y142" s="66">
        <f t="shared" si="156"/>
        <v>4</v>
      </c>
      <c r="Z142" s="66">
        <f t="shared" si="156"/>
        <v>5</v>
      </c>
      <c r="AA142" s="66">
        <f t="shared" si="156"/>
        <v>4</v>
      </c>
      <c r="AB142" s="1"/>
      <c r="AC142" s="1"/>
      <c r="AD142" s="1"/>
      <c r="AE142" s="1"/>
      <c r="AF142" s="1"/>
    </row>
    <row r="143" ht="27.75" customHeight="1">
      <c r="A143" s="60"/>
      <c r="B143" s="60"/>
      <c r="C143" s="1"/>
      <c r="D143" s="1"/>
      <c r="E143" s="1"/>
      <c r="F143" s="66" t="s">
        <v>146</v>
      </c>
      <c r="G143" s="166" t="s">
        <v>147</v>
      </c>
      <c r="H143" s="66">
        <v>1.0</v>
      </c>
      <c r="I143" s="66">
        <v>2.0</v>
      </c>
      <c r="J143" s="66">
        <v>3.0</v>
      </c>
      <c r="K143" s="66">
        <v>4.0</v>
      </c>
      <c r="L143" s="66">
        <v>5.0</v>
      </c>
      <c r="M143" s="66">
        <v>6.0</v>
      </c>
      <c r="N143" s="66">
        <v>7.0</v>
      </c>
      <c r="O143" s="66">
        <v>8.0</v>
      </c>
      <c r="P143" s="66">
        <v>9.0</v>
      </c>
      <c r="Q143" s="10"/>
      <c r="R143" s="10"/>
      <c r="S143" s="66">
        <v>10.0</v>
      </c>
      <c r="T143" s="66">
        <v>11.0</v>
      </c>
      <c r="U143" s="66">
        <v>12.0</v>
      </c>
      <c r="V143" s="66">
        <v>13.0</v>
      </c>
      <c r="W143" s="66">
        <v>14.0</v>
      </c>
      <c r="X143" s="66">
        <v>15.0</v>
      </c>
      <c r="Y143" s="66">
        <v>16.0</v>
      </c>
      <c r="Z143" s="66">
        <v>17.0</v>
      </c>
      <c r="AA143" s="66">
        <v>18.0</v>
      </c>
      <c r="AB143" s="39"/>
      <c r="AC143" s="39"/>
      <c r="AD143" s="39"/>
      <c r="AE143" s="66" t="s">
        <v>148</v>
      </c>
      <c r="AF143" s="167">
        <f>COUNTIF(G144:G159,"Y")*10</f>
        <v>140</v>
      </c>
    </row>
    <row r="144" ht="27.75" customHeight="1">
      <c r="A144" s="60"/>
      <c r="B144" s="60"/>
      <c r="C144" s="1"/>
      <c r="D144" s="11" t="s">
        <v>17</v>
      </c>
      <c r="E144" s="1"/>
      <c r="F144" s="168" t="str">
        <f>HANDICAPS!B8</f>
        <v>DEREK</v>
      </c>
      <c r="G144" s="75" t="s">
        <v>17</v>
      </c>
      <c r="H144" s="169" t="str">
        <f t="shared" ref="H144:P144" si="157">IFERROR(IF(VLOOKUP($F144,$F$124:$AA$139,H$141,FALSE)=0,"",VLOOKUP($F144,$F$124:$AA$139,H$141,FALSE)-IF(VLOOKUP($F144,$F$10:$AA$100,H$141,FALSE)="**",2,IF(VLOOKUP($F144,$F$10:$AA$100,H$141,FALSE)="*",1,0))),"")</f>
        <v/>
      </c>
      <c r="I144" s="169" t="str">
        <f t="shared" si="157"/>
        <v/>
      </c>
      <c r="J144" s="169" t="str">
        <f t="shared" si="157"/>
        <v/>
      </c>
      <c r="K144" s="169" t="str">
        <f t="shared" si="157"/>
        <v/>
      </c>
      <c r="L144" s="169" t="str">
        <f t="shared" si="157"/>
        <v/>
      </c>
      <c r="M144" s="169" t="str">
        <f t="shared" si="157"/>
        <v/>
      </c>
      <c r="N144" s="169" t="str">
        <f t="shared" si="157"/>
        <v/>
      </c>
      <c r="O144" s="169" t="str">
        <f t="shared" si="157"/>
        <v/>
      </c>
      <c r="P144" s="169" t="str">
        <f t="shared" si="157"/>
        <v/>
      </c>
      <c r="Q144" s="51"/>
      <c r="R144" s="51"/>
      <c r="S144" s="169" t="str">
        <f t="shared" ref="S144:AA144" si="158">IFERROR(IF(VLOOKUP($F144,$F$124:$AA$139,S$141,FALSE)=0,"",VLOOKUP($F144,$F$124:$AA$139,S$141,FALSE)-IF(VLOOKUP($F144,$F$10:$AA$100,S$141,FALSE)="**",2,IF(VLOOKUP($F144,$F$10:$AA$100,S$141,FALSE)="*",1,0))),"")</f>
        <v/>
      </c>
      <c r="T144" s="169" t="str">
        <f t="shared" si="158"/>
        <v/>
      </c>
      <c r="U144" s="169" t="str">
        <f t="shared" si="158"/>
        <v/>
      </c>
      <c r="V144" s="169" t="str">
        <f t="shared" si="158"/>
        <v/>
      </c>
      <c r="W144" s="169" t="str">
        <f t="shared" si="158"/>
        <v/>
      </c>
      <c r="X144" s="169" t="str">
        <f t="shared" si="158"/>
        <v/>
      </c>
      <c r="Y144" s="169" t="str">
        <f t="shared" si="158"/>
        <v/>
      </c>
      <c r="Z144" s="169" t="str">
        <f t="shared" si="158"/>
        <v/>
      </c>
      <c r="AA144" s="169" t="str">
        <f t="shared" si="158"/>
        <v/>
      </c>
      <c r="AB144" s="39"/>
      <c r="AC144" s="39"/>
      <c r="AD144" s="1"/>
      <c r="AE144" s="75" t="str">
        <f t="shared" ref="AE144:AE159" si="161">F144</f>
        <v>DEREK</v>
      </c>
      <c r="AF144" s="170">
        <f t="shared" ref="AF144:AF159" si="162">IFERROR(($AF$143/$AB$163)*COUNTIF($H$164:$AA$164,AE144),0)</f>
        <v>0</v>
      </c>
    </row>
    <row r="145" ht="27.75" customHeight="1">
      <c r="A145" s="60"/>
      <c r="B145" s="60"/>
      <c r="C145" s="1"/>
      <c r="D145" s="11" t="s">
        <v>18</v>
      </c>
      <c r="E145" s="1"/>
      <c r="F145" s="168" t="str">
        <f>HANDICAPS!B9</f>
        <v>SCOTT</v>
      </c>
      <c r="G145" s="75" t="s">
        <v>17</v>
      </c>
      <c r="H145" s="169" t="str">
        <f t="shared" ref="H145:P145" si="159">IFERROR(IF(VLOOKUP($F145,$F$124:$AA$139,H$141,FALSE)=0,"",VLOOKUP($F145,$F$124:$AA$139,H$141,FALSE)-IF(VLOOKUP($F145,$F$10:$AA$100,H$141,FALSE)="**",2,IF(VLOOKUP($F145,$F$10:$AA$100,H$141,FALSE)="*",1,0))),"")</f>
        <v/>
      </c>
      <c r="I145" s="169" t="str">
        <f t="shared" si="159"/>
        <v/>
      </c>
      <c r="J145" s="169" t="str">
        <f t="shared" si="159"/>
        <v/>
      </c>
      <c r="K145" s="169" t="str">
        <f t="shared" si="159"/>
        <v/>
      </c>
      <c r="L145" s="169" t="str">
        <f t="shared" si="159"/>
        <v/>
      </c>
      <c r="M145" s="169" t="str">
        <f t="shared" si="159"/>
        <v/>
      </c>
      <c r="N145" s="169" t="str">
        <f t="shared" si="159"/>
        <v/>
      </c>
      <c r="O145" s="169" t="str">
        <f t="shared" si="159"/>
        <v/>
      </c>
      <c r="P145" s="169" t="str">
        <f t="shared" si="159"/>
        <v/>
      </c>
      <c r="Q145" s="51"/>
      <c r="R145" s="51"/>
      <c r="S145" s="169" t="str">
        <f t="shared" ref="S145:AA145" si="160">IFERROR(IF(VLOOKUP($F145,$F$124:$AA$139,S$141,FALSE)=0,"",VLOOKUP($F145,$F$124:$AA$139,S$141,FALSE)-IF(VLOOKUP($F145,$F$10:$AA$100,S$141,FALSE)="**",2,IF(VLOOKUP($F145,$F$10:$AA$100,S$141,FALSE)="*",1,0))),"")</f>
        <v/>
      </c>
      <c r="T145" s="169" t="str">
        <f t="shared" si="160"/>
        <v/>
      </c>
      <c r="U145" s="169" t="str">
        <f t="shared" si="160"/>
        <v/>
      </c>
      <c r="V145" s="169" t="str">
        <f t="shared" si="160"/>
        <v/>
      </c>
      <c r="W145" s="169" t="str">
        <f t="shared" si="160"/>
        <v/>
      </c>
      <c r="X145" s="169" t="str">
        <f t="shared" si="160"/>
        <v/>
      </c>
      <c r="Y145" s="169" t="str">
        <f t="shared" si="160"/>
        <v/>
      </c>
      <c r="Z145" s="169" t="str">
        <f t="shared" si="160"/>
        <v/>
      </c>
      <c r="AA145" s="169" t="str">
        <f t="shared" si="160"/>
        <v/>
      </c>
      <c r="AB145" s="39"/>
      <c r="AC145" s="39"/>
      <c r="AD145" s="1"/>
      <c r="AE145" s="171" t="str">
        <f t="shared" si="161"/>
        <v>SCOTT</v>
      </c>
      <c r="AF145" s="172">
        <f t="shared" si="162"/>
        <v>0</v>
      </c>
    </row>
    <row r="146" ht="27.75" customHeight="1">
      <c r="A146" s="60"/>
      <c r="B146" s="60"/>
      <c r="C146" s="1"/>
      <c r="D146" s="1"/>
      <c r="E146" s="1"/>
      <c r="F146" s="168" t="str">
        <f>HANDICAPS!B10</f>
        <v>WAYS</v>
      </c>
      <c r="G146" s="75" t="s">
        <v>17</v>
      </c>
      <c r="H146" s="169" t="str">
        <f t="shared" ref="H146:P146" si="163">IFERROR(IF(VLOOKUP($F146,$F$124:$AA$139,H$141,FALSE)=0,"",VLOOKUP($F146,$F$124:$AA$139,H$141,FALSE)-IF(VLOOKUP($F146,$F$10:$AA$100,H$141,FALSE)="**",2,IF(VLOOKUP($F146,$F$10:$AA$100,H$141,FALSE)="*",1,0))),"")</f>
        <v/>
      </c>
      <c r="I146" s="169" t="str">
        <f t="shared" si="163"/>
        <v/>
      </c>
      <c r="J146" s="169" t="str">
        <f t="shared" si="163"/>
        <v/>
      </c>
      <c r="K146" s="169" t="str">
        <f t="shared" si="163"/>
        <v/>
      </c>
      <c r="L146" s="169" t="str">
        <f t="shared" si="163"/>
        <v/>
      </c>
      <c r="M146" s="169" t="str">
        <f t="shared" si="163"/>
        <v/>
      </c>
      <c r="N146" s="169" t="str">
        <f t="shared" si="163"/>
        <v/>
      </c>
      <c r="O146" s="169" t="str">
        <f t="shared" si="163"/>
        <v/>
      </c>
      <c r="P146" s="169" t="str">
        <f t="shared" si="163"/>
        <v/>
      </c>
      <c r="Q146" s="51"/>
      <c r="R146" s="51"/>
      <c r="S146" s="169" t="str">
        <f t="shared" ref="S146:AA146" si="164">IFERROR(IF(VLOOKUP($F146,$F$124:$AA$139,S$141,FALSE)=0,"",VLOOKUP($F146,$F$124:$AA$139,S$141,FALSE)-IF(VLOOKUP($F146,$F$10:$AA$100,S$141,FALSE)="**",2,IF(VLOOKUP($F146,$F$10:$AA$100,S$141,FALSE)="*",1,0))),"")</f>
        <v/>
      </c>
      <c r="T146" s="169" t="str">
        <f t="shared" si="164"/>
        <v/>
      </c>
      <c r="U146" s="169" t="str">
        <f t="shared" si="164"/>
        <v/>
      </c>
      <c r="V146" s="169" t="str">
        <f t="shared" si="164"/>
        <v/>
      </c>
      <c r="W146" s="169" t="str">
        <f t="shared" si="164"/>
        <v/>
      </c>
      <c r="X146" s="169" t="str">
        <f t="shared" si="164"/>
        <v/>
      </c>
      <c r="Y146" s="169" t="str">
        <f t="shared" si="164"/>
        <v/>
      </c>
      <c r="Z146" s="169" t="str">
        <f t="shared" si="164"/>
        <v/>
      </c>
      <c r="AA146" s="169" t="str">
        <f t="shared" si="164"/>
        <v/>
      </c>
      <c r="AB146" s="39"/>
      <c r="AC146" s="39"/>
      <c r="AD146" s="1"/>
      <c r="AE146" s="173" t="str">
        <f t="shared" si="161"/>
        <v>WAYS</v>
      </c>
      <c r="AF146" s="170">
        <f t="shared" si="162"/>
        <v>0</v>
      </c>
    </row>
    <row r="147" ht="27.75" customHeight="1">
      <c r="A147" s="60"/>
      <c r="B147" s="60"/>
      <c r="C147" s="1"/>
      <c r="D147" s="1"/>
      <c r="E147" s="1"/>
      <c r="F147" s="168" t="str">
        <f>HANDICAPS!B11</f>
        <v>BEN</v>
      </c>
      <c r="G147" s="75" t="s">
        <v>17</v>
      </c>
      <c r="H147" s="169" t="str">
        <f t="shared" ref="H147:P147" si="165">IFERROR(IF(VLOOKUP($F147,$F$124:$AA$139,H$141,FALSE)=0,"",VLOOKUP($F147,$F$124:$AA$139,H$141,FALSE)-IF(VLOOKUP($F147,$F$10:$AA$100,H$141,FALSE)="**",2,IF(VLOOKUP($F147,$F$10:$AA$100,H$141,FALSE)="*",1,0))),"")</f>
        <v/>
      </c>
      <c r="I147" s="169" t="str">
        <f t="shared" si="165"/>
        <v/>
      </c>
      <c r="J147" s="169" t="str">
        <f t="shared" si="165"/>
        <v/>
      </c>
      <c r="K147" s="169" t="str">
        <f t="shared" si="165"/>
        <v/>
      </c>
      <c r="L147" s="169" t="str">
        <f t="shared" si="165"/>
        <v/>
      </c>
      <c r="M147" s="169" t="str">
        <f t="shared" si="165"/>
        <v/>
      </c>
      <c r="N147" s="169" t="str">
        <f t="shared" si="165"/>
        <v/>
      </c>
      <c r="O147" s="169" t="str">
        <f t="shared" si="165"/>
        <v/>
      </c>
      <c r="P147" s="169" t="str">
        <f t="shared" si="165"/>
        <v/>
      </c>
      <c r="Q147" s="51"/>
      <c r="R147" s="51"/>
      <c r="S147" s="169" t="str">
        <f t="shared" ref="S147:AA147" si="166">IFERROR(IF(VLOOKUP($F147,$F$124:$AA$139,S$141,FALSE)=0,"",VLOOKUP($F147,$F$124:$AA$139,S$141,FALSE)-IF(VLOOKUP($F147,$F$10:$AA$100,S$141,FALSE)="**",2,IF(VLOOKUP($F147,$F$10:$AA$100,S$141,FALSE)="*",1,0))),"")</f>
        <v/>
      </c>
      <c r="T147" s="169" t="str">
        <f t="shared" si="166"/>
        <v/>
      </c>
      <c r="U147" s="169" t="str">
        <f t="shared" si="166"/>
        <v/>
      </c>
      <c r="V147" s="169" t="str">
        <f t="shared" si="166"/>
        <v/>
      </c>
      <c r="W147" s="169" t="str">
        <f t="shared" si="166"/>
        <v/>
      </c>
      <c r="X147" s="169" t="str">
        <f t="shared" si="166"/>
        <v/>
      </c>
      <c r="Y147" s="169" t="str">
        <f t="shared" si="166"/>
        <v/>
      </c>
      <c r="Z147" s="169" t="str">
        <f t="shared" si="166"/>
        <v/>
      </c>
      <c r="AA147" s="169" t="str">
        <f t="shared" si="166"/>
        <v/>
      </c>
      <c r="AB147" s="39"/>
      <c r="AC147" s="39"/>
      <c r="AD147" s="1"/>
      <c r="AE147" s="173" t="str">
        <f t="shared" si="161"/>
        <v>BEN</v>
      </c>
      <c r="AF147" s="170">
        <f t="shared" si="162"/>
        <v>0</v>
      </c>
    </row>
    <row r="148" ht="27.75" customHeight="1">
      <c r="A148" s="60"/>
      <c r="B148" s="60"/>
      <c r="C148" s="1"/>
      <c r="D148" s="1"/>
      <c r="E148" s="1"/>
      <c r="F148" s="168" t="str">
        <f>HANDICAPS!B12</f>
        <v>DANNY</v>
      </c>
      <c r="G148" s="75" t="s">
        <v>17</v>
      </c>
      <c r="H148" s="169" t="str">
        <f t="shared" ref="H148:P148" si="167">IFERROR(IF(VLOOKUP($F148,$F$124:$AA$139,H$141,FALSE)=0,"",VLOOKUP($F148,$F$124:$AA$139,H$141,FALSE)-IF(VLOOKUP($F148,$F$10:$AA$100,H$141,FALSE)="**",2,IF(VLOOKUP($F148,$F$10:$AA$100,H$141,FALSE)="*",1,0))),"")</f>
        <v/>
      </c>
      <c r="I148" s="169" t="str">
        <f t="shared" si="167"/>
        <v/>
      </c>
      <c r="J148" s="169" t="str">
        <f t="shared" si="167"/>
        <v/>
      </c>
      <c r="K148" s="169" t="str">
        <f t="shared" si="167"/>
        <v/>
      </c>
      <c r="L148" s="169" t="str">
        <f t="shared" si="167"/>
        <v/>
      </c>
      <c r="M148" s="169" t="str">
        <f t="shared" si="167"/>
        <v/>
      </c>
      <c r="N148" s="169" t="str">
        <f t="shared" si="167"/>
        <v/>
      </c>
      <c r="O148" s="169" t="str">
        <f t="shared" si="167"/>
        <v/>
      </c>
      <c r="P148" s="169" t="str">
        <f t="shared" si="167"/>
        <v/>
      </c>
      <c r="Q148" s="51"/>
      <c r="R148" s="51"/>
      <c r="S148" s="169" t="str">
        <f t="shared" ref="S148:AA148" si="168">IFERROR(IF(VLOOKUP($F148,$F$124:$AA$139,S$141,FALSE)=0,"",VLOOKUP($F148,$F$124:$AA$139,S$141,FALSE)-IF(VLOOKUP($F148,$F$10:$AA$100,S$141,FALSE)="**",2,IF(VLOOKUP($F148,$F$10:$AA$100,S$141,FALSE)="*",1,0))),"")</f>
        <v/>
      </c>
      <c r="T148" s="169" t="str">
        <f t="shared" si="168"/>
        <v/>
      </c>
      <c r="U148" s="169" t="str">
        <f t="shared" si="168"/>
        <v/>
      </c>
      <c r="V148" s="169" t="str">
        <f t="shared" si="168"/>
        <v/>
      </c>
      <c r="W148" s="169" t="str">
        <f t="shared" si="168"/>
        <v/>
      </c>
      <c r="X148" s="169" t="str">
        <f t="shared" si="168"/>
        <v/>
      </c>
      <c r="Y148" s="169" t="str">
        <f t="shared" si="168"/>
        <v/>
      </c>
      <c r="Z148" s="169" t="str">
        <f t="shared" si="168"/>
        <v/>
      </c>
      <c r="AA148" s="169" t="str">
        <f t="shared" si="168"/>
        <v/>
      </c>
      <c r="AB148" s="39"/>
      <c r="AC148" s="39"/>
      <c r="AD148" s="1"/>
      <c r="AE148" s="173" t="str">
        <f t="shared" si="161"/>
        <v>DANNY</v>
      </c>
      <c r="AF148" s="170">
        <f t="shared" si="162"/>
        <v>0</v>
      </c>
    </row>
    <row r="149" ht="27.75" customHeight="1">
      <c r="A149" s="60"/>
      <c r="B149" s="60"/>
      <c r="C149" s="1"/>
      <c r="D149" s="1"/>
      <c r="E149" s="1"/>
      <c r="F149" s="168" t="str">
        <f>HANDICAPS!B13</f>
        <v>ZACH</v>
      </c>
      <c r="G149" s="75" t="s">
        <v>17</v>
      </c>
      <c r="H149" s="169" t="str">
        <f t="shared" ref="H149:P149" si="169">IFERROR(IF(VLOOKUP($F149,$F$124:$AA$139,H$141,FALSE)=0,"",VLOOKUP($F149,$F$124:$AA$139,H$141,FALSE)-IF(VLOOKUP($F149,$F$10:$AA$100,H$141,FALSE)="**",2,IF(VLOOKUP($F149,$F$10:$AA$100,H$141,FALSE)="*",1,0))),"")</f>
        <v/>
      </c>
      <c r="I149" s="169" t="str">
        <f t="shared" si="169"/>
        <v/>
      </c>
      <c r="J149" s="169" t="str">
        <f t="shared" si="169"/>
        <v/>
      </c>
      <c r="K149" s="169" t="str">
        <f t="shared" si="169"/>
        <v/>
      </c>
      <c r="L149" s="169" t="str">
        <f t="shared" si="169"/>
        <v/>
      </c>
      <c r="M149" s="169" t="str">
        <f t="shared" si="169"/>
        <v/>
      </c>
      <c r="N149" s="169" t="str">
        <f t="shared" si="169"/>
        <v/>
      </c>
      <c r="O149" s="169" t="str">
        <f t="shared" si="169"/>
        <v/>
      </c>
      <c r="P149" s="169" t="str">
        <f t="shared" si="169"/>
        <v/>
      </c>
      <c r="Q149" s="51"/>
      <c r="R149" s="51"/>
      <c r="S149" s="169" t="str">
        <f t="shared" ref="S149:AA149" si="170">IFERROR(IF(VLOOKUP($F149,$F$124:$AA$139,S$141,FALSE)=0,"",VLOOKUP($F149,$F$124:$AA$139,S$141,FALSE)-IF(VLOOKUP($F149,$F$10:$AA$100,S$141,FALSE)="**",2,IF(VLOOKUP($F149,$F$10:$AA$100,S$141,FALSE)="*",1,0))),"")</f>
        <v/>
      </c>
      <c r="T149" s="169" t="str">
        <f t="shared" si="170"/>
        <v/>
      </c>
      <c r="U149" s="169" t="str">
        <f t="shared" si="170"/>
        <v/>
      </c>
      <c r="V149" s="169" t="str">
        <f t="shared" si="170"/>
        <v/>
      </c>
      <c r="W149" s="169" t="str">
        <f t="shared" si="170"/>
        <v/>
      </c>
      <c r="X149" s="169" t="str">
        <f t="shared" si="170"/>
        <v/>
      </c>
      <c r="Y149" s="169" t="str">
        <f t="shared" si="170"/>
        <v/>
      </c>
      <c r="Z149" s="169" t="str">
        <f t="shared" si="170"/>
        <v/>
      </c>
      <c r="AA149" s="169" t="str">
        <f t="shared" si="170"/>
        <v/>
      </c>
      <c r="AB149" s="39"/>
      <c r="AC149" s="39"/>
      <c r="AD149" s="1"/>
      <c r="AE149" s="173" t="str">
        <f t="shared" si="161"/>
        <v>ZACH</v>
      </c>
      <c r="AF149" s="170">
        <f t="shared" si="162"/>
        <v>0</v>
      </c>
    </row>
    <row r="150" ht="27.75" customHeight="1">
      <c r="A150" s="60"/>
      <c r="B150" s="60"/>
      <c r="C150" s="1"/>
      <c r="D150" s="1"/>
      <c r="E150" s="1"/>
      <c r="F150" s="168" t="str">
        <f>HANDICAPS!B14</f>
        <v>SLICK</v>
      </c>
      <c r="G150" s="75" t="s">
        <v>17</v>
      </c>
      <c r="H150" s="169" t="str">
        <f t="shared" ref="H150:P150" si="171">IFERROR(IF(VLOOKUP($F150,$F$124:$AA$139,H$141,FALSE)=0,"",VLOOKUP($F150,$F$124:$AA$139,H$141,FALSE)-IF(VLOOKUP($F150,$F$10:$AA$100,H$141,FALSE)="**",2,IF(VLOOKUP($F150,$F$10:$AA$100,H$141,FALSE)="*",1,0))),"")</f>
        <v/>
      </c>
      <c r="I150" s="169" t="str">
        <f t="shared" si="171"/>
        <v/>
      </c>
      <c r="J150" s="169" t="str">
        <f t="shared" si="171"/>
        <v/>
      </c>
      <c r="K150" s="169" t="str">
        <f t="shared" si="171"/>
        <v/>
      </c>
      <c r="L150" s="169" t="str">
        <f t="shared" si="171"/>
        <v/>
      </c>
      <c r="M150" s="169" t="str">
        <f t="shared" si="171"/>
        <v/>
      </c>
      <c r="N150" s="169" t="str">
        <f t="shared" si="171"/>
        <v/>
      </c>
      <c r="O150" s="169" t="str">
        <f t="shared" si="171"/>
        <v/>
      </c>
      <c r="P150" s="169" t="str">
        <f t="shared" si="171"/>
        <v/>
      </c>
      <c r="Q150" s="51"/>
      <c r="R150" s="51"/>
      <c r="S150" s="169" t="str">
        <f t="shared" ref="S150:AA150" si="172">IFERROR(IF(VLOOKUP($F150,$F$124:$AA$139,S$141,FALSE)=0,"",VLOOKUP($F150,$F$124:$AA$139,S$141,FALSE)-IF(VLOOKUP($F150,$F$10:$AA$100,S$141,FALSE)="**",2,IF(VLOOKUP($F150,$F$10:$AA$100,S$141,FALSE)="*",1,0))),"")</f>
        <v/>
      </c>
      <c r="T150" s="169" t="str">
        <f t="shared" si="172"/>
        <v/>
      </c>
      <c r="U150" s="169" t="str">
        <f t="shared" si="172"/>
        <v/>
      </c>
      <c r="V150" s="169" t="str">
        <f t="shared" si="172"/>
        <v/>
      </c>
      <c r="W150" s="169" t="str">
        <f t="shared" si="172"/>
        <v/>
      </c>
      <c r="X150" s="169" t="str">
        <f t="shared" si="172"/>
        <v/>
      </c>
      <c r="Y150" s="169" t="str">
        <f t="shared" si="172"/>
        <v/>
      </c>
      <c r="Z150" s="169" t="str">
        <f t="shared" si="172"/>
        <v/>
      </c>
      <c r="AA150" s="169" t="str">
        <f t="shared" si="172"/>
        <v/>
      </c>
      <c r="AB150" s="39"/>
      <c r="AC150" s="39"/>
      <c r="AD150" s="1"/>
      <c r="AE150" s="173" t="str">
        <f t="shared" si="161"/>
        <v>SLICK</v>
      </c>
      <c r="AF150" s="170">
        <f t="shared" si="162"/>
        <v>0</v>
      </c>
    </row>
    <row r="151" ht="27.75" customHeight="1">
      <c r="A151" s="60"/>
      <c r="B151" s="60"/>
      <c r="C151" s="1"/>
      <c r="D151" s="1"/>
      <c r="E151" s="1"/>
      <c r="F151" s="168" t="str">
        <f>HANDICAPS!B15</f>
        <v>PAXTON</v>
      </c>
      <c r="G151" s="75" t="s">
        <v>17</v>
      </c>
      <c r="H151" s="169" t="str">
        <f t="shared" ref="H151:P151" si="173">IFERROR(IF(VLOOKUP($F151,$F$124:$AA$139,H$141,FALSE)=0,"",VLOOKUP($F151,$F$124:$AA$139,H$141,FALSE)-IF(VLOOKUP($F151,$F$10:$AA$100,H$141,FALSE)="**",2,IF(VLOOKUP($F151,$F$10:$AA$100,H$141,FALSE)="*",1,0))),"")</f>
        <v/>
      </c>
      <c r="I151" s="169" t="str">
        <f t="shared" si="173"/>
        <v/>
      </c>
      <c r="J151" s="169" t="str">
        <f t="shared" si="173"/>
        <v/>
      </c>
      <c r="K151" s="169" t="str">
        <f t="shared" si="173"/>
        <v/>
      </c>
      <c r="L151" s="169" t="str">
        <f t="shared" si="173"/>
        <v/>
      </c>
      <c r="M151" s="169" t="str">
        <f t="shared" si="173"/>
        <v/>
      </c>
      <c r="N151" s="169" t="str">
        <f t="shared" si="173"/>
        <v/>
      </c>
      <c r="O151" s="169" t="str">
        <f t="shared" si="173"/>
        <v/>
      </c>
      <c r="P151" s="169" t="str">
        <f t="shared" si="173"/>
        <v/>
      </c>
      <c r="Q151" s="51"/>
      <c r="R151" s="51"/>
      <c r="S151" s="169" t="str">
        <f t="shared" ref="S151:AA151" si="174">IFERROR(IF(VLOOKUP($F151,$F$124:$AA$139,S$141,FALSE)=0,"",VLOOKUP($F151,$F$124:$AA$139,S$141,FALSE)-IF(VLOOKUP($F151,$F$10:$AA$100,S$141,FALSE)="**",2,IF(VLOOKUP($F151,$F$10:$AA$100,S$141,FALSE)="*",1,0))),"")</f>
        <v/>
      </c>
      <c r="T151" s="169" t="str">
        <f t="shared" si="174"/>
        <v/>
      </c>
      <c r="U151" s="169" t="str">
        <f t="shared" si="174"/>
        <v/>
      </c>
      <c r="V151" s="169" t="str">
        <f t="shared" si="174"/>
        <v/>
      </c>
      <c r="W151" s="169" t="str">
        <f t="shared" si="174"/>
        <v/>
      </c>
      <c r="X151" s="169" t="str">
        <f t="shared" si="174"/>
        <v/>
      </c>
      <c r="Y151" s="169" t="str">
        <f t="shared" si="174"/>
        <v/>
      </c>
      <c r="Z151" s="169" t="str">
        <f t="shared" si="174"/>
        <v/>
      </c>
      <c r="AA151" s="169" t="str">
        <f t="shared" si="174"/>
        <v/>
      </c>
      <c r="AB151" s="39"/>
      <c r="AC151" s="39"/>
      <c r="AD151" s="1"/>
      <c r="AE151" s="173" t="str">
        <f t="shared" si="161"/>
        <v>PAXTON</v>
      </c>
      <c r="AF151" s="170">
        <f t="shared" si="162"/>
        <v>0</v>
      </c>
    </row>
    <row r="152" ht="27.75" customHeight="1">
      <c r="A152" s="60"/>
      <c r="B152" s="60"/>
      <c r="C152" s="1"/>
      <c r="D152" s="1"/>
      <c r="E152" s="1"/>
      <c r="F152" s="168" t="str">
        <f>HANDICAPS!B16</f>
        <v>DYLAN</v>
      </c>
      <c r="G152" s="75" t="s">
        <v>17</v>
      </c>
      <c r="H152" s="169" t="str">
        <f t="shared" ref="H152:P152" si="175">IFERROR(IF(VLOOKUP($F152,$F$124:$AA$139,H$141,FALSE)=0,"",VLOOKUP($F152,$F$124:$AA$139,H$141,FALSE)-IF(VLOOKUP($F152,$F$10:$AA$100,H$141,FALSE)="**",2,IF(VLOOKUP($F152,$F$10:$AA$100,H$141,FALSE)="*",1,0))),"")</f>
        <v/>
      </c>
      <c r="I152" s="169" t="str">
        <f t="shared" si="175"/>
        <v/>
      </c>
      <c r="J152" s="169" t="str">
        <f t="shared" si="175"/>
        <v/>
      </c>
      <c r="K152" s="169" t="str">
        <f t="shared" si="175"/>
        <v/>
      </c>
      <c r="L152" s="169" t="str">
        <f t="shared" si="175"/>
        <v/>
      </c>
      <c r="M152" s="169" t="str">
        <f t="shared" si="175"/>
        <v/>
      </c>
      <c r="N152" s="169" t="str">
        <f t="shared" si="175"/>
        <v/>
      </c>
      <c r="O152" s="169" t="str">
        <f t="shared" si="175"/>
        <v/>
      </c>
      <c r="P152" s="169" t="str">
        <f t="shared" si="175"/>
        <v/>
      </c>
      <c r="Q152" s="51"/>
      <c r="R152" s="51"/>
      <c r="S152" s="169" t="str">
        <f t="shared" ref="S152:AA152" si="176">IFERROR(IF(VLOOKUP($F152,$F$124:$AA$139,S$141,FALSE)=0,"",VLOOKUP($F152,$F$124:$AA$139,S$141,FALSE)-IF(VLOOKUP($F152,$F$10:$AA$100,S$141,FALSE)="**",2,IF(VLOOKUP($F152,$F$10:$AA$100,S$141,FALSE)="*",1,0))),"")</f>
        <v/>
      </c>
      <c r="T152" s="169" t="str">
        <f t="shared" si="176"/>
        <v/>
      </c>
      <c r="U152" s="169" t="str">
        <f t="shared" si="176"/>
        <v/>
      </c>
      <c r="V152" s="169" t="str">
        <f t="shared" si="176"/>
        <v/>
      </c>
      <c r="W152" s="169" t="str">
        <f t="shared" si="176"/>
        <v/>
      </c>
      <c r="X152" s="169" t="str">
        <f t="shared" si="176"/>
        <v/>
      </c>
      <c r="Y152" s="169" t="str">
        <f t="shared" si="176"/>
        <v/>
      </c>
      <c r="Z152" s="169" t="str">
        <f t="shared" si="176"/>
        <v/>
      </c>
      <c r="AA152" s="169" t="str">
        <f t="shared" si="176"/>
        <v/>
      </c>
      <c r="AB152" s="39"/>
      <c r="AC152" s="39"/>
      <c r="AD152" s="1"/>
      <c r="AE152" s="173" t="str">
        <f t="shared" si="161"/>
        <v>DYLAN</v>
      </c>
      <c r="AF152" s="170">
        <f t="shared" si="162"/>
        <v>0</v>
      </c>
    </row>
    <row r="153" ht="27.75" customHeight="1">
      <c r="A153" s="60"/>
      <c r="B153" s="60"/>
      <c r="C153" s="1"/>
      <c r="D153" s="1"/>
      <c r="E153" s="1"/>
      <c r="F153" s="168" t="str">
        <f>HANDICAPS!B17</f>
        <v>TOM</v>
      </c>
      <c r="G153" s="75" t="s">
        <v>17</v>
      </c>
      <c r="H153" s="169" t="str">
        <f t="shared" ref="H153:P153" si="177">IFERROR(IF(VLOOKUP($F153,$F$124:$AA$139,H$141,FALSE)=0,"",VLOOKUP($F153,$F$124:$AA$139,H$141,FALSE)-IF(VLOOKUP($F153,$F$10:$AA$100,H$141,FALSE)="**",2,IF(VLOOKUP($F153,$F$10:$AA$100,H$141,FALSE)="*",1,0))),"")</f>
        <v/>
      </c>
      <c r="I153" s="169" t="str">
        <f t="shared" si="177"/>
        <v/>
      </c>
      <c r="J153" s="169" t="str">
        <f t="shared" si="177"/>
        <v/>
      </c>
      <c r="K153" s="169" t="str">
        <f t="shared" si="177"/>
        <v/>
      </c>
      <c r="L153" s="169" t="str">
        <f t="shared" si="177"/>
        <v/>
      </c>
      <c r="M153" s="169" t="str">
        <f t="shared" si="177"/>
        <v/>
      </c>
      <c r="N153" s="169" t="str">
        <f t="shared" si="177"/>
        <v/>
      </c>
      <c r="O153" s="169" t="str">
        <f t="shared" si="177"/>
        <v/>
      </c>
      <c r="P153" s="169" t="str">
        <f t="shared" si="177"/>
        <v/>
      </c>
      <c r="Q153" s="51"/>
      <c r="R153" s="51"/>
      <c r="S153" s="169" t="str">
        <f t="shared" ref="S153:AA153" si="178">IFERROR(IF(VLOOKUP($F153,$F$124:$AA$139,S$141,FALSE)=0,"",VLOOKUP($F153,$F$124:$AA$139,S$141,FALSE)-IF(VLOOKUP($F153,$F$10:$AA$100,S$141,FALSE)="**",2,IF(VLOOKUP($F153,$F$10:$AA$100,S$141,FALSE)="*",1,0))),"")</f>
        <v/>
      </c>
      <c r="T153" s="169" t="str">
        <f t="shared" si="178"/>
        <v/>
      </c>
      <c r="U153" s="169" t="str">
        <f t="shared" si="178"/>
        <v/>
      </c>
      <c r="V153" s="169" t="str">
        <f t="shared" si="178"/>
        <v/>
      </c>
      <c r="W153" s="169" t="str">
        <f t="shared" si="178"/>
        <v/>
      </c>
      <c r="X153" s="169" t="str">
        <f t="shared" si="178"/>
        <v/>
      </c>
      <c r="Y153" s="169" t="str">
        <f t="shared" si="178"/>
        <v/>
      </c>
      <c r="Z153" s="169" t="str">
        <f t="shared" si="178"/>
        <v/>
      </c>
      <c r="AA153" s="169" t="str">
        <f t="shared" si="178"/>
        <v/>
      </c>
      <c r="AB153" s="39"/>
      <c r="AC153" s="39"/>
      <c r="AD153" s="1"/>
      <c r="AE153" s="173" t="str">
        <f t="shared" si="161"/>
        <v>TOM</v>
      </c>
      <c r="AF153" s="170">
        <f t="shared" si="162"/>
        <v>0</v>
      </c>
    </row>
    <row r="154" ht="27.75" customHeight="1">
      <c r="A154" s="60"/>
      <c r="B154" s="60"/>
      <c r="C154" s="1"/>
      <c r="D154" s="1"/>
      <c r="E154" s="1"/>
      <c r="F154" s="168" t="str">
        <f>HANDICAPS!B18</f>
        <v>ERIC</v>
      </c>
      <c r="G154" s="174" t="s">
        <v>18</v>
      </c>
      <c r="H154" s="169" t="str">
        <f t="shared" ref="H154:P154" si="179">IFERROR(IF(VLOOKUP($F154,$F$124:$AA$139,H$141,FALSE)=0,"",VLOOKUP($F154,$F$124:$AA$139,H$141,FALSE)-IF(VLOOKUP($F154,$F$10:$AA$100,H$141,FALSE)="**",2,IF(VLOOKUP($F154,$F$10:$AA$100,H$141,FALSE)="*",1,0))),"")</f>
        <v/>
      </c>
      <c r="I154" s="169" t="str">
        <f t="shared" si="179"/>
        <v/>
      </c>
      <c r="J154" s="169" t="str">
        <f t="shared" si="179"/>
        <v/>
      </c>
      <c r="K154" s="169" t="str">
        <f t="shared" si="179"/>
        <v/>
      </c>
      <c r="L154" s="169" t="str">
        <f t="shared" si="179"/>
        <v/>
      </c>
      <c r="M154" s="169" t="str">
        <f t="shared" si="179"/>
        <v/>
      </c>
      <c r="N154" s="169" t="str">
        <f t="shared" si="179"/>
        <v/>
      </c>
      <c r="O154" s="169" t="str">
        <f t="shared" si="179"/>
        <v/>
      </c>
      <c r="P154" s="169" t="str">
        <f t="shared" si="179"/>
        <v/>
      </c>
      <c r="Q154" s="51"/>
      <c r="R154" s="51"/>
      <c r="S154" s="169" t="str">
        <f t="shared" ref="S154:AA154" si="180">IFERROR(IF(VLOOKUP($F154,$F$124:$AA$139,S$141,FALSE)=0,"",VLOOKUP($F154,$F$124:$AA$139,S$141,FALSE)-IF(VLOOKUP($F154,$F$10:$AA$100,S$141,FALSE)="**",2,IF(VLOOKUP($F154,$F$10:$AA$100,S$141,FALSE)="*",1,0))),"")</f>
        <v/>
      </c>
      <c r="T154" s="169" t="str">
        <f t="shared" si="180"/>
        <v/>
      </c>
      <c r="U154" s="169" t="str">
        <f t="shared" si="180"/>
        <v/>
      </c>
      <c r="V154" s="169" t="str">
        <f t="shared" si="180"/>
        <v/>
      </c>
      <c r="W154" s="169" t="str">
        <f t="shared" si="180"/>
        <v/>
      </c>
      <c r="X154" s="169" t="str">
        <f t="shared" si="180"/>
        <v/>
      </c>
      <c r="Y154" s="169" t="str">
        <f t="shared" si="180"/>
        <v/>
      </c>
      <c r="Z154" s="169" t="str">
        <f t="shared" si="180"/>
        <v/>
      </c>
      <c r="AA154" s="169" t="str">
        <f t="shared" si="180"/>
        <v/>
      </c>
      <c r="AB154" s="39"/>
      <c r="AC154" s="39"/>
      <c r="AD154" s="1"/>
      <c r="AE154" s="173" t="str">
        <f t="shared" si="161"/>
        <v>ERIC</v>
      </c>
      <c r="AF154" s="170">
        <f t="shared" si="162"/>
        <v>0</v>
      </c>
    </row>
    <row r="155" ht="27.75" customHeight="1">
      <c r="A155" s="60"/>
      <c r="B155" s="60"/>
      <c r="C155" s="1"/>
      <c r="D155" s="1"/>
      <c r="E155" s="1"/>
      <c r="F155" s="168" t="str">
        <f>HANDICAPS!B19</f>
        <v>MAX</v>
      </c>
      <c r="G155" s="75" t="s">
        <v>17</v>
      </c>
      <c r="H155" s="169" t="str">
        <f t="shared" ref="H155:P155" si="181">IFERROR(IF(VLOOKUP($F155,$F$124:$AA$139,H$141,FALSE)=0,"",VLOOKUP($F155,$F$124:$AA$139,H$141,FALSE)-IF(VLOOKUP($F155,$F$10:$AA$100,H$141,FALSE)="**",2,IF(VLOOKUP($F155,$F$10:$AA$100,H$141,FALSE)="*",1,0))),"")</f>
        <v/>
      </c>
      <c r="I155" s="169" t="str">
        <f t="shared" si="181"/>
        <v/>
      </c>
      <c r="J155" s="169" t="str">
        <f t="shared" si="181"/>
        <v/>
      </c>
      <c r="K155" s="169" t="str">
        <f t="shared" si="181"/>
        <v/>
      </c>
      <c r="L155" s="169" t="str">
        <f t="shared" si="181"/>
        <v/>
      </c>
      <c r="M155" s="169" t="str">
        <f t="shared" si="181"/>
        <v/>
      </c>
      <c r="N155" s="169" t="str">
        <f t="shared" si="181"/>
        <v/>
      </c>
      <c r="O155" s="169" t="str">
        <f t="shared" si="181"/>
        <v/>
      </c>
      <c r="P155" s="169" t="str">
        <f t="shared" si="181"/>
        <v/>
      </c>
      <c r="Q155" s="51"/>
      <c r="R155" s="51"/>
      <c r="S155" s="169" t="str">
        <f t="shared" ref="S155:AA155" si="182">IFERROR(IF(VLOOKUP($F155,$F$124:$AA$139,S$141,FALSE)=0,"",VLOOKUP($F155,$F$124:$AA$139,S$141,FALSE)-IF(VLOOKUP($F155,$F$10:$AA$100,S$141,FALSE)="**",2,IF(VLOOKUP($F155,$F$10:$AA$100,S$141,FALSE)="*",1,0))),"")</f>
        <v/>
      </c>
      <c r="T155" s="169" t="str">
        <f t="shared" si="182"/>
        <v/>
      </c>
      <c r="U155" s="169" t="str">
        <f t="shared" si="182"/>
        <v/>
      </c>
      <c r="V155" s="169" t="str">
        <f t="shared" si="182"/>
        <v/>
      </c>
      <c r="W155" s="169" t="str">
        <f t="shared" si="182"/>
        <v/>
      </c>
      <c r="X155" s="169" t="str">
        <f t="shared" si="182"/>
        <v/>
      </c>
      <c r="Y155" s="169" t="str">
        <f t="shared" si="182"/>
        <v/>
      </c>
      <c r="Z155" s="169" t="str">
        <f t="shared" si="182"/>
        <v/>
      </c>
      <c r="AA155" s="169" t="str">
        <f t="shared" si="182"/>
        <v/>
      </c>
      <c r="AB155" s="39"/>
      <c r="AC155" s="39"/>
      <c r="AD155" s="1"/>
      <c r="AE155" s="173" t="str">
        <f t="shared" si="161"/>
        <v>MAX</v>
      </c>
      <c r="AF155" s="170">
        <f t="shared" si="162"/>
        <v>0</v>
      </c>
    </row>
    <row r="156" ht="27.75" customHeight="1">
      <c r="A156" s="60"/>
      <c r="B156" s="60"/>
      <c r="C156" s="1"/>
      <c r="D156" s="1"/>
      <c r="E156" s="1"/>
      <c r="F156" s="168" t="str">
        <f>HANDICAPS!B20</f>
        <v>KIP</v>
      </c>
      <c r="G156" s="75" t="s">
        <v>17</v>
      </c>
      <c r="H156" s="169" t="str">
        <f t="shared" ref="H156:P156" si="183">IFERROR(IF(VLOOKUP($F156,$F$124:$AA$139,H$141,FALSE)=0,"",VLOOKUP($F156,$F$124:$AA$139,H$141,FALSE)-IF(VLOOKUP($F156,$F$10:$AA$100,H$141,FALSE)="**",2,IF(VLOOKUP($F156,$F$10:$AA$100,H$141,FALSE)="*",1,0))),"")</f>
        <v/>
      </c>
      <c r="I156" s="169" t="str">
        <f t="shared" si="183"/>
        <v/>
      </c>
      <c r="J156" s="169" t="str">
        <f t="shared" si="183"/>
        <v/>
      </c>
      <c r="K156" s="169" t="str">
        <f t="shared" si="183"/>
        <v/>
      </c>
      <c r="L156" s="169" t="str">
        <f t="shared" si="183"/>
        <v/>
      </c>
      <c r="M156" s="169" t="str">
        <f t="shared" si="183"/>
        <v/>
      </c>
      <c r="N156" s="169" t="str">
        <f t="shared" si="183"/>
        <v/>
      </c>
      <c r="O156" s="169" t="str">
        <f t="shared" si="183"/>
        <v/>
      </c>
      <c r="P156" s="169" t="str">
        <f t="shared" si="183"/>
        <v/>
      </c>
      <c r="Q156" s="51"/>
      <c r="R156" s="51"/>
      <c r="S156" s="169" t="str">
        <f t="shared" ref="S156:AA156" si="184">IFERROR(IF(VLOOKUP($F156,$F$124:$AA$139,S$141,FALSE)=0,"",VLOOKUP($F156,$F$124:$AA$139,S$141,FALSE)-IF(VLOOKUP($F156,$F$10:$AA$100,S$141,FALSE)="**",2,IF(VLOOKUP($F156,$F$10:$AA$100,S$141,FALSE)="*",1,0))),"")</f>
        <v/>
      </c>
      <c r="T156" s="169" t="str">
        <f t="shared" si="184"/>
        <v/>
      </c>
      <c r="U156" s="169" t="str">
        <f t="shared" si="184"/>
        <v/>
      </c>
      <c r="V156" s="169" t="str">
        <f t="shared" si="184"/>
        <v/>
      </c>
      <c r="W156" s="169" t="str">
        <f t="shared" si="184"/>
        <v/>
      </c>
      <c r="X156" s="169" t="str">
        <f t="shared" si="184"/>
        <v/>
      </c>
      <c r="Y156" s="169" t="str">
        <f t="shared" si="184"/>
        <v/>
      </c>
      <c r="Z156" s="169" t="str">
        <f t="shared" si="184"/>
        <v/>
      </c>
      <c r="AA156" s="169" t="str">
        <f t="shared" si="184"/>
        <v/>
      </c>
      <c r="AB156" s="39"/>
      <c r="AC156" s="39"/>
      <c r="AD156" s="1"/>
      <c r="AE156" s="173" t="str">
        <f t="shared" si="161"/>
        <v>KIP</v>
      </c>
      <c r="AF156" s="170">
        <f t="shared" si="162"/>
        <v>0</v>
      </c>
    </row>
    <row r="157" ht="27.75" customHeight="1">
      <c r="A157" s="60"/>
      <c r="B157" s="60"/>
      <c r="C157" s="1"/>
      <c r="D157" s="1"/>
      <c r="E157" s="1"/>
      <c r="F157" s="168" t="str">
        <f>HANDICAPS!B21</f>
        <v>SHEPP</v>
      </c>
      <c r="G157" s="75" t="s">
        <v>17</v>
      </c>
      <c r="H157" s="169" t="str">
        <f t="shared" ref="H157:P157" si="185">IFERROR(IF(VLOOKUP($F157,$F$124:$AA$139,H$141,FALSE)=0,"",VLOOKUP($F157,$F$124:$AA$139,H$141,FALSE)-IF(VLOOKUP($F157,$F$10:$AA$100,H$141,FALSE)="**",2,IF(VLOOKUP($F157,$F$10:$AA$100,H$141,FALSE)="*",1,0))),"")</f>
        <v/>
      </c>
      <c r="I157" s="169" t="str">
        <f t="shared" si="185"/>
        <v/>
      </c>
      <c r="J157" s="169" t="str">
        <f t="shared" si="185"/>
        <v/>
      </c>
      <c r="K157" s="169" t="str">
        <f t="shared" si="185"/>
        <v/>
      </c>
      <c r="L157" s="169" t="str">
        <f t="shared" si="185"/>
        <v/>
      </c>
      <c r="M157" s="169" t="str">
        <f t="shared" si="185"/>
        <v/>
      </c>
      <c r="N157" s="169" t="str">
        <f t="shared" si="185"/>
        <v/>
      </c>
      <c r="O157" s="169" t="str">
        <f t="shared" si="185"/>
        <v/>
      </c>
      <c r="P157" s="169" t="str">
        <f t="shared" si="185"/>
        <v/>
      </c>
      <c r="Q157" s="51"/>
      <c r="R157" s="51"/>
      <c r="S157" s="169" t="str">
        <f t="shared" ref="S157:AA157" si="186">IFERROR(IF(VLOOKUP($F157,$F$124:$AA$139,S$141,FALSE)=0,"",VLOOKUP($F157,$F$124:$AA$139,S$141,FALSE)-IF(VLOOKUP($F157,$F$10:$AA$100,S$141,FALSE)="**",2,IF(VLOOKUP($F157,$F$10:$AA$100,S$141,FALSE)="*",1,0))),"")</f>
        <v/>
      </c>
      <c r="T157" s="169" t="str">
        <f t="shared" si="186"/>
        <v/>
      </c>
      <c r="U157" s="169" t="str">
        <f t="shared" si="186"/>
        <v/>
      </c>
      <c r="V157" s="169" t="str">
        <f t="shared" si="186"/>
        <v/>
      </c>
      <c r="W157" s="169" t="str">
        <f t="shared" si="186"/>
        <v/>
      </c>
      <c r="X157" s="169" t="str">
        <f t="shared" si="186"/>
        <v/>
      </c>
      <c r="Y157" s="169" t="str">
        <f t="shared" si="186"/>
        <v/>
      </c>
      <c r="Z157" s="169" t="str">
        <f t="shared" si="186"/>
        <v/>
      </c>
      <c r="AA157" s="169" t="str">
        <f t="shared" si="186"/>
        <v/>
      </c>
      <c r="AB157" s="39"/>
      <c r="AC157" s="39"/>
      <c r="AD157" s="1"/>
      <c r="AE157" s="173" t="str">
        <f t="shared" si="161"/>
        <v>SHEPP</v>
      </c>
      <c r="AF157" s="170">
        <f t="shared" si="162"/>
        <v>0</v>
      </c>
    </row>
    <row r="158" ht="27.75" customHeight="1">
      <c r="A158" s="60"/>
      <c r="B158" s="60"/>
      <c r="C158" s="1"/>
      <c r="D158" s="1"/>
      <c r="E158" s="1"/>
      <c r="F158" s="168" t="str">
        <f>HANDICAPS!B22</f>
        <v>SKYLAR</v>
      </c>
      <c r="G158" s="174" t="s">
        <v>18</v>
      </c>
      <c r="H158" s="169" t="str">
        <f t="shared" ref="H158:P158" si="187">IFERROR(IF(VLOOKUP($F158,$F$124:$AA$139,H$141,FALSE)=0,"",VLOOKUP($F158,$F$124:$AA$139,H$141,FALSE)-IF(VLOOKUP($F158,$F$10:$AA$100,H$141,FALSE)="**",2,IF(VLOOKUP($F158,$F$10:$AA$100,H$141,FALSE)="*",1,0))),"")</f>
        <v/>
      </c>
      <c r="I158" s="169" t="str">
        <f t="shared" si="187"/>
        <v/>
      </c>
      <c r="J158" s="169" t="str">
        <f t="shared" si="187"/>
        <v/>
      </c>
      <c r="K158" s="169" t="str">
        <f t="shared" si="187"/>
        <v/>
      </c>
      <c r="L158" s="169" t="str">
        <f t="shared" si="187"/>
        <v/>
      </c>
      <c r="M158" s="169" t="str">
        <f t="shared" si="187"/>
        <v/>
      </c>
      <c r="N158" s="169" t="str">
        <f t="shared" si="187"/>
        <v/>
      </c>
      <c r="O158" s="169" t="str">
        <f t="shared" si="187"/>
        <v/>
      </c>
      <c r="P158" s="169" t="str">
        <f t="shared" si="187"/>
        <v/>
      </c>
      <c r="Q158" s="51"/>
      <c r="R158" s="51"/>
      <c r="S158" s="169" t="str">
        <f t="shared" ref="S158:AA158" si="188">IFERROR(IF(VLOOKUP($F158,$F$124:$AA$139,S$141,FALSE)=0,"",VLOOKUP($F158,$F$124:$AA$139,S$141,FALSE)-IF(VLOOKUP($F158,$F$10:$AA$100,S$141,FALSE)="**",2,IF(VLOOKUP($F158,$F$10:$AA$100,S$141,FALSE)="*",1,0))),"")</f>
        <v/>
      </c>
      <c r="T158" s="169" t="str">
        <f t="shared" si="188"/>
        <v/>
      </c>
      <c r="U158" s="169" t="str">
        <f t="shared" si="188"/>
        <v/>
      </c>
      <c r="V158" s="169" t="str">
        <f t="shared" si="188"/>
        <v/>
      </c>
      <c r="W158" s="169" t="str">
        <f t="shared" si="188"/>
        <v/>
      </c>
      <c r="X158" s="169" t="str">
        <f t="shared" si="188"/>
        <v/>
      </c>
      <c r="Y158" s="169" t="str">
        <f t="shared" si="188"/>
        <v/>
      </c>
      <c r="Z158" s="169" t="str">
        <f t="shared" si="188"/>
        <v/>
      </c>
      <c r="AA158" s="169" t="str">
        <f t="shared" si="188"/>
        <v/>
      </c>
      <c r="AB158" s="39"/>
      <c r="AC158" s="39"/>
      <c r="AD158" s="1"/>
      <c r="AE158" s="173" t="str">
        <f t="shared" si="161"/>
        <v>SKYLAR</v>
      </c>
      <c r="AF158" s="170">
        <f t="shared" si="162"/>
        <v>0</v>
      </c>
    </row>
    <row r="159" ht="27.75" customHeight="1">
      <c r="A159" s="60"/>
      <c r="B159" s="60"/>
      <c r="C159" s="1"/>
      <c r="D159" s="1"/>
      <c r="E159" s="1"/>
      <c r="F159" s="168" t="str">
        <f>HANDICAPS!B23</f>
        <v>RYAN</v>
      </c>
      <c r="G159" s="75" t="s">
        <v>17</v>
      </c>
      <c r="H159" s="169" t="str">
        <f t="shared" ref="H159:P159" si="189">IFERROR(IF(VLOOKUP($F159,$F$124:$AA$139,H$141,FALSE)=0,"",VLOOKUP($F159,$F$124:$AA$139,H$141,FALSE)-IF(VLOOKUP($F159,$F$10:$AA$100,H$141,FALSE)="**",2,IF(VLOOKUP($F159,$F$10:$AA$100,H$141,FALSE)="*",1,0))),"")</f>
        <v/>
      </c>
      <c r="I159" s="169" t="str">
        <f t="shared" si="189"/>
        <v/>
      </c>
      <c r="J159" s="169" t="str">
        <f t="shared" si="189"/>
        <v/>
      </c>
      <c r="K159" s="169" t="str">
        <f t="shared" si="189"/>
        <v/>
      </c>
      <c r="L159" s="169" t="str">
        <f t="shared" si="189"/>
        <v/>
      </c>
      <c r="M159" s="169" t="str">
        <f t="shared" si="189"/>
        <v/>
      </c>
      <c r="N159" s="169" t="str">
        <f t="shared" si="189"/>
        <v/>
      </c>
      <c r="O159" s="169" t="str">
        <f t="shared" si="189"/>
        <v/>
      </c>
      <c r="P159" s="169" t="str">
        <f t="shared" si="189"/>
        <v/>
      </c>
      <c r="Q159" s="51"/>
      <c r="R159" s="51"/>
      <c r="S159" s="169" t="str">
        <f t="shared" ref="S159:AA159" si="190">IFERROR(IF(VLOOKUP($F159,$F$124:$AA$139,S$141,FALSE)=0,"",VLOOKUP($F159,$F$124:$AA$139,S$141,FALSE)-IF(VLOOKUP($F159,$F$10:$AA$100,S$141,FALSE)="**",2,IF(VLOOKUP($F159,$F$10:$AA$100,S$141,FALSE)="*",1,0))),"")</f>
        <v/>
      </c>
      <c r="T159" s="169" t="str">
        <f t="shared" si="190"/>
        <v/>
      </c>
      <c r="U159" s="169" t="str">
        <f t="shared" si="190"/>
        <v/>
      </c>
      <c r="V159" s="169" t="str">
        <f t="shared" si="190"/>
        <v/>
      </c>
      <c r="W159" s="169" t="str">
        <f t="shared" si="190"/>
        <v/>
      </c>
      <c r="X159" s="169" t="str">
        <f t="shared" si="190"/>
        <v/>
      </c>
      <c r="Y159" s="169" t="str">
        <f t="shared" si="190"/>
        <v/>
      </c>
      <c r="Z159" s="169" t="str">
        <f t="shared" si="190"/>
        <v/>
      </c>
      <c r="AA159" s="169" t="str">
        <f t="shared" si="190"/>
        <v/>
      </c>
      <c r="AB159" s="39"/>
      <c r="AC159" s="39"/>
      <c r="AD159" s="1"/>
      <c r="AE159" s="175" t="str">
        <f t="shared" si="161"/>
        <v>RYAN</v>
      </c>
      <c r="AF159" s="176">
        <f t="shared" si="162"/>
        <v>0</v>
      </c>
    </row>
    <row r="160" ht="6.75" customHeight="1">
      <c r="A160" s="60"/>
      <c r="B160" s="60"/>
      <c r="C160" s="1"/>
      <c r="D160" s="1"/>
      <c r="E160" s="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39"/>
      <c r="AC160" s="39"/>
      <c r="AD160" s="1"/>
      <c r="AE160" s="1"/>
      <c r="AF160" s="1"/>
    </row>
    <row r="161" ht="27.75" customHeight="1">
      <c r="A161" s="60"/>
      <c r="B161" s="60"/>
      <c r="C161" s="1"/>
      <c r="D161" s="1"/>
      <c r="E161" s="1"/>
      <c r="F161" s="177" t="s">
        <v>149</v>
      </c>
      <c r="G161" s="178"/>
      <c r="H161" s="179">
        <f t="shared" ref="H161:P161" si="191">IFERROR(MINIFS(H$144:H$159,H$144:H$159,"&gt;0"),"0")</f>
        <v>0</v>
      </c>
      <c r="I161" s="179">
        <f t="shared" si="191"/>
        <v>0</v>
      </c>
      <c r="J161" s="179">
        <f t="shared" si="191"/>
        <v>0</v>
      </c>
      <c r="K161" s="179">
        <f t="shared" si="191"/>
        <v>0</v>
      </c>
      <c r="L161" s="179">
        <f t="shared" si="191"/>
        <v>0</v>
      </c>
      <c r="M161" s="179">
        <f t="shared" si="191"/>
        <v>0</v>
      </c>
      <c r="N161" s="179">
        <f t="shared" si="191"/>
        <v>0</v>
      </c>
      <c r="O161" s="179">
        <f t="shared" si="191"/>
        <v>0</v>
      </c>
      <c r="P161" s="179">
        <f t="shared" si="191"/>
        <v>0</v>
      </c>
      <c r="Q161" s="51"/>
      <c r="R161" s="51"/>
      <c r="S161" s="179">
        <f t="shared" ref="S161:AA161" si="192">IFERROR(MINIFS(S$144:S$159,S$144:S$159,"&gt;0"),"0")</f>
        <v>0</v>
      </c>
      <c r="T161" s="179">
        <f t="shared" si="192"/>
        <v>0</v>
      </c>
      <c r="U161" s="179">
        <f t="shared" si="192"/>
        <v>0</v>
      </c>
      <c r="V161" s="179">
        <f t="shared" si="192"/>
        <v>0</v>
      </c>
      <c r="W161" s="179">
        <f t="shared" si="192"/>
        <v>0</v>
      </c>
      <c r="X161" s="179">
        <f t="shared" si="192"/>
        <v>0</v>
      </c>
      <c r="Y161" s="179">
        <f t="shared" si="192"/>
        <v>0</v>
      </c>
      <c r="Z161" s="179">
        <f t="shared" si="192"/>
        <v>0</v>
      </c>
      <c r="AA161" s="179">
        <f t="shared" si="192"/>
        <v>0</v>
      </c>
      <c r="AB161" s="1"/>
      <c r="AC161" s="1"/>
      <c r="AD161" s="1"/>
      <c r="AE161" s="1"/>
      <c r="AF161" s="1"/>
    </row>
    <row r="162" ht="14.25" customHeight="1">
      <c r="A162" s="60"/>
      <c r="B162" s="60"/>
      <c r="C162" s="1"/>
      <c r="D162" s="1"/>
      <c r="E162" s="1"/>
      <c r="F162" s="1" t="s">
        <v>20</v>
      </c>
      <c r="G162" s="1"/>
      <c r="H162" s="40">
        <f t="shared" ref="H162:P162" si="193">COUNTIF(H$144:H$159,H$161)</f>
        <v>0</v>
      </c>
      <c r="I162" s="40">
        <f t="shared" si="193"/>
        <v>0</v>
      </c>
      <c r="J162" s="40">
        <f t="shared" si="193"/>
        <v>0</v>
      </c>
      <c r="K162" s="40">
        <f t="shared" si="193"/>
        <v>0</v>
      </c>
      <c r="L162" s="40">
        <f t="shared" si="193"/>
        <v>0</v>
      </c>
      <c r="M162" s="40">
        <f t="shared" si="193"/>
        <v>0</v>
      </c>
      <c r="N162" s="40">
        <f t="shared" si="193"/>
        <v>0</v>
      </c>
      <c r="O162" s="40">
        <f t="shared" si="193"/>
        <v>0</v>
      </c>
      <c r="P162" s="40">
        <f t="shared" si="193"/>
        <v>0</v>
      </c>
      <c r="Q162" s="40"/>
      <c r="R162" s="40"/>
      <c r="S162" s="40">
        <f t="shared" ref="S162:AA162" si="194">COUNTIF(S$144:S$159,S$161)</f>
        <v>0</v>
      </c>
      <c r="T162" s="40">
        <f t="shared" si="194"/>
        <v>0</v>
      </c>
      <c r="U162" s="40">
        <f t="shared" si="194"/>
        <v>0</v>
      </c>
      <c r="V162" s="40">
        <f t="shared" si="194"/>
        <v>0</v>
      </c>
      <c r="W162" s="40">
        <f t="shared" si="194"/>
        <v>0</v>
      </c>
      <c r="X162" s="40">
        <f t="shared" si="194"/>
        <v>0</v>
      </c>
      <c r="Y162" s="40">
        <f t="shared" si="194"/>
        <v>0</v>
      </c>
      <c r="Z162" s="40">
        <f t="shared" si="194"/>
        <v>0</v>
      </c>
      <c r="AA162" s="40">
        <f t="shared" si="194"/>
        <v>0</v>
      </c>
      <c r="AB162" s="1"/>
      <c r="AC162" s="1"/>
      <c r="AD162" s="1"/>
      <c r="AE162" s="1"/>
      <c r="AF162" s="1"/>
    </row>
    <row r="163" ht="14.25" customHeight="1">
      <c r="A163" s="60"/>
      <c r="B163" s="60"/>
      <c r="C163" s="1"/>
      <c r="D163" s="1"/>
      <c r="E163" s="1"/>
      <c r="F163" s="1" t="s">
        <v>21</v>
      </c>
      <c r="G163" s="1"/>
      <c r="H163" s="40" t="str">
        <f t="shared" ref="H163:P163" si="195">IF(H162=1,"1","")</f>
        <v/>
      </c>
      <c r="I163" s="40" t="str">
        <f t="shared" si="195"/>
        <v/>
      </c>
      <c r="J163" s="40" t="str">
        <f t="shared" si="195"/>
        <v/>
      </c>
      <c r="K163" s="40" t="str">
        <f t="shared" si="195"/>
        <v/>
      </c>
      <c r="L163" s="40" t="str">
        <f t="shared" si="195"/>
        <v/>
      </c>
      <c r="M163" s="40" t="str">
        <f t="shared" si="195"/>
        <v/>
      </c>
      <c r="N163" s="40" t="str">
        <f t="shared" si="195"/>
        <v/>
      </c>
      <c r="O163" s="40" t="str">
        <f t="shared" si="195"/>
        <v/>
      </c>
      <c r="P163" s="40" t="str">
        <f t="shared" si="195"/>
        <v/>
      </c>
      <c r="Q163" s="40"/>
      <c r="R163" s="40"/>
      <c r="S163" s="40" t="str">
        <f t="shared" ref="S163:AA163" si="196">IF(S162=1,"1","")</f>
        <v/>
      </c>
      <c r="T163" s="40" t="str">
        <f t="shared" si="196"/>
        <v/>
      </c>
      <c r="U163" s="40" t="str">
        <f t="shared" si="196"/>
        <v/>
      </c>
      <c r="V163" s="40" t="str">
        <f t="shared" si="196"/>
        <v/>
      </c>
      <c r="W163" s="40" t="str">
        <f t="shared" si="196"/>
        <v/>
      </c>
      <c r="X163" s="40" t="str">
        <f t="shared" si="196"/>
        <v/>
      </c>
      <c r="Y163" s="40" t="str">
        <f t="shared" si="196"/>
        <v/>
      </c>
      <c r="Z163" s="40" t="str">
        <f t="shared" si="196"/>
        <v/>
      </c>
      <c r="AA163" s="40" t="str">
        <f t="shared" si="196"/>
        <v/>
      </c>
      <c r="AB163" s="1">
        <f>COUNTIF($H$163:$AA$163,"1")</f>
        <v>0</v>
      </c>
      <c r="AC163" s="1"/>
      <c r="AD163" s="1"/>
      <c r="AE163" s="1"/>
      <c r="AF163" s="1"/>
    </row>
    <row r="164" ht="14.25" customHeight="1">
      <c r="A164" s="60"/>
      <c r="B164" s="60"/>
      <c r="C164" s="1"/>
      <c r="D164" s="1"/>
      <c r="E164" s="1"/>
      <c r="F164" s="1" t="s">
        <v>22</v>
      </c>
      <c r="G164" s="1"/>
      <c r="H164" s="1" t="str">
        <f t="shared" ref="H164:P164" si="197">IFERROR(IF(H163="1",VLOOKUP(H161,H$144:$AE$159,H$140,FALSE),""),"")</f>
        <v/>
      </c>
      <c r="I164" s="1" t="str">
        <f t="shared" si="197"/>
        <v/>
      </c>
      <c r="J164" s="1" t="str">
        <f t="shared" si="197"/>
        <v/>
      </c>
      <c r="K164" s="1" t="str">
        <f t="shared" si="197"/>
        <v/>
      </c>
      <c r="L164" s="1" t="str">
        <f t="shared" si="197"/>
        <v/>
      </c>
      <c r="M164" s="1" t="str">
        <f t="shared" si="197"/>
        <v/>
      </c>
      <c r="N164" s="1" t="str">
        <f t="shared" si="197"/>
        <v/>
      </c>
      <c r="O164" s="1" t="str">
        <f t="shared" si="197"/>
        <v/>
      </c>
      <c r="P164" s="1" t="str">
        <f t="shared" si="197"/>
        <v/>
      </c>
      <c r="Q164" s="1"/>
      <c r="R164" s="1"/>
      <c r="S164" s="1" t="str">
        <f t="shared" ref="S164:AA164" si="198">IFERROR(IF(S163="1",VLOOKUP(S161,S$144:$AE$159,S$140,FALSE),""),"")</f>
        <v/>
      </c>
      <c r="T164" s="1" t="str">
        <f t="shared" si="198"/>
        <v/>
      </c>
      <c r="U164" s="1" t="str">
        <f t="shared" si="198"/>
        <v/>
      </c>
      <c r="V164" s="1" t="str">
        <f t="shared" si="198"/>
        <v/>
      </c>
      <c r="W164" s="1" t="str">
        <f t="shared" si="198"/>
        <v/>
      </c>
      <c r="X164" s="1" t="str">
        <f t="shared" si="198"/>
        <v/>
      </c>
      <c r="Y164" s="1" t="str">
        <f t="shared" si="198"/>
        <v/>
      </c>
      <c r="Z164" s="1" t="str">
        <f t="shared" si="198"/>
        <v/>
      </c>
      <c r="AA164" s="1" t="str">
        <f t="shared" si="198"/>
        <v/>
      </c>
      <c r="AB164" s="1"/>
      <c r="AC164" s="1"/>
      <c r="AD164" s="1"/>
      <c r="AE164" s="1"/>
      <c r="AF164" s="1"/>
    </row>
    <row r="165" ht="14.25" customHeight="1">
      <c r="A165" s="60"/>
      <c r="B165" s="6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60"/>
      <c r="B166" s="60"/>
      <c r="C166" s="1"/>
      <c r="D166" s="1"/>
      <c r="E166" s="1"/>
      <c r="F166" s="66" t="s">
        <v>36</v>
      </c>
      <c r="G166" s="66" t="s">
        <v>113</v>
      </c>
      <c r="H166" s="66">
        <f t="shared" ref="H166:P166" si="199">H7</f>
        <v>4</v>
      </c>
      <c r="I166" s="66">
        <f t="shared" si="199"/>
        <v>3</v>
      </c>
      <c r="J166" s="66">
        <f t="shared" si="199"/>
        <v>4</v>
      </c>
      <c r="K166" s="66">
        <f t="shared" si="199"/>
        <v>4</v>
      </c>
      <c r="L166" s="66">
        <f t="shared" si="199"/>
        <v>3</v>
      </c>
      <c r="M166" s="66">
        <f t="shared" si="199"/>
        <v>5</v>
      </c>
      <c r="N166" s="66">
        <f t="shared" si="199"/>
        <v>4</v>
      </c>
      <c r="O166" s="66">
        <f t="shared" si="199"/>
        <v>3</v>
      </c>
      <c r="P166" s="66">
        <f t="shared" si="199"/>
        <v>5</v>
      </c>
      <c r="Q166" s="10"/>
      <c r="R166" s="10"/>
      <c r="S166" s="66">
        <f t="shared" ref="S166:AA166" si="200">S7</f>
        <v>4</v>
      </c>
      <c r="T166" s="66">
        <f t="shared" si="200"/>
        <v>3</v>
      </c>
      <c r="U166" s="66">
        <f t="shared" si="200"/>
        <v>4</v>
      </c>
      <c r="V166" s="66">
        <f t="shared" si="200"/>
        <v>5</v>
      </c>
      <c r="W166" s="66">
        <f t="shared" si="200"/>
        <v>4</v>
      </c>
      <c r="X166" s="66">
        <f t="shared" si="200"/>
        <v>3</v>
      </c>
      <c r="Y166" s="66">
        <f t="shared" si="200"/>
        <v>4</v>
      </c>
      <c r="Z166" s="66">
        <f t="shared" si="200"/>
        <v>5</v>
      </c>
      <c r="AA166" s="66">
        <f t="shared" si="200"/>
        <v>4</v>
      </c>
      <c r="AB166" s="66"/>
      <c r="AC166" s="39"/>
      <c r="AD166" s="39"/>
      <c r="AE166" s="39"/>
      <c r="AF166" s="39"/>
    </row>
    <row r="167" ht="15.75" customHeight="1">
      <c r="A167" s="60"/>
      <c r="B167" s="60"/>
      <c r="C167" s="1"/>
      <c r="D167" s="1"/>
      <c r="E167" s="1"/>
      <c r="F167" s="66" t="s">
        <v>146</v>
      </c>
      <c r="G167" s="166" t="s">
        <v>137</v>
      </c>
      <c r="H167" s="66">
        <f t="shared" ref="H167:P167" si="201">H143</f>
        <v>1</v>
      </c>
      <c r="I167" s="66">
        <f t="shared" si="201"/>
        <v>2</v>
      </c>
      <c r="J167" s="66">
        <f t="shared" si="201"/>
        <v>3</v>
      </c>
      <c r="K167" s="66">
        <f t="shared" si="201"/>
        <v>4</v>
      </c>
      <c r="L167" s="66">
        <f t="shared" si="201"/>
        <v>5</v>
      </c>
      <c r="M167" s="66">
        <f t="shared" si="201"/>
        <v>6</v>
      </c>
      <c r="N167" s="66">
        <f t="shared" si="201"/>
        <v>7</v>
      </c>
      <c r="O167" s="66">
        <f t="shared" si="201"/>
        <v>8</v>
      </c>
      <c r="P167" s="66">
        <f t="shared" si="201"/>
        <v>9</v>
      </c>
      <c r="Q167" s="10"/>
      <c r="R167" s="10"/>
      <c r="S167" s="66">
        <f t="shared" ref="S167:AA167" si="202">S143</f>
        <v>10</v>
      </c>
      <c r="T167" s="66">
        <f t="shared" si="202"/>
        <v>11</v>
      </c>
      <c r="U167" s="66">
        <f t="shared" si="202"/>
        <v>12</v>
      </c>
      <c r="V167" s="66">
        <f t="shared" si="202"/>
        <v>13</v>
      </c>
      <c r="W167" s="66">
        <f t="shared" si="202"/>
        <v>14</v>
      </c>
      <c r="X167" s="66">
        <f t="shared" si="202"/>
        <v>15</v>
      </c>
      <c r="Y167" s="66">
        <f t="shared" si="202"/>
        <v>16</v>
      </c>
      <c r="Z167" s="66">
        <f t="shared" si="202"/>
        <v>17</v>
      </c>
      <c r="AA167" s="66">
        <f t="shared" si="202"/>
        <v>18</v>
      </c>
      <c r="AB167" s="66" t="s">
        <v>24</v>
      </c>
      <c r="AC167" s="39"/>
      <c r="AD167" s="39"/>
      <c r="AE167" s="39"/>
      <c r="AF167" s="39"/>
    </row>
    <row r="168" ht="15.75" customHeight="1">
      <c r="A168" s="60"/>
      <c r="B168" s="60"/>
      <c r="C168" s="1"/>
      <c r="D168" s="1"/>
      <c r="E168" s="1"/>
      <c r="F168" s="73" t="str">
        <f t="shared" ref="F168:F183" si="205">F144</f>
        <v>DEREK</v>
      </c>
      <c r="G168" s="142"/>
      <c r="H168" s="169" t="str">
        <f t="shared" ref="H168:P168" si="203">IFERROR(IF(VLOOKUP($F168,$F$124:$AA$139,H$141,FALSE)=0,"",IF(VLOOKUP($F168,$F$124:$AA$139,H$141,FALSE)&lt;H$166,1,0)),"")</f>
        <v/>
      </c>
      <c r="I168" s="169" t="str">
        <f t="shared" si="203"/>
        <v/>
      </c>
      <c r="J168" s="169" t="str">
        <f t="shared" si="203"/>
        <v/>
      </c>
      <c r="K168" s="169" t="str">
        <f t="shared" si="203"/>
        <v/>
      </c>
      <c r="L168" s="169" t="str">
        <f t="shared" si="203"/>
        <v/>
      </c>
      <c r="M168" s="169" t="str">
        <f t="shared" si="203"/>
        <v/>
      </c>
      <c r="N168" s="169" t="str">
        <f t="shared" si="203"/>
        <v/>
      </c>
      <c r="O168" s="169" t="str">
        <f t="shared" si="203"/>
        <v/>
      </c>
      <c r="P168" s="169" t="str">
        <f t="shared" si="203"/>
        <v/>
      </c>
      <c r="Q168" s="51"/>
      <c r="R168" s="51"/>
      <c r="S168" s="169" t="str">
        <f t="shared" ref="S168:AA168" si="204">IFERROR(IF(VLOOKUP($F168,$F$124:$AA$139,S$141,FALSE)=0,"",IF(VLOOKUP($F168,$F$124:$AA$139,S$141,FALSE)&lt;S$166,1,0)),"")</f>
        <v/>
      </c>
      <c r="T168" s="169" t="str">
        <f t="shared" si="204"/>
        <v/>
      </c>
      <c r="U168" s="169" t="str">
        <f t="shared" si="204"/>
        <v/>
      </c>
      <c r="V168" s="169" t="str">
        <f t="shared" si="204"/>
        <v/>
      </c>
      <c r="W168" s="169" t="str">
        <f t="shared" si="204"/>
        <v/>
      </c>
      <c r="X168" s="169" t="str">
        <f t="shared" si="204"/>
        <v/>
      </c>
      <c r="Y168" s="169" t="str">
        <f t="shared" si="204"/>
        <v/>
      </c>
      <c r="Z168" s="169" t="str">
        <f t="shared" si="204"/>
        <v/>
      </c>
      <c r="AA168" s="169" t="str">
        <f t="shared" si="204"/>
        <v/>
      </c>
      <c r="AB168" s="75">
        <f t="shared" ref="AB168:AB183" si="208">SUM(H168:AA168)</f>
        <v>0</v>
      </c>
      <c r="AC168" s="39"/>
      <c r="AD168" s="1"/>
      <c r="AE168" s="1"/>
      <c r="AF168" s="1"/>
    </row>
    <row r="169" ht="15.75" customHeight="1">
      <c r="A169" s="60"/>
      <c r="B169" s="60"/>
      <c r="C169" s="1"/>
      <c r="D169" s="1"/>
      <c r="E169" s="1"/>
      <c r="F169" s="73" t="str">
        <f t="shared" si="205"/>
        <v>SCOTT</v>
      </c>
      <c r="G169" s="142"/>
      <c r="H169" s="169" t="str">
        <f t="shared" ref="H169:P169" si="206">IFERROR(IF(VLOOKUP($F169,$F$124:$AA$139,H$141,FALSE)=0,"",IF(VLOOKUP($F169,$F$124:$AA$139,H$141,FALSE)&lt;H$166,1,0)),"")</f>
        <v/>
      </c>
      <c r="I169" s="169" t="str">
        <f t="shared" si="206"/>
        <v/>
      </c>
      <c r="J169" s="169" t="str">
        <f t="shared" si="206"/>
        <v/>
      </c>
      <c r="K169" s="169" t="str">
        <f t="shared" si="206"/>
        <v/>
      </c>
      <c r="L169" s="169" t="str">
        <f t="shared" si="206"/>
        <v/>
      </c>
      <c r="M169" s="169" t="str">
        <f t="shared" si="206"/>
        <v/>
      </c>
      <c r="N169" s="169" t="str">
        <f t="shared" si="206"/>
        <v/>
      </c>
      <c r="O169" s="169" t="str">
        <f t="shared" si="206"/>
        <v/>
      </c>
      <c r="P169" s="169" t="str">
        <f t="shared" si="206"/>
        <v/>
      </c>
      <c r="Q169" s="51"/>
      <c r="R169" s="51"/>
      <c r="S169" s="169" t="str">
        <f t="shared" ref="S169:AA169" si="207">IFERROR(IF(VLOOKUP($F169,$F$124:$AA$139,S$141,FALSE)=0,"",IF(VLOOKUP($F169,$F$124:$AA$139,S$141,FALSE)&lt;S$166,1,0)),"")</f>
        <v/>
      </c>
      <c r="T169" s="169" t="str">
        <f t="shared" si="207"/>
        <v/>
      </c>
      <c r="U169" s="169" t="str">
        <f t="shared" si="207"/>
        <v/>
      </c>
      <c r="V169" s="169" t="str">
        <f t="shared" si="207"/>
        <v/>
      </c>
      <c r="W169" s="169" t="str">
        <f t="shared" si="207"/>
        <v/>
      </c>
      <c r="X169" s="169" t="str">
        <f t="shared" si="207"/>
        <v/>
      </c>
      <c r="Y169" s="169" t="str">
        <f t="shared" si="207"/>
        <v/>
      </c>
      <c r="Z169" s="169" t="str">
        <f t="shared" si="207"/>
        <v/>
      </c>
      <c r="AA169" s="169" t="str">
        <f t="shared" si="207"/>
        <v/>
      </c>
      <c r="AB169" s="75">
        <f t="shared" si="208"/>
        <v>0</v>
      </c>
      <c r="AC169" s="39" t="s">
        <v>150</v>
      </c>
      <c r="AD169" s="1"/>
      <c r="AE169" s="1"/>
      <c r="AF169" s="1"/>
    </row>
    <row r="170" ht="15.75" customHeight="1">
      <c r="A170" s="60"/>
      <c r="B170" s="60"/>
      <c r="C170" s="1"/>
      <c r="D170" s="1"/>
      <c r="E170" s="1"/>
      <c r="F170" s="73" t="str">
        <f t="shared" si="205"/>
        <v>WAYS</v>
      </c>
      <c r="G170" s="142"/>
      <c r="H170" s="169" t="str">
        <f t="shared" ref="H170:P170" si="209">IFERROR(IF(VLOOKUP($F170,$F$124:$AA$139,H$141,FALSE)=0,"",IF(VLOOKUP($F170,$F$124:$AA$139,H$141,FALSE)&lt;H$166,1,0)),"")</f>
        <v/>
      </c>
      <c r="I170" s="169" t="str">
        <f t="shared" si="209"/>
        <v/>
      </c>
      <c r="J170" s="169" t="str">
        <f t="shared" si="209"/>
        <v/>
      </c>
      <c r="K170" s="169" t="str">
        <f t="shared" si="209"/>
        <v/>
      </c>
      <c r="L170" s="169" t="str">
        <f t="shared" si="209"/>
        <v/>
      </c>
      <c r="M170" s="169" t="str">
        <f t="shared" si="209"/>
        <v/>
      </c>
      <c r="N170" s="169" t="str">
        <f t="shared" si="209"/>
        <v/>
      </c>
      <c r="O170" s="169" t="str">
        <f t="shared" si="209"/>
        <v/>
      </c>
      <c r="P170" s="169" t="str">
        <f t="shared" si="209"/>
        <v/>
      </c>
      <c r="Q170" s="51"/>
      <c r="R170" s="51"/>
      <c r="S170" s="169" t="str">
        <f t="shared" ref="S170:AA170" si="210">IFERROR(IF(VLOOKUP($F170,$F$124:$AA$139,S$141,FALSE)=0,"",IF(VLOOKUP($F170,$F$124:$AA$139,S$141,FALSE)&lt;S$166,1,0)),"")</f>
        <v/>
      </c>
      <c r="T170" s="169" t="str">
        <f t="shared" si="210"/>
        <v/>
      </c>
      <c r="U170" s="169" t="str">
        <f t="shared" si="210"/>
        <v/>
      </c>
      <c r="V170" s="169" t="str">
        <f t="shared" si="210"/>
        <v/>
      </c>
      <c r="W170" s="169" t="str">
        <f t="shared" si="210"/>
        <v/>
      </c>
      <c r="X170" s="169" t="str">
        <f t="shared" si="210"/>
        <v/>
      </c>
      <c r="Y170" s="169" t="str">
        <f t="shared" si="210"/>
        <v/>
      </c>
      <c r="Z170" s="169" t="str">
        <f t="shared" si="210"/>
        <v/>
      </c>
      <c r="AA170" s="169" t="str">
        <f t="shared" si="210"/>
        <v/>
      </c>
      <c r="AB170" s="75">
        <f t="shared" si="208"/>
        <v>0</v>
      </c>
      <c r="AC170" s="39"/>
      <c r="AD170" s="1"/>
      <c r="AE170" s="1"/>
      <c r="AF170" s="1"/>
    </row>
    <row r="171" ht="15.75" customHeight="1">
      <c r="A171" s="60"/>
      <c r="B171" s="60"/>
      <c r="C171" s="1"/>
      <c r="D171" s="1"/>
      <c r="E171" s="1"/>
      <c r="F171" s="73" t="str">
        <f t="shared" si="205"/>
        <v>BEN</v>
      </c>
      <c r="G171" s="142"/>
      <c r="H171" s="169" t="str">
        <f t="shared" ref="H171:P171" si="211">IFERROR(IF(VLOOKUP($F171,$F$124:$AA$139,H$141,FALSE)=0,"",IF(VLOOKUP($F171,$F$124:$AA$139,H$141,FALSE)&lt;H$166,1,0)),"")</f>
        <v/>
      </c>
      <c r="I171" s="169" t="str">
        <f t="shared" si="211"/>
        <v/>
      </c>
      <c r="J171" s="169" t="str">
        <f t="shared" si="211"/>
        <v/>
      </c>
      <c r="K171" s="169" t="str">
        <f t="shared" si="211"/>
        <v/>
      </c>
      <c r="L171" s="169" t="str">
        <f t="shared" si="211"/>
        <v/>
      </c>
      <c r="M171" s="169" t="str">
        <f t="shared" si="211"/>
        <v/>
      </c>
      <c r="N171" s="169" t="str">
        <f t="shared" si="211"/>
        <v/>
      </c>
      <c r="O171" s="169" t="str">
        <f t="shared" si="211"/>
        <v/>
      </c>
      <c r="P171" s="169" t="str">
        <f t="shared" si="211"/>
        <v/>
      </c>
      <c r="Q171" s="51"/>
      <c r="R171" s="51"/>
      <c r="S171" s="169" t="str">
        <f t="shared" ref="S171:AA171" si="212">IFERROR(IF(VLOOKUP($F171,$F$124:$AA$139,S$141,FALSE)=0,"",IF(VLOOKUP($F171,$F$124:$AA$139,S$141,FALSE)&lt;S$166,1,0)),"")</f>
        <v/>
      </c>
      <c r="T171" s="169" t="str">
        <f t="shared" si="212"/>
        <v/>
      </c>
      <c r="U171" s="169" t="str">
        <f t="shared" si="212"/>
        <v/>
      </c>
      <c r="V171" s="169" t="str">
        <f t="shared" si="212"/>
        <v/>
      </c>
      <c r="W171" s="169" t="str">
        <f t="shared" si="212"/>
        <v/>
      </c>
      <c r="X171" s="169" t="str">
        <f t="shared" si="212"/>
        <v/>
      </c>
      <c r="Y171" s="169" t="str">
        <f t="shared" si="212"/>
        <v/>
      </c>
      <c r="Z171" s="169" t="str">
        <f t="shared" si="212"/>
        <v/>
      </c>
      <c r="AA171" s="169" t="str">
        <f t="shared" si="212"/>
        <v/>
      </c>
      <c r="AB171" s="75">
        <f t="shared" si="208"/>
        <v>0</v>
      </c>
      <c r="AC171" s="39"/>
      <c r="AD171" s="1"/>
      <c r="AE171" s="1"/>
      <c r="AF171" s="1"/>
    </row>
    <row r="172" ht="15.75" customHeight="1">
      <c r="A172" s="60"/>
      <c r="B172" s="60"/>
      <c r="C172" s="1"/>
      <c r="D172" s="1"/>
      <c r="E172" s="1"/>
      <c r="F172" s="73" t="str">
        <f t="shared" si="205"/>
        <v>DANNY</v>
      </c>
      <c r="G172" s="142"/>
      <c r="H172" s="169" t="str">
        <f t="shared" ref="H172:P172" si="213">IFERROR(IF(VLOOKUP($F172,$F$124:$AA$139,H$141,FALSE)=0,"",IF(VLOOKUP($F172,$F$124:$AA$139,H$141,FALSE)&lt;H$166,1,0)),"")</f>
        <v/>
      </c>
      <c r="I172" s="169" t="str">
        <f t="shared" si="213"/>
        <v/>
      </c>
      <c r="J172" s="169" t="str">
        <f t="shared" si="213"/>
        <v/>
      </c>
      <c r="K172" s="169" t="str">
        <f t="shared" si="213"/>
        <v/>
      </c>
      <c r="L172" s="169" t="str">
        <f t="shared" si="213"/>
        <v/>
      </c>
      <c r="M172" s="169" t="str">
        <f t="shared" si="213"/>
        <v/>
      </c>
      <c r="N172" s="169" t="str">
        <f t="shared" si="213"/>
        <v/>
      </c>
      <c r="O172" s="169" t="str">
        <f t="shared" si="213"/>
        <v/>
      </c>
      <c r="P172" s="169" t="str">
        <f t="shared" si="213"/>
        <v/>
      </c>
      <c r="Q172" s="51"/>
      <c r="R172" s="51"/>
      <c r="S172" s="169" t="str">
        <f t="shared" ref="S172:AA172" si="214">IFERROR(IF(VLOOKUP($F172,$F$124:$AA$139,S$141,FALSE)=0,"",IF(VLOOKUP($F172,$F$124:$AA$139,S$141,FALSE)&lt;S$166,1,0)),"")</f>
        <v/>
      </c>
      <c r="T172" s="169" t="str">
        <f t="shared" si="214"/>
        <v/>
      </c>
      <c r="U172" s="169" t="str">
        <f t="shared" si="214"/>
        <v/>
      </c>
      <c r="V172" s="169" t="str">
        <f t="shared" si="214"/>
        <v/>
      </c>
      <c r="W172" s="169" t="str">
        <f t="shared" si="214"/>
        <v/>
      </c>
      <c r="X172" s="169" t="str">
        <f t="shared" si="214"/>
        <v/>
      </c>
      <c r="Y172" s="169" t="str">
        <f t="shared" si="214"/>
        <v/>
      </c>
      <c r="Z172" s="169" t="str">
        <f t="shared" si="214"/>
        <v/>
      </c>
      <c r="AA172" s="169" t="str">
        <f t="shared" si="214"/>
        <v/>
      </c>
      <c r="AB172" s="75">
        <f t="shared" si="208"/>
        <v>0</v>
      </c>
      <c r="AC172" s="39"/>
      <c r="AD172" s="1"/>
      <c r="AE172" s="1"/>
      <c r="AF172" s="1"/>
    </row>
    <row r="173" ht="15.75" customHeight="1">
      <c r="A173" s="60"/>
      <c r="B173" s="60"/>
      <c r="C173" s="1"/>
      <c r="D173" s="1"/>
      <c r="E173" s="1"/>
      <c r="F173" s="73" t="str">
        <f t="shared" si="205"/>
        <v>ZACH</v>
      </c>
      <c r="G173" s="142"/>
      <c r="H173" s="169" t="str">
        <f t="shared" ref="H173:P173" si="215">IFERROR(IF(VLOOKUP($F173,$F$124:$AA$139,H$141,FALSE)=0,"",IF(VLOOKUP($F173,$F$124:$AA$139,H$141,FALSE)&lt;H$166,1,0)),"")</f>
        <v/>
      </c>
      <c r="I173" s="169" t="str">
        <f t="shared" si="215"/>
        <v/>
      </c>
      <c r="J173" s="169" t="str">
        <f t="shared" si="215"/>
        <v/>
      </c>
      <c r="K173" s="169" t="str">
        <f t="shared" si="215"/>
        <v/>
      </c>
      <c r="L173" s="169" t="str">
        <f t="shared" si="215"/>
        <v/>
      </c>
      <c r="M173" s="169" t="str">
        <f t="shared" si="215"/>
        <v/>
      </c>
      <c r="N173" s="169" t="str">
        <f t="shared" si="215"/>
        <v/>
      </c>
      <c r="O173" s="169" t="str">
        <f t="shared" si="215"/>
        <v/>
      </c>
      <c r="P173" s="169" t="str">
        <f t="shared" si="215"/>
        <v/>
      </c>
      <c r="Q173" s="51"/>
      <c r="R173" s="51"/>
      <c r="S173" s="169" t="str">
        <f t="shared" ref="S173:AA173" si="216">IFERROR(IF(VLOOKUP($F173,$F$124:$AA$139,S$141,FALSE)=0,"",IF(VLOOKUP($F173,$F$124:$AA$139,S$141,FALSE)&lt;S$166,1,0)),"")</f>
        <v/>
      </c>
      <c r="T173" s="169" t="str">
        <f t="shared" si="216"/>
        <v/>
      </c>
      <c r="U173" s="169" t="str">
        <f t="shared" si="216"/>
        <v/>
      </c>
      <c r="V173" s="169" t="str">
        <f t="shared" si="216"/>
        <v/>
      </c>
      <c r="W173" s="169" t="str">
        <f t="shared" si="216"/>
        <v/>
      </c>
      <c r="X173" s="169" t="str">
        <f t="shared" si="216"/>
        <v/>
      </c>
      <c r="Y173" s="169" t="str">
        <f t="shared" si="216"/>
        <v/>
      </c>
      <c r="Z173" s="169" t="str">
        <f t="shared" si="216"/>
        <v/>
      </c>
      <c r="AA173" s="169" t="str">
        <f t="shared" si="216"/>
        <v/>
      </c>
      <c r="AB173" s="75">
        <f t="shared" si="208"/>
        <v>0</v>
      </c>
      <c r="AC173" s="39"/>
      <c r="AD173" s="1"/>
      <c r="AE173" s="1"/>
      <c r="AF173" s="1"/>
    </row>
    <row r="174" ht="15.75" customHeight="1">
      <c r="A174" s="60"/>
      <c r="B174" s="60"/>
      <c r="C174" s="1"/>
      <c r="D174" s="1"/>
      <c r="E174" s="1"/>
      <c r="F174" s="73" t="str">
        <f t="shared" si="205"/>
        <v>SLICK</v>
      </c>
      <c r="G174" s="142"/>
      <c r="H174" s="169" t="str">
        <f t="shared" ref="H174:P174" si="217">IFERROR(IF(VLOOKUP($F174,$F$124:$AA$139,H$141,FALSE)=0,"",IF(VLOOKUP($F174,$F$124:$AA$139,H$141,FALSE)&lt;H$166,1,0)),"")</f>
        <v/>
      </c>
      <c r="I174" s="169" t="str">
        <f t="shared" si="217"/>
        <v/>
      </c>
      <c r="J174" s="169" t="str">
        <f t="shared" si="217"/>
        <v/>
      </c>
      <c r="K174" s="169" t="str">
        <f t="shared" si="217"/>
        <v/>
      </c>
      <c r="L174" s="169" t="str">
        <f t="shared" si="217"/>
        <v/>
      </c>
      <c r="M174" s="169" t="str">
        <f t="shared" si="217"/>
        <v/>
      </c>
      <c r="N174" s="169" t="str">
        <f t="shared" si="217"/>
        <v/>
      </c>
      <c r="O174" s="169" t="str">
        <f t="shared" si="217"/>
        <v/>
      </c>
      <c r="P174" s="169" t="str">
        <f t="shared" si="217"/>
        <v/>
      </c>
      <c r="Q174" s="51"/>
      <c r="R174" s="51"/>
      <c r="S174" s="169" t="str">
        <f t="shared" ref="S174:AA174" si="218">IFERROR(IF(VLOOKUP($F174,$F$124:$AA$139,S$141,FALSE)=0,"",IF(VLOOKUP($F174,$F$124:$AA$139,S$141,FALSE)&lt;S$166,1,0)),"")</f>
        <v/>
      </c>
      <c r="T174" s="169" t="str">
        <f t="shared" si="218"/>
        <v/>
      </c>
      <c r="U174" s="169" t="str">
        <f t="shared" si="218"/>
        <v/>
      </c>
      <c r="V174" s="169" t="str">
        <f t="shared" si="218"/>
        <v/>
      </c>
      <c r="W174" s="169" t="str">
        <f t="shared" si="218"/>
        <v/>
      </c>
      <c r="X174" s="169" t="str">
        <f t="shared" si="218"/>
        <v/>
      </c>
      <c r="Y174" s="169" t="str">
        <f t="shared" si="218"/>
        <v/>
      </c>
      <c r="Z174" s="169" t="str">
        <f t="shared" si="218"/>
        <v/>
      </c>
      <c r="AA174" s="169" t="str">
        <f t="shared" si="218"/>
        <v/>
      </c>
      <c r="AB174" s="75">
        <f t="shared" si="208"/>
        <v>0</v>
      </c>
      <c r="AC174" s="39"/>
      <c r="AD174" s="1"/>
      <c r="AE174" s="1"/>
      <c r="AF174" s="1"/>
    </row>
    <row r="175" ht="15.75" customHeight="1">
      <c r="A175" s="60"/>
      <c r="B175" s="60"/>
      <c r="C175" s="1"/>
      <c r="D175" s="1"/>
      <c r="E175" s="1"/>
      <c r="F175" s="73" t="str">
        <f t="shared" si="205"/>
        <v>PAXTON</v>
      </c>
      <c r="G175" s="142"/>
      <c r="H175" s="169" t="str">
        <f t="shared" ref="H175:P175" si="219">IFERROR(IF(VLOOKUP($F175,$F$124:$AA$139,H$141,FALSE)=0,"",IF(VLOOKUP($F175,$F$124:$AA$139,H$141,FALSE)&lt;H$166,1,0)),"")</f>
        <v/>
      </c>
      <c r="I175" s="169" t="str">
        <f t="shared" si="219"/>
        <v/>
      </c>
      <c r="J175" s="169" t="str">
        <f t="shared" si="219"/>
        <v/>
      </c>
      <c r="K175" s="169" t="str">
        <f t="shared" si="219"/>
        <v/>
      </c>
      <c r="L175" s="169" t="str">
        <f t="shared" si="219"/>
        <v/>
      </c>
      <c r="M175" s="169" t="str">
        <f t="shared" si="219"/>
        <v/>
      </c>
      <c r="N175" s="169" t="str">
        <f t="shared" si="219"/>
        <v/>
      </c>
      <c r="O175" s="169" t="str">
        <f t="shared" si="219"/>
        <v/>
      </c>
      <c r="P175" s="169" t="str">
        <f t="shared" si="219"/>
        <v/>
      </c>
      <c r="Q175" s="51"/>
      <c r="R175" s="51"/>
      <c r="S175" s="169" t="str">
        <f t="shared" ref="S175:AA175" si="220">IFERROR(IF(VLOOKUP($F175,$F$124:$AA$139,S$141,FALSE)=0,"",IF(VLOOKUP($F175,$F$124:$AA$139,S$141,FALSE)&lt;S$166,1,0)),"")</f>
        <v/>
      </c>
      <c r="T175" s="169" t="str">
        <f t="shared" si="220"/>
        <v/>
      </c>
      <c r="U175" s="169" t="str">
        <f t="shared" si="220"/>
        <v/>
      </c>
      <c r="V175" s="169" t="str">
        <f t="shared" si="220"/>
        <v/>
      </c>
      <c r="W175" s="169" t="str">
        <f t="shared" si="220"/>
        <v/>
      </c>
      <c r="X175" s="169" t="str">
        <f t="shared" si="220"/>
        <v/>
      </c>
      <c r="Y175" s="169" t="str">
        <f t="shared" si="220"/>
        <v/>
      </c>
      <c r="Z175" s="169" t="str">
        <f t="shared" si="220"/>
        <v/>
      </c>
      <c r="AA175" s="169" t="str">
        <f t="shared" si="220"/>
        <v/>
      </c>
      <c r="AB175" s="75">
        <f t="shared" si="208"/>
        <v>0</v>
      </c>
      <c r="AC175" s="39"/>
      <c r="AD175" s="1"/>
      <c r="AE175" s="1"/>
      <c r="AF175" s="1"/>
    </row>
    <row r="176" ht="15.75" customHeight="1">
      <c r="A176" s="60"/>
      <c r="B176" s="60"/>
      <c r="C176" s="1"/>
      <c r="D176" s="1"/>
      <c r="E176" s="1"/>
      <c r="F176" s="73" t="str">
        <f t="shared" si="205"/>
        <v>DYLAN</v>
      </c>
      <c r="G176" s="142"/>
      <c r="H176" s="169" t="str">
        <f t="shared" ref="H176:P176" si="221">IFERROR(IF(VLOOKUP($F176,$F$124:$AA$139,H$141,FALSE)=0,"",IF(VLOOKUP($F176,$F$124:$AA$139,H$141,FALSE)&lt;H$166,1,0)),"")</f>
        <v/>
      </c>
      <c r="I176" s="169" t="str">
        <f t="shared" si="221"/>
        <v/>
      </c>
      <c r="J176" s="169" t="str">
        <f t="shared" si="221"/>
        <v/>
      </c>
      <c r="K176" s="169" t="str">
        <f t="shared" si="221"/>
        <v/>
      </c>
      <c r="L176" s="169" t="str">
        <f t="shared" si="221"/>
        <v/>
      </c>
      <c r="M176" s="169" t="str">
        <f t="shared" si="221"/>
        <v/>
      </c>
      <c r="N176" s="169" t="str">
        <f t="shared" si="221"/>
        <v/>
      </c>
      <c r="O176" s="169" t="str">
        <f t="shared" si="221"/>
        <v/>
      </c>
      <c r="P176" s="169" t="str">
        <f t="shared" si="221"/>
        <v/>
      </c>
      <c r="Q176" s="51"/>
      <c r="R176" s="51"/>
      <c r="S176" s="169" t="str">
        <f t="shared" ref="S176:AA176" si="222">IFERROR(IF(VLOOKUP($F176,$F$124:$AA$139,S$141,FALSE)=0,"",IF(VLOOKUP($F176,$F$124:$AA$139,S$141,FALSE)&lt;S$166,1,0)),"")</f>
        <v/>
      </c>
      <c r="T176" s="169" t="str">
        <f t="shared" si="222"/>
        <v/>
      </c>
      <c r="U176" s="169" t="str">
        <f t="shared" si="222"/>
        <v/>
      </c>
      <c r="V176" s="169" t="str">
        <f t="shared" si="222"/>
        <v/>
      </c>
      <c r="W176" s="169" t="str">
        <f t="shared" si="222"/>
        <v/>
      </c>
      <c r="X176" s="169" t="str">
        <f t="shared" si="222"/>
        <v/>
      </c>
      <c r="Y176" s="169" t="str">
        <f t="shared" si="222"/>
        <v/>
      </c>
      <c r="Z176" s="169" t="str">
        <f t="shared" si="222"/>
        <v/>
      </c>
      <c r="AA176" s="169" t="str">
        <f t="shared" si="222"/>
        <v/>
      </c>
      <c r="AB176" s="75">
        <f t="shared" si="208"/>
        <v>0</v>
      </c>
      <c r="AC176" s="39"/>
      <c r="AD176" s="1"/>
      <c r="AE176" s="1"/>
      <c r="AF176" s="1"/>
    </row>
    <row r="177" ht="15.75" customHeight="1">
      <c r="A177" s="60"/>
      <c r="B177" s="60"/>
      <c r="C177" s="1"/>
      <c r="D177" s="1"/>
      <c r="E177" s="1"/>
      <c r="F177" s="73" t="str">
        <f t="shared" si="205"/>
        <v>TOM</v>
      </c>
      <c r="G177" s="142"/>
      <c r="H177" s="169" t="str">
        <f t="shared" ref="H177:P177" si="223">IFERROR(IF(VLOOKUP($F177,$F$124:$AA$139,H$141,FALSE)=0,"",IF(VLOOKUP($F177,$F$124:$AA$139,H$141,FALSE)&lt;H$166,1,0)),"")</f>
        <v/>
      </c>
      <c r="I177" s="169" t="str">
        <f t="shared" si="223"/>
        <v/>
      </c>
      <c r="J177" s="169" t="str">
        <f t="shared" si="223"/>
        <v/>
      </c>
      <c r="K177" s="169" t="str">
        <f t="shared" si="223"/>
        <v/>
      </c>
      <c r="L177" s="169" t="str">
        <f t="shared" si="223"/>
        <v/>
      </c>
      <c r="M177" s="169" t="str">
        <f t="shared" si="223"/>
        <v/>
      </c>
      <c r="N177" s="169" t="str">
        <f t="shared" si="223"/>
        <v/>
      </c>
      <c r="O177" s="169" t="str">
        <f t="shared" si="223"/>
        <v/>
      </c>
      <c r="P177" s="169" t="str">
        <f t="shared" si="223"/>
        <v/>
      </c>
      <c r="Q177" s="51"/>
      <c r="R177" s="51"/>
      <c r="S177" s="169" t="str">
        <f t="shared" ref="S177:AA177" si="224">IFERROR(IF(VLOOKUP($F177,$F$124:$AA$139,S$141,FALSE)=0,"",IF(VLOOKUP($F177,$F$124:$AA$139,S$141,FALSE)&lt;S$166,1,0)),"")</f>
        <v/>
      </c>
      <c r="T177" s="169" t="str">
        <f t="shared" si="224"/>
        <v/>
      </c>
      <c r="U177" s="169" t="str">
        <f t="shared" si="224"/>
        <v/>
      </c>
      <c r="V177" s="169" t="str">
        <f t="shared" si="224"/>
        <v/>
      </c>
      <c r="W177" s="169" t="str">
        <f t="shared" si="224"/>
        <v/>
      </c>
      <c r="X177" s="169" t="str">
        <f t="shared" si="224"/>
        <v/>
      </c>
      <c r="Y177" s="169" t="str">
        <f t="shared" si="224"/>
        <v/>
      </c>
      <c r="Z177" s="169" t="str">
        <f t="shared" si="224"/>
        <v/>
      </c>
      <c r="AA177" s="169" t="str">
        <f t="shared" si="224"/>
        <v/>
      </c>
      <c r="AB177" s="75">
        <f t="shared" si="208"/>
        <v>0</v>
      </c>
      <c r="AC177" s="39"/>
      <c r="AD177" s="1"/>
      <c r="AE177" s="1"/>
      <c r="AF177" s="1"/>
    </row>
    <row r="178" ht="15.75" customHeight="1">
      <c r="A178" s="60"/>
      <c r="B178" s="60"/>
      <c r="C178" s="1"/>
      <c r="D178" s="1"/>
      <c r="E178" s="1"/>
      <c r="F178" s="73" t="str">
        <f t="shared" si="205"/>
        <v>ERIC</v>
      </c>
      <c r="G178" s="142"/>
      <c r="H178" s="169" t="str">
        <f t="shared" ref="H178:P178" si="225">IFERROR(IF(VLOOKUP($F178,$F$124:$AA$139,H$141,FALSE)=0,"",IF(VLOOKUP($F178,$F$124:$AA$139,H$141,FALSE)&lt;H$166,1,0)),"")</f>
        <v/>
      </c>
      <c r="I178" s="169" t="str">
        <f t="shared" si="225"/>
        <v/>
      </c>
      <c r="J178" s="169" t="str">
        <f t="shared" si="225"/>
        <v/>
      </c>
      <c r="K178" s="169" t="str">
        <f t="shared" si="225"/>
        <v/>
      </c>
      <c r="L178" s="169" t="str">
        <f t="shared" si="225"/>
        <v/>
      </c>
      <c r="M178" s="169" t="str">
        <f t="shared" si="225"/>
        <v/>
      </c>
      <c r="N178" s="169" t="str">
        <f t="shared" si="225"/>
        <v/>
      </c>
      <c r="O178" s="169" t="str">
        <f t="shared" si="225"/>
        <v/>
      </c>
      <c r="P178" s="169" t="str">
        <f t="shared" si="225"/>
        <v/>
      </c>
      <c r="Q178" s="51"/>
      <c r="R178" s="51"/>
      <c r="S178" s="169" t="str">
        <f t="shared" ref="S178:AA178" si="226">IFERROR(IF(VLOOKUP($F178,$F$124:$AA$139,S$141,FALSE)=0,"",IF(VLOOKUP($F178,$F$124:$AA$139,S$141,FALSE)&lt;S$166,1,0)),"")</f>
        <v/>
      </c>
      <c r="T178" s="169" t="str">
        <f t="shared" si="226"/>
        <v/>
      </c>
      <c r="U178" s="169" t="str">
        <f t="shared" si="226"/>
        <v/>
      </c>
      <c r="V178" s="169" t="str">
        <f t="shared" si="226"/>
        <v/>
      </c>
      <c r="W178" s="169" t="str">
        <f t="shared" si="226"/>
        <v/>
      </c>
      <c r="X178" s="169" t="str">
        <f t="shared" si="226"/>
        <v/>
      </c>
      <c r="Y178" s="169" t="str">
        <f t="shared" si="226"/>
        <v/>
      </c>
      <c r="Z178" s="169" t="str">
        <f t="shared" si="226"/>
        <v/>
      </c>
      <c r="AA178" s="169" t="str">
        <f t="shared" si="226"/>
        <v/>
      </c>
      <c r="AB178" s="75">
        <f t="shared" si="208"/>
        <v>0</v>
      </c>
      <c r="AC178" s="39"/>
      <c r="AD178" s="1"/>
      <c r="AE178" s="1"/>
      <c r="AF178" s="1"/>
    </row>
    <row r="179" ht="15.75" customHeight="1">
      <c r="A179" s="60"/>
      <c r="B179" s="60"/>
      <c r="C179" s="1"/>
      <c r="D179" s="1"/>
      <c r="E179" s="1"/>
      <c r="F179" s="73" t="str">
        <f t="shared" si="205"/>
        <v>MAX</v>
      </c>
      <c r="G179" s="142"/>
      <c r="H179" s="169" t="str">
        <f t="shared" ref="H179:P179" si="227">IFERROR(IF(VLOOKUP($F179,$F$124:$AA$139,H$141,FALSE)=0,"",IF(VLOOKUP($F179,$F$124:$AA$139,H$141,FALSE)&lt;H$166,1,0)),"")</f>
        <v/>
      </c>
      <c r="I179" s="169" t="str">
        <f t="shared" si="227"/>
        <v/>
      </c>
      <c r="J179" s="169" t="str">
        <f t="shared" si="227"/>
        <v/>
      </c>
      <c r="K179" s="169" t="str">
        <f t="shared" si="227"/>
        <v/>
      </c>
      <c r="L179" s="169" t="str">
        <f t="shared" si="227"/>
        <v/>
      </c>
      <c r="M179" s="169" t="str">
        <f t="shared" si="227"/>
        <v/>
      </c>
      <c r="N179" s="169" t="str">
        <f t="shared" si="227"/>
        <v/>
      </c>
      <c r="O179" s="169" t="str">
        <f t="shared" si="227"/>
        <v/>
      </c>
      <c r="P179" s="169" t="str">
        <f t="shared" si="227"/>
        <v/>
      </c>
      <c r="Q179" s="51"/>
      <c r="R179" s="51"/>
      <c r="S179" s="169" t="str">
        <f t="shared" ref="S179:AA179" si="228">IFERROR(IF(VLOOKUP($F179,$F$124:$AA$139,S$141,FALSE)=0,"",IF(VLOOKUP($F179,$F$124:$AA$139,S$141,FALSE)&lt;S$166,1,0)),"")</f>
        <v/>
      </c>
      <c r="T179" s="169" t="str">
        <f t="shared" si="228"/>
        <v/>
      </c>
      <c r="U179" s="169" t="str">
        <f t="shared" si="228"/>
        <v/>
      </c>
      <c r="V179" s="169" t="str">
        <f t="shared" si="228"/>
        <v/>
      </c>
      <c r="W179" s="169" t="str">
        <f t="shared" si="228"/>
        <v/>
      </c>
      <c r="X179" s="169" t="str">
        <f t="shared" si="228"/>
        <v/>
      </c>
      <c r="Y179" s="169" t="str">
        <f t="shared" si="228"/>
        <v/>
      </c>
      <c r="Z179" s="169" t="str">
        <f t="shared" si="228"/>
        <v/>
      </c>
      <c r="AA179" s="169" t="str">
        <f t="shared" si="228"/>
        <v/>
      </c>
      <c r="AB179" s="75">
        <f t="shared" si="208"/>
        <v>0</v>
      </c>
      <c r="AC179" s="39"/>
      <c r="AD179" s="1"/>
      <c r="AE179" s="1"/>
      <c r="AF179" s="1"/>
    </row>
    <row r="180" ht="15.75" customHeight="1">
      <c r="A180" s="60"/>
      <c r="B180" s="60"/>
      <c r="C180" s="1"/>
      <c r="D180" s="1"/>
      <c r="E180" s="1"/>
      <c r="F180" s="73" t="str">
        <f t="shared" si="205"/>
        <v>KIP</v>
      </c>
      <c r="G180" s="142"/>
      <c r="H180" s="169" t="str">
        <f t="shared" ref="H180:P180" si="229">IFERROR(IF(VLOOKUP($F180,$F$124:$AA$139,H$141,FALSE)=0,"",IF(VLOOKUP($F180,$F$124:$AA$139,H$141,FALSE)&lt;H$166,1,0)),"")</f>
        <v/>
      </c>
      <c r="I180" s="169" t="str">
        <f t="shared" si="229"/>
        <v/>
      </c>
      <c r="J180" s="169" t="str">
        <f t="shared" si="229"/>
        <v/>
      </c>
      <c r="K180" s="169" t="str">
        <f t="shared" si="229"/>
        <v/>
      </c>
      <c r="L180" s="169" t="str">
        <f t="shared" si="229"/>
        <v/>
      </c>
      <c r="M180" s="169" t="str">
        <f t="shared" si="229"/>
        <v/>
      </c>
      <c r="N180" s="169" t="str">
        <f t="shared" si="229"/>
        <v/>
      </c>
      <c r="O180" s="169" t="str">
        <f t="shared" si="229"/>
        <v/>
      </c>
      <c r="P180" s="169" t="str">
        <f t="shared" si="229"/>
        <v/>
      </c>
      <c r="Q180" s="51"/>
      <c r="R180" s="51"/>
      <c r="S180" s="169" t="str">
        <f t="shared" ref="S180:AA180" si="230">IFERROR(IF(VLOOKUP($F180,$F$124:$AA$139,S$141,FALSE)=0,"",IF(VLOOKUP($F180,$F$124:$AA$139,S$141,FALSE)&lt;S$166,1,0)),"")</f>
        <v/>
      </c>
      <c r="T180" s="169" t="str">
        <f t="shared" si="230"/>
        <v/>
      </c>
      <c r="U180" s="169" t="str">
        <f t="shared" si="230"/>
        <v/>
      </c>
      <c r="V180" s="169" t="str">
        <f t="shared" si="230"/>
        <v/>
      </c>
      <c r="W180" s="169" t="str">
        <f t="shared" si="230"/>
        <v/>
      </c>
      <c r="X180" s="169" t="str">
        <f t="shared" si="230"/>
        <v/>
      </c>
      <c r="Y180" s="169" t="str">
        <f t="shared" si="230"/>
        <v/>
      </c>
      <c r="Z180" s="169" t="str">
        <f t="shared" si="230"/>
        <v/>
      </c>
      <c r="AA180" s="169" t="str">
        <f t="shared" si="230"/>
        <v/>
      </c>
      <c r="AB180" s="75">
        <f t="shared" si="208"/>
        <v>0</v>
      </c>
      <c r="AC180" s="39"/>
      <c r="AD180" s="1"/>
      <c r="AE180" s="1"/>
      <c r="AF180" s="1"/>
    </row>
    <row r="181" ht="15.75" customHeight="1">
      <c r="A181" s="60"/>
      <c r="B181" s="60"/>
      <c r="C181" s="1"/>
      <c r="D181" s="1"/>
      <c r="E181" s="1"/>
      <c r="F181" s="73" t="str">
        <f t="shared" si="205"/>
        <v>SHEPP</v>
      </c>
      <c r="G181" s="142"/>
      <c r="H181" s="169" t="str">
        <f t="shared" ref="H181:P181" si="231">IFERROR(IF(VLOOKUP($F181,$F$124:$AA$139,H$141,FALSE)=0,"",IF(VLOOKUP($F181,$F$124:$AA$139,H$141,FALSE)&lt;H$166,1,0)),"")</f>
        <v/>
      </c>
      <c r="I181" s="169" t="str">
        <f t="shared" si="231"/>
        <v/>
      </c>
      <c r="J181" s="169" t="str">
        <f t="shared" si="231"/>
        <v/>
      </c>
      <c r="K181" s="169" t="str">
        <f t="shared" si="231"/>
        <v/>
      </c>
      <c r="L181" s="169" t="str">
        <f t="shared" si="231"/>
        <v/>
      </c>
      <c r="M181" s="169" t="str">
        <f t="shared" si="231"/>
        <v/>
      </c>
      <c r="N181" s="169" t="str">
        <f t="shared" si="231"/>
        <v/>
      </c>
      <c r="O181" s="169" t="str">
        <f t="shared" si="231"/>
        <v/>
      </c>
      <c r="P181" s="169" t="str">
        <f t="shared" si="231"/>
        <v/>
      </c>
      <c r="Q181" s="51"/>
      <c r="R181" s="51"/>
      <c r="S181" s="169" t="str">
        <f t="shared" ref="S181:AA181" si="232">IFERROR(IF(VLOOKUP($F181,$F$124:$AA$139,S$141,FALSE)=0,"",IF(VLOOKUP($F181,$F$124:$AA$139,S$141,FALSE)&lt;S$166,1,0)),"")</f>
        <v/>
      </c>
      <c r="T181" s="169" t="str">
        <f t="shared" si="232"/>
        <v/>
      </c>
      <c r="U181" s="169" t="str">
        <f t="shared" si="232"/>
        <v/>
      </c>
      <c r="V181" s="169" t="str">
        <f t="shared" si="232"/>
        <v/>
      </c>
      <c r="W181" s="169" t="str">
        <f t="shared" si="232"/>
        <v/>
      </c>
      <c r="X181" s="169" t="str">
        <f t="shared" si="232"/>
        <v/>
      </c>
      <c r="Y181" s="169" t="str">
        <f t="shared" si="232"/>
        <v/>
      </c>
      <c r="Z181" s="169" t="str">
        <f t="shared" si="232"/>
        <v/>
      </c>
      <c r="AA181" s="169" t="str">
        <f t="shared" si="232"/>
        <v/>
      </c>
      <c r="AB181" s="75">
        <f t="shared" si="208"/>
        <v>0</v>
      </c>
      <c r="AC181" s="39"/>
      <c r="AD181" s="1"/>
      <c r="AE181" s="1"/>
      <c r="AF181" s="1"/>
    </row>
    <row r="182" ht="15.75" customHeight="1">
      <c r="A182" s="60"/>
      <c r="B182" s="60"/>
      <c r="C182" s="1"/>
      <c r="D182" s="1"/>
      <c r="E182" s="1"/>
      <c r="F182" s="73" t="str">
        <f t="shared" si="205"/>
        <v>SKYLAR</v>
      </c>
      <c r="G182" s="142"/>
      <c r="H182" s="169" t="str">
        <f t="shared" ref="H182:P182" si="233">IFERROR(IF(VLOOKUP($F182,$F$124:$AA$139,H$141,FALSE)=0,"",IF(VLOOKUP($F182,$F$124:$AA$139,H$141,FALSE)&lt;H$166,1,0)),"")</f>
        <v/>
      </c>
      <c r="I182" s="169" t="str">
        <f t="shared" si="233"/>
        <v/>
      </c>
      <c r="J182" s="169" t="str">
        <f t="shared" si="233"/>
        <v/>
      </c>
      <c r="K182" s="169" t="str">
        <f t="shared" si="233"/>
        <v/>
      </c>
      <c r="L182" s="169" t="str">
        <f t="shared" si="233"/>
        <v/>
      </c>
      <c r="M182" s="169" t="str">
        <f t="shared" si="233"/>
        <v/>
      </c>
      <c r="N182" s="169" t="str">
        <f t="shared" si="233"/>
        <v/>
      </c>
      <c r="O182" s="169" t="str">
        <f t="shared" si="233"/>
        <v/>
      </c>
      <c r="P182" s="169" t="str">
        <f t="shared" si="233"/>
        <v/>
      </c>
      <c r="Q182" s="51"/>
      <c r="R182" s="51"/>
      <c r="S182" s="169" t="str">
        <f t="shared" ref="S182:AA182" si="234">IFERROR(IF(VLOOKUP($F182,$F$124:$AA$139,S$141,FALSE)=0,"",IF(VLOOKUP($F182,$F$124:$AA$139,S$141,FALSE)&lt;S$166,1,0)),"")</f>
        <v/>
      </c>
      <c r="T182" s="169" t="str">
        <f t="shared" si="234"/>
        <v/>
      </c>
      <c r="U182" s="169" t="str">
        <f t="shared" si="234"/>
        <v/>
      </c>
      <c r="V182" s="169" t="str">
        <f t="shared" si="234"/>
        <v/>
      </c>
      <c r="W182" s="169" t="str">
        <f t="shared" si="234"/>
        <v/>
      </c>
      <c r="X182" s="169" t="str">
        <f t="shared" si="234"/>
        <v/>
      </c>
      <c r="Y182" s="169" t="str">
        <f t="shared" si="234"/>
        <v/>
      </c>
      <c r="Z182" s="169" t="str">
        <f t="shared" si="234"/>
        <v/>
      </c>
      <c r="AA182" s="169" t="str">
        <f t="shared" si="234"/>
        <v/>
      </c>
      <c r="AB182" s="75">
        <f t="shared" si="208"/>
        <v>0</v>
      </c>
      <c r="AC182" s="39"/>
      <c r="AD182" s="1"/>
      <c r="AE182" s="1"/>
      <c r="AF182" s="1"/>
    </row>
    <row r="183" ht="15.75" customHeight="1">
      <c r="A183" s="60"/>
      <c r="B183" s="60"/>
      <c r="C183" s="1"/>
      <c r="D183" s="1"/>
      <c r="E183" s="1"/>
      <c r="F183" s="73" t="str">
        <f t="shared" si="205"/>
        <v>RYAN</v>
      </c>
      <c r="G183" s="142"/>
      <c r="H183" s="169" t="str">
        <f t="shared" ref="H183:P183" si="235">IFERROR(IF(VLOOKUP($F183,$F$124:$AA$139,H$141,FALSE)=0,"",IF(VLOOKUP($F183,$F$124:$AA$139,H$141,FALSE)&lt;H$166,1,0)),"")</f>
        <v/>
      </c>
      <c r="I183" s="169" t="str">
        <f t="shared" si="235"/>
        <v/>
      </c>
      <c r="J183" s="169" t="str">
        <f t="shared" si="235"/>
        <v/>
      </c>
      <c r="K183" s="169" t="str">
        <f t="shared" si="235"/>
        <v/>
      </c>
      <c r="L183" s="169" t="str">
        <f t="shared" si="235"/>
        <v/>
      </c>
      <c r="M183" s="169" t="str">
        <f t="shared" si="235"/>
        <v/>
      </c>
      <c r="N183" s="169" t="str">
        <f t="shared" si="235"/>
        <v/>
      </c>
      <c r="O183" s="169" t="str">
        <f t="shared" si="235"/>
        <v/>
      </c>
      <c r="P183" s="169" t="str">
        <f t="shared" si="235"/>
        <v/>
      </c>
      <c r="Q183" s="51"/>
      <c r="R183" s="51"/>
      <c r="S183" s="169" t="str">
        <f t="shared" ref="S183:AA183" si="236">IFERROR(IF(VLOOKUP($F183,$F$124:$AA$139,S$141,FALSE)=0,"",IF(VLOOKUP($F183,$F$124:$AA$139,S$141,FALSE)&lt;S$166,1,0)),"")</f>
        <v/>
      </c>
      <c r="T183" s="169" t="str">
        <f t="shared" si="236"/>
        <v/>
      </c>
      <c r="U183" s="169" t="str">
        <f t="shared" si="236"/>
        <v/>
      </c>
      <c r="V183" s="169" t="str">
        <f t="shared" si="236"/>
        <v/>
      </c>
      <c r="W183" s="169" t="str">
        <f t="shared" si="236"/>
        <v/>
      </c>
      <c r="X183" s="169" t="str">
        <f t="shared" si="236"/>
        <v/>
      </c>
      <c r="Y183" s="169" t="str">
        <f t="shared" si="236"/>
        <v/>
      </c>
      <c r="Z183" s="169" t="str">
        <f t="shared" si="236"/>
        <v/>
      </c>
      <c r="AA183" s="169" t="str">
        <f t="shared" si="236"/>
        <v/>
      </c>
      <c r="AB183" s="75">
        <f t="shared" si="208"/>
        <v>0</v>
      </c>
      <c r="AC183" s="39"/>
      <c r="AD183" s="1"/>
      <c r="AE183" s="1"/>
      <c r="AF183" s="1"/>
    </row>
    <row r="184" ht="7.5" customHeight="1">
      <c r="A184" s="60"/>
      <c r="B184" s="60"/>
      <c r="C184" s="1"/>
      <c r="D184" s="1"/>
      <c r="E184" s="1"/>
      <c r="F184" s="9"/>
      <c r="G184" s="9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10"/>
      <c r="AC184" s="39"/>
      <c r="AD184" s="1"/>
      <c r="AE184" s="1"/>
      <c r="AF184" s="1"/>
    </row>
    <row r="185" ht="24.75" customHeight="1">
      <c r="A185" s="60"/>
      <c r="B185" s="60"/>
      <c r="C185" s="1"/>
      <c r="D185" s="1"/>
      <c r="E185" s="1"/>
      <c r="F185" s="180" t="s">
        <v>31</v>
      </c>
      <c r="G185" s="142"/>
      <c r="H185" s="66">
        <f t="shared" ref="H185:P185" si="237">SUM(H168:H183)</f>
        <v>0</v>
      </c>
      <c r="I185" s="66">
        <f t="shared" si="237"/>
        <v>0</v>
      </c>
      <c r="J185" s="66">
        <f t="shared" si="237"/>
        <v>0</v>
      </c>
      <c r="K185" s="66">
        <f t="shared" si="237"/>
        <v>0</v>
      </c>
      <c r="L185" s="66">
        <f t="shared" si="237"/>
        <v>0</v>
      </c>
      <c r="M185" s="66">
        <f t="shared" si="237"/>
        <v>0</v>
      </c>
      <c r="N185" s="66">
        <f t="shared" si="237"/>
        <v>0</v>
      </c>
      <c r="O185" s="66">
        <f t="shared" si="237"/>
        <v>0</v>
      </c>
      <c r="P185" s="66">
        <f t="shared" si="237"/>
        <v>0</v>
      </c>
      <c r="Q185" s="1"/>
      <c r="R185" s="1"/>
      <c r="S185" s="66">
        <f t="shared" ref="S185:AB185" si="238">SUM(S168:S183)</f>
        <v>0</v>
      </c>
      <c r="T185" s="66">
        <f t="shared" si="238"/>
        <v>0</v>
      </c>
      <c r="U185" s="66">
        <f t="shared" si="238"/>
        <v>0</v>
      </c>
      <c r="V185" s="66">
        <f t="shared" si="238"/>
        <v>0</v>
      </c>
      <c r="W185" s="66">
        <f t="shared" si="238"/>
        <v>0</v>
      </c>
      <c r="X185" s="66">
        <f t="shared" si="238"/>
        <v>0</v>
      </c>
      <c r="Y185" s="66">
        <f t="shared" si="238"/>
        <v>0</v>
      </c>
      <c r="Z185" s="66">
        <f t="shared" si="238"/>
        <v>0</v>
      </c>
      <c r="AA185" s="66">
        <f t="shared" si="238"/>
        <v>0</v>
      </c>
      <c r="AB185" s="66">
        <f t="shared" si="238"/>
        <v>0</v>
      </c>
      <c r="AC185" s="1"/>
      <c r="AD185" s="1"/>
      <c r="AE185" s="1"/>
      <c r="AF185" s="1"/>
    </row>
    <row r="186" ht="14.25" customHeight="1">
      <c r="A186" s="60"/>
      <c r="B186" s="6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4.25" customHeight="1">
      <c r="A187" s="60"/>
      <c r="B187" s="6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4.25" customHeight="1">
      <c r="A188" s="60"/>
      <c r="B188" s="6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4.25" customHeight="1">
      <c r="A189" s="60"/>
      <c r="B189" s="6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4.25" customHeight="1">
      <c r="A190" s="60"/>
      <c r="B190" s="6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4.25" customHeight="1">
      <c r="A191" s="60"/>
      <c r="B191" s="6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4.25" customHeight="1">
      <c r="A192" s="60"/>
      <c r="B192" s="6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4.25" customHeight="1">
      <c r="A193" s="60"/>
      <c r="B193" s="6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4.25" customHeight="1">
      <c r="A194" s="60"/>
      <c r="B194" s="6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4.25" customHeight="1">
      <c r="A195" s="60"/>
      <c r="B195" s="6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4.25" customHeight="1">
      <c r="A196" s="60"/>
      <c r="B196" s="6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4.25" customHeight="1">
      <c r="A197" s="60"/>
      <c r="B197" s="6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4.25" customHeight="1">
      <c r="A198" s="60"/>
      <c r="B198" s="6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4.25" customHeight="1">
      <c r="A199" s="60"/>
      <c r="B199" s="6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4.25" customHeight="1">
      <c r="A200" s="60"/>
      <c r="B200" s="6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4.25" customHeight="1">
      <c r="A201" s="60"/>
      <c r="B201" s="6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4.25" customHeight="1">
      <c r="A202" s="60"/>
      <c r="B202" s="6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4.25" customHeight="1">
      <c r="A203" s="60"/>
      <c r="B203" s="6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4.25" customHeight="1">
      <c r="A204" s="60"/>
      <c r="B204" s="6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4.25" customHeight="1">
      <c r="A205" s="60"/>
      <c r="B205" s="6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4.25" customHeight="1">
      <c r="A206" s="60"/>
      <c r="B206" s="6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4.25" customHeight="1">
      <c r="A207" s="60"/>
      <c r="B207" s="6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4.25" customHeight="1">
      <c r="A208" s="60"/>
      <c r="B208" s="6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4.25" customHeight="1">
      <c r="A209" s="60"/>
      <c r="B209" s="6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4.25" customHeight="1">
      <c r="A210" s="60"/>
      <c r="B210" s="6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4.25" customHeight="1">
      <c r="A211" s="60"/>
      <c r="B211" s="6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4.25" customHeight="1">
      <c r="A212" s="60"/>
      <c r="B212" s="6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4.25" customHeight="1">
      <c r="A213" s="60"/>
      <c r="B213" s="6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4.25" customHeight="1">
      <c r="A214" s="60"/>
      <c r="B214" s="6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4.25" customHeight="1">
      <c r="A215" s="60"/>
      <c r="B215" s="6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4.25" customHeight="1">
      <c r="A216" s="60"/>
      <c r="B216" s="6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4.25" customHeight="1">
      <c r="A217" s="60"/>
      <c r="B217" s="6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4.25" customHeight="1">
      <c r="A218" s="60"/>
      <c r="B218" s="6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4.25" customHeight="1">
      <c r="A219" s="60"/>
      <c r="B219" s="6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4.25" customHeight="1">
      <c r="A220" s="60"/>
      <c r="B220" s="6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4.25" customHeight="1">
      <c r="A221" s="60"/>
      <c r="B221" s="6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4.25" customHeight="1">
      <c r="A222" s="60"/>
      <c r="B222" s="6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4.25" customHeight="1">
      <c r="A223" s="60"/>
      <c r="B223" s="6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4.25" customHeight="1">
      <c r="A224" s="60"/>
      <c r="B224" s="6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4.25" customHeight="1">
      <c r="A225" s="60"/>
      <c r="B225" s="6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4.25" customHeight="1">
      <c r="A226" s="60"/>
      <c r="B226" s="6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4.25" customHeight="1">
      <c r="A227" s="60"/>
      <c r="B227" s="6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4.25" customHeight="1">
      <c r="A228" s="60"/>
      <c r="B228" s="6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4.25" customHeight="1">
      <c r="A229" s="60"/>
      <c r="B229" s="6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4.25" customHeight="1">
      <c r="A230" s="60"/>
      <c r="B230" s="6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4.25" customHeight="1">
      <c r="A231" s="60"/>
      <c r="B231" s="6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4.25" customHeight="1">
      <c r="A232" s="60"/>
      <c r="B232" s="6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4.25" customHeight="1">
      <c r="A233" s="60"/>
      <c r="B233" s="6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4.25" customHeight="1">
      <c r="A234" s="60"/>
      <c r="B234" s="6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4.25" customHeight="1">
      <c r="A235" s="60"/>
      <c r="B235" s="6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4.25" customHeight="1">
      <c r="A236" s="60"/>
      <c r="B236" s="6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4.25" customHeight="1">
      <c r="A237" s="60"/>
      <c r="B237" s="6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4.25" customHeight="1">
      <c r="A238" s="60"/>
      <c r="B238" s="6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4.25" customHeight="1">
      <c r="A239" s="60"/>
      <c r="B239" s="6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4.25" customHeight="1">
      <c r="A240" s="60"/>
      <c r="B240" s="6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4.25" customHeight="1">
      <c r="A241" s="60"/>
      <c r="B241" s="6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4.25" customHeight="1">
      <c r="A242" s="60"/>
      <c r="B242" s="6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4.25" customHeight="1">
      <c r="A243" s="60"/>
      <c r="B243" s="6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4.25" customHeight="1">
      <c r="A244" s="60"/>
      <c r="B244" s="6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4.25" customHeight="1">
      <c r="A245" s="60"/>
      <c r="B245" s="6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4.25" customHeight="1">
      <c r="A246" s="60"/>
      <c r="B246" s="6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4.25" customHeight="1">
      <c r="A247" s="60"/>
      <c r="B247" s="6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4.25" customHeight="1">
      <c r="A248" s="60"/>
      <c r="B248" s="6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4.25" customHeight="1">
      <c r="A249" s="60"/>
      <c r="B249" s="6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4.25" customHeight="1">
      <c r="A250" s="60"/>
      <c r="B250" s="6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4.25" customHeight="1">
      <c r="A251" s="60"/>
      <c r="B251" s="6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4.25" customHeight="1">
      <c r="A252" s="60"/>
      <c r="B252" s="6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4.25" customHeight="1">
      <c r="A253" s="60"/>
      <c r="B253" s="6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4.25" customHeight="1">
      <c r="A254" s="60"/>
      <c r="B254" s="6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4.25" customHeight="1">
      <c r="A255" s="60"/>
      <c r="B255" s="6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4.25" customHeight="1">
      <c r="A256" s="60"/>
      <c r="B256" s="6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4.25" customHeight="1">
      <c r="A257" s="60"/>
      <c r="B257" s="6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4.25" customHeight="1">
      <c r="A258" s="60"/>
      <c r="B258" s="6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4.25" customHeight="1">
      <c r="A259" s="60"/>
      <c r="B259" s="6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4.25" customHeight="1">
      <c r="A260" s="60"/>
      <c r="B260" s="6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4.25" customHeight="1">
      <c r="A261" s="60"/>
      <c r="B261" s="6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4.25" customHeight="1">
      <c r="A262" s="60"/>
      <c r="B262" s="6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4.25" customHeight="1">
      <c r="A263" s="60"/>
      <c r="B263" s="6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4.25" customHeight="1">
      <c r="A264" s="60"/>
      <c r="B264" s="6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4.25" customHeight="1">
      <c r="A265" s="60"/>
      <c r="B265" s="6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4.25" customHeight="1">
      <c r="A266" s="60"/>
      <c r="B266" s="6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4.25" customHeight="1">
      <c r="A267" s="60"/>
      <c r="B267" s="6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4.25" customHeight="1">
      <c r="A268" s="60"/>
      <c r="B268" s="6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4.25" customHeight="1">
      <c r="A269" s="60"/>
      <c r="B269" s="6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4.25" customHeight="1">
      <c r="A270" s="60"/>
      <c r="B270" s="6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4.25" customHeight="1">
      <c r="A271" s="60"/>
      <c r="B271" s="6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4.25" customHeight="1">
      <c r="A272" s="60"/>
      <c r="B272" s="6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4.25" customHeight="1">
      <c r="A273" s="60"/>
      <c r="B273" s="6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4.25" customHeight="1">
      <c r="A274" s="60"/>
      <c r="B274" s="6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4.25" customHeight="1">
      <c r="A275" s="60"/>
      <c r="B275" s="6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4.25" customHeight="1">
      <c r="A276" s="60"/>
      <c r="B276" s="6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4.25" customHeight="1">
      <c r="A277" s="60"/>
      <c r="B277" s="6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4.25" customHeight="1">
      <c r="A278" s="60"/>
      <c r="B278" s="6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4.25" customHeight="1">
      <c r="A279" s="60"/>
      <c r="B279" s="6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4.25" customHeight="1">
      <c r="A280" s="60"/>
      <c r="B280" s="6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4.25" customHeight="1">
      <c r="A281" s="60"/>
      <c r="B281" s="6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4.25" customHeight="1">
      <c r="A282" s="60"/>
      <c r="B282" s="6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4.25" customHeight="1">
      <c r="A283" s="60"/>
      <c r="B283" s="6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4.25" customHeight="1">
      <c r="A284" s="60"/>
      <c r="B284" s="6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4.25" customHeight="1">
      <c r="A285" s="60"/>
      <c r="B285" s="6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4.25" customHeight="1">
      <c r="A286" s="60"/>
      <c r="B286" s="6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4.25" customHeight="1">
      <c r="A287" s="60"/>
      <c r="B287" s="6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4.25" customHeight="1">
      <c r="A288" s="60"/>
      <c r="B288" s="6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4.25" customHeight="1">
      <c r="A289" s="60"/>
      <c r="B289" s="6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4.25" customHeight="1">
      <c r="A290" s="60"/>
      <c r="B290" s="6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4.25" customHeight="1">
      <c r="A291" s="60"/>
      <c r="B291" s="6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4.25" customHeight="1">
      <c r="A292" s="60"/>
      <c r="B292" s="6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4.25" customHeight="1">
      <c r="A293" s="60"/>
      <c r="B293" s="6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4.25" customHeight="1">
      <c r="A294" s="60"/>
      <c r="B294" s="6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4.25" customHeight="1">
      <c r="A295" s="60"/>
      <c r="B295" s="6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4.25" customHeight="1">
      <c r="A296" s="60"/>
      <c r="B296" s="6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4.25" customHeight="1">
      <c r="A297" s="60"/>
      <c r="B297" s="6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4.25" customHeight="1">
      <c r="A298" s="60"/>
      <c r="B298" s="6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4.25" customHeight="1">
      <c r="A299" s="60"/>
      <c r="B299" s="6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4.25" customHeight="1">
      <c r="A300" s="60"/>
      <c r="B300" s="6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4.25" customHeight="1">
      <c r="A301" s="60"/>
      <c r="B301" s="6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4.25" customHeight="1">
      <c r="A302" s="60"/>
      <c r="B302" s="6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4.25" customHeight="1">
      <c r="A303" s="60"/>
      <c r="B303" s="6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4.25" customHeight="1">
      <c r="A304" s="60"/>
      <c r="B304" s="6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4.25" customHeight="1">
      <c r="A305" s="60"/>
      <c r="B305" s="6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4.25" customHeight="1">
      <c r="A306" s="60"/>
      <c r="B306" s="6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4.25" customHeight="1">
      <c r="A307" s="60"/>
      <c r="B307" s="6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4.25" customHeight="1">
      <c r="A308" s="60"/>
      <c r="B308" s="6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4.25" customHeight="1">
      <c r="A309" s="60"/>
      <c r="B309" s="6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4.25" customHeight="1">
      <c r="A310" s="60"/>
      <c r="B310" s="6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4.25" customHeight="1">
      <c r="A311" s="60"/>
      <c r="B311" s="6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4.25" customHeight="1">
      <c r="A312" s="60"/>
      <c r="B312" s="6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4.25" customHeight="1">
      <c r="A313" s="60"/>
      <c r="B313" s="6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4.25" customHeight="1">
      <c r="A314" s="60"/>
      <c r="B314" s="6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4.25" customHeight="1">
      <c r="A315" s="60"/>
      <c r="B315" s="6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4.25" customHeight="1">
      <c r="A316" s="60"/>
      <c r="B316" s="6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4.25" customHeight="1">
      <c r="A317" s="60"/>
      <c r="B317" s="6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4.25" customHeight="1">
      <c r="A318" s="60"/>
      <c r="B318" s="6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4.25" customHeight="1">
      <c r="A319" s="60"/>
      <c r="B319" s="6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4.25" customHeight="1">
      <c r="A320" s="60"/>
      <c r="B320" s="6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4.25" customHeight="1">
      <c r="A321" s="60"/>
      <c r="B321" s="6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4.25" customHeight="1">
      <c r="A322" s="60"/>
      <c r="B322" s="6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4.25" customHeight="1">
      <c r="A323" s="60"/>
      <c r="B323" s="6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4.25" customHeight="1">
      <c r="A324" s="60"/>
      <c r="B324" s="6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4.25" customHeight="1">
      <c r="A325" s="60"/>
      <c r="B325" s="6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4.25" customHeight="1">
      <c r="A326" s="60"/>
      <c r="B326" s="6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4.25" customHeight="1">
      <c r="A327" s="60"/>
      <c r="B327" s="6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4.25" customHeight="1">
      <c r="A328" s="60"/>
      <c r="B328" s="6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4.25" customHeight="1">
      <c r="A329" s="60"/>
      <c r="B329" s="6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4.25" customHeight="1">
      <c r="A330" s="60"/>
      <c r="B330" s="6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4.25" customHeight="1">
      <c r="A331" s="60"/>
      <c r="B331" s="6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4.25" customHeight="1">
      <c r="A332" s="60"/>
      <c r="B332" s="6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4.25" customHeight="1">
      <c r="A333" s="60"/>
      <c r="B333" s="6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4.25" customHeight="1">
      <c r="A334" s="60"/>
      <c r="B334" s="6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4.25" customHeight="1">
      <c r="A335" s="60"/>
      <c r="B335" s="6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4.25" customHeight="1">
      <c r="A336" s="60"/>
      <c r="B336" s="6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4.25" customHeight="1">
      <c r="A337" s="60"/>
      <c r="B337" s="6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4.25" customHeight="1">
      <c r="A338" s="60"/>
      <c r="B338" s="6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4.25" customHeight="1">
      <c r="A339" s="60"/>
      <c r="B339" s="6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4.25" customHeight="1">
      <c r="A340" s="60"/>
      <c r="B340" s="6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4.25" customHeight="1">
      <c r="A341" s="60"/>
      <c r="B341" s="6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4.25" customHeight="1">
      <c r="A342" s="60"/>
      <c r="B342" s="6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4.25" customHeight="1">
      <c r="A343" s="60"/>
      <c r="B343" s="6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4.25" customHeight="1">
      <c r="A344" s="60"/>
      <c r="B344" s="6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4.25" customHeight="1">
      <c r="A345" s="60"/>
      <c r="B345" s="6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4.25" customHeight="1">
      <c r="A346" s="60"/>
      <c r="B346" s="6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4.25" customHeight="1">
      <c r="A347" s="60"/>
      <c r="B347" s="6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4.25" customHeight="1">
      <c r="A348" s="60"/>
      <c r="B348" s="6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4.25" customHeight="1">
      <c r="A349" s="60"/>
      <c r="B349" s="6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4.25" customHeight="1">
      <c r="A350" s="60"/>
      <c r="B350" s="6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4.25" customHeight="1">
      <c r="A351" s="60"/>
      <c r="B351" s="6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4.25" customHeight="1">
      <c r="A352" s="60"/>
      <c r="B352" s="6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4.25" customHeight="1">
      <c r="A353" s="60"/>
      <c r="B353" s="6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4.25" customHeight="1">
      <c r="A354" s="60"/>
      <c r="B354" s="6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4.25" customHeight="1">
      <c r="A355" s="60"/>
      <c r="B355" s="6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4.25" customHeight="1">
      <c r="A356" s="60"/>
      <c r="B356" s="6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4.25" customHeight="1">
      <c r="A357" s="60"/>
      <c r="B357" s="6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4.25" customHeight="1">
      <c r="A358" s="60"/>
      <c r="B358" s="6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4.25" customHeight="1">
      <c r="A359" s="60"/>
      <c r="B359" s="6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4.25" customHeight="1">
      <c r="A360" s="60"/>
      <c r="B360" s="6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4.25" customHeight="1">
      <c r="A361" s="60"/>
      <c r="B361" s="6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4.25" customHeight="1">
      <c r="A362" s="60"/>
      <c r="B362" s="6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4.25" customHeight="1">
      <c r="A363" s="60"/>
      <c r="B363" s="6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4.25" customHeight="1">
      <c r="A364" s="60"/>
      <c r="B364" s="6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4.25" customHeight="1">
      <c r="A365" s="60"/>
      <c r="B365" s="6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4.25" customHeight="1">
      <c r="A366" s="60"/>
      <c r="B366" s="6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4.25" customHeight="1">
      <c r="A367" s="60"/>
      <c r="B367" s="6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4.25" customHeight="1">
      <c r="A368" s="60"/>
      <c r="B368" s="6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4.25" customHeight="1">
      <c r="A369" s="60"/>
      <c r="B369" s="6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4.25" customHeight="1">
      <c r="A370" s="60"/>
      <c r="B370" s="6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4.25" customHeight="1">
      <c r="A371" s="60"/>
      <c r="B371" s="6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4.25" customHeight="1">
      <c r="A372" s="60"/>
      <c r="B372" s="6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4.25" customHeight="1">
      <c r="A373" s="60"/>
      <c r="B373" s="6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4.25" customHeight="1">
      <c r="A374" s="60"/>
      <c r="B374" s="6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4.25" customHeight="1">
      <c r="A375" s="60"/>
      <c r="B375" s="6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4.25" customHeight="1">
      <c r="A376" s="60"/>
      <c r="B376" s="6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4.25" customHeight="1">
      <c r="A377" s="60"/>
      <c r="B377" s="6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4.25" customHeight="1">
      <c r="A378" s="60"/>
      <c r="B378" s="6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4.25" customHeight="1">
      <c r="A379" s="60"/>
      <c r="B379" s="6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4.25" customHeight="1">
      <c r="A380" s="60"/>
      <c r="B380" s="6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4.25" customHeight="1">
      <c r="A381" s="60"/>
      <c r="B381" s="6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4.25" customHeight="1">
      <c r="A382" s="60"/>
      <c r="B382" s="6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4.25" customHeight="1">
      <c r="A383" s="60"/>
      <c r="B383" s="6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4.25" customHeight="1">
      <c r="A384" s="60"/>
      <c r="B384" s="6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4.25" customHeight="1">
      <c r="A385" s="60"/>
      <c r="B385" s="6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</row>
  </sheetData>
  <mergeCells count="82">
    <mergeCell ref="F68:F69"/>
    <mergeCell ref="G68:G69"/>
    <mergeCell ref="F70:F71"/>
    <mergeCell ref="G70:G71"/>
    <mergeCell ref="F73:G73"/>
    <mergeCell ref="F74:G74"/>
    <mergeCell ref="F78:AC78"/>
    <mergeCell ref="J79:N79"/>
    <mergeCell ref="V79:Z79"/>
    <mergeCell ref="F81:F82"/>
    <mergeCell ref="F85:F86"/>
    <mergeCell ref="G85:G86"/>
    <mergeCell ref="F87:F88"/>
    <mergeCell ref="G87:G88"/>
    <mergeCell ref="F90:G90"/>
    <mergeCell ref="F91:G91"/>
    <mergeCell ref="F93:F94"/>
    <mergeCell ref="G93:G94"/>
    <mergeCell ref="F95:F96"/>
    <mergeCell ref="G95:G96"/>
    <mergeCell ref="F98:G98"/>
    <mergeCell ref="F99:G99"/>
    <mergeCell ref="F161:G161"/>
    <mergeCell ref="F168:G168"/>
    <mergeCell ref="F169:G169"/>
    <mergeCell ref="F170:G170"/>
    <mergeCell ref="F171:G171"/>
    <mergeCell ref="F172:G172"/>
    <mergeCell ref="F180:G180"/>
    <mergeCell ref="F181:G181"/>
    <mergeCell ref="F182:G182"/>
    <mergeCell ref="F183:G183"/>
    <mergeCell ref="F185:G185"/>
    <mergeCell ref="F173:G173"/>
    <mergeCell ref="F174:G174"/>
    <mergeCell ref="F175:G175"/>
    <mergeCell ref="F176:G176"/>
    <mergeCell ref="F177:G177"/>
    <mergeCell ref="F178:G178"/>
    <mergeCell ref="F179:G179"/>
    <mergeCell ref="F3:AC3"/>
    <mergeCell ref="J4:N4"/>
    <mergeCell ref="V4:Z4"/>
    <mergeCell ref="F6:F7"/>
    <mergeCell ref="F10:F11"/>
    <mergeCell ref="G10:G11"/>
    <mergeCell ref="F12:F13"/>
    <mergeCell ref="F23:G23"/>
    <mergeCell ref="F24:G24"/>
    <mergeCell ref="F28:AC28"/>
    <mergeCell ref="J29:N29"/>
    <mergeCell ref="V29:Z29"/>
    <mergeCell ref="G12:G13"/>
    <mergeCell ref="F15:G15"/>
    <mergeCell ref="F16:G16"/>
    <mergeCell ref="F18:F19"/>
    <mergeCell ref="G18:G19"/>
    <mergeCell ref="F20:F21"/>
    <mergeCell ref="G20:G21"/>
    <mergeCell ref="J54:N54"/>
    <mergeCell ref="V54:Z54"/>
    <mergeCell ref="F43:F44"/>
    <mergeCell ref="G43:G44"/>
    <mergeCell ref="F45:F46"/>
    <mergeCell ref="G45:G46"/>
    <mergeCell ref="F48:G48"/>
    <mergeCell ref="F49:G49"/>
    <mergeCell ref="F53:AC53"/>
    <mergeCell ref="F31:F32"/>
    <mergeCell ref="F35:F36"/>
    <mergeCell ref="G35:G36"/>
    <mergeCell ref="F37:F38"/>
    <mergeCell ref="G37:G38"/>
    <mergeCell ref="F40:G40"/>
    <mergeCell ref="F41:G41"/>
    <mergeCell ref="F56:F57"/>
    <mergeCell ref="F60:F61"/>
    <mergeCell ref="G60:G61"/>
    <mergeCell ref="F62:F63"/>
    <mergeCell ref="G62:G63"/>
    <mergeCell ref="F65:G65"/>
    <mergeCell ref="F66:G66"/>
  </mergeCells>
  <conditionalFormatting sqref="H144:P144">
    <cfRule type="expression" dxfId="0" priority="1">
      <formula>AND(H144=H$161,H$163="1")</formula>
    </cfRule>
  </conditionalFormatting>
  <conditionalFormatting sqref="I144:P144">
    <cfRule type="expression" dxfId="0" priority="2">
      <formula>AND(I144=$H$161,$H$163="1")</formula>
    </cfRule>
  </conditionalFormatting>
  <conditionalFormatting sqref="H145:P159">
    <cfRule type="expression" dxfId="0" priority="3">
      <formula>AND(H145=H$161,H$163="1")</formula>
    </cfRule>
  </conditionalFormatting>
  <conditionalFormatting sqref="I145:P159">
    <cfRule type="expression" dxfId="0" priority="4">
      <formula>AND(I145=$H$161,$H$163="1")</formula>
    </cfRule>
  </conditionalFormatting>
  <conditionalFormatting sqref="S144:AA144">
    <cfRule type="expression" dxfId="0" priority="5">
      <formula>AND(S144=S$161,S$163="1")</formula>
    </cfRule>
  </conditionalFormatting>
  <conditionalFormatting sqref="T144:AA144">
    <cfRule type="expression" dxfId="0" priority="6">
      <formula>AND(T144=$H$161,$H$163="1")</formula>
    </cfRule>
  </conditionalFormatting>
  <conditionalFormatting sqref="S145:AA159">
    <cfRule type="expression" dxfId="0" priority="7">
      <formula>AND(S145=S$161,S$163="1")</formula>
    </cfRule>
  </conditionalFormatting>
  <conditionalFormatting sqref="T145:AA159">
    <cfRule type="expression" dxfId="0" priority="8">
      <formula>AND(T145=$H$161,$H$163="1")</formula>
    </cfRule>
  </conditionalFormatting>
  <conditionalFormatting sqref="H168:P183">
    <cfRule type="expression" dxfId="0" priority="9">
      <formula>H168=1</formula>
    </cfRule>
  </conditionalFormatting>
  <conditionalFormatting sqref="I168">
    <cfRule type="expression" dxfId="0" priority="10">
      <formula>AND(I168=$H$161,$H$163="1")</formula>
    </cfRule>
  </conditionalFormatting>
  <conditionalFormatting sqref="H169:I183">
    <cfRule type="expression" dxfId="0" priority="11">
      <formula>AND(H169=H$161,H$163="1")</formula>
    </cfRule>
  </conditionalFormatting>
  <conditionalFormatting sqref="I169:I183">
    <cfRule type="expression" dxfId="0" priority="12">
      <formula>AND(I169=$H$161,$H$163="1")</formula>
    </cfRule>
  </conditionalFormatting>
  <conditionalFormatting sqref="J168:P168">
    <cfRule type="expression" dxfId="0" priority="13">
      <formula>AND(J168=J$161,J$163="1")</formula>
    </cfRule>
  </conditionalFormatting>
  <conditionalFormatting sqref="J168:P168">
    <cfRule type="expression" dxfId="0" priority="14">
      <formula>AND(J168=$H$161,$H$163="1")</formula>
    </cfRule>
  </conditionalFormatting>
  <conditionalFormatting sqref="J169:P183">
    <cfRule type="expression" dxfId="0" priority="15">
      <formula>AND(J169=J$161,J$163="1")</formula>
    </cfRule>
  </conditionalFormatting>
  <conditionalFormatting sqref="J169:P183">
    <cfRule type="expression" dxfId="0" priority="16">
      <formula>AND(J169=$H$161,$H$163="1")</formula>
    </cfRule>
  </conditionalFormatting>
  <conditionalFormatting sqref="S168:AB183">
    <cfRule type="expression" dxfId="0" priority="17">
      <formula>S168&gt;=1</formula>
    </cfRule>
  </conditionalFormatting>
  <dataValidations>
    <dataValidation type="list" allowBlank="1" showErrorMessage="1" sqref="F10 F12 F18 F20 F35 F37 F43 F45 F60 F62 F68 F70 F85 F87 F93 F95 F144:F159">
      <formula1>HANDICAPS!$B$8:$B$23</formula1>
    </dataValidation>
    <dataValidation type="list" allowBlank="1" showErrorMessage="1" sqref="G144:G159">
      <formula1>$D$144:$D$145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4.0"/>
    <col customWidth="1" hidden="1" min="4" max="4" width="3.38"/>
    <col customWidth="1" min="5" max="5" width="0.75"/>
    <col customWidth="1" min="6" max="6" width="32.75"/>
    <col customWidth="1" min="7" max="7" width="9.88"/>
    <col customWidth="1" min="8" max="17" width="5.88"/>
    <col customWidth="1" min="18" max="18" width="1.5"/>
    <col customWidth="1" min="19" max="28" width="5.88"/>
    <col customWidth="1" min="29" max="29" width="7.13"/>
    <col customWidth="1" min="30" max="30" width="1.13"/>
    <col customWidth="1" min="31" max="32" width="20.63"/>
  </cols>
  <sheetData>
    <row r="1" ht="9.75" hidden="1" customHeight="1">
      <c r="B1" s="18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6.75" customHeight="1">
      <c r="B2" s="181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  <c r="AA2" s="4"/>
      <c r="AB2" s="4"/>
      <c r="AC2" s="4"/>
      <c r="AD2" s="5"/>
      <c r="AE2" s="1"/>
      <c r="AF2" s="1"/>
    </row>
    <row r="3">
      <c r="B3" s="181"/>
      <c r="C3" s="1"/>
      <c r="D3" s="6">
        <v>3.0</v>
      </c>
      <c r="E3" s="7"/>
      <c r="F3" s="140" t="s">
        <v>151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2"/>
      <c r="AD3" s="12"/>
      <c r="AE3" s="1"/>
      <c r="AF3" s="1"/>
    </row>
    <row r="4" ht="18.75" customHeight="1">
      <c r="B4" s="181"/>
      <c r="C4" s="1"/>
      <c r="D4" s="1"/>
      <c r="E4" s="7"/>
      <c r="F4" s="1"/>
      <c r="G4" s="1"/>
      <c r="H4" s="1"/>
      <c r="I4" s="1"/>
      <c r="J4" s="13" t="s">
        <v>152</v>
      </c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3" t="s">
        <v>153</v>
      </c>
      <c r="W4" s="14"/>
      <c r="X4" s="14"/>
      <c r="Y4" s="14"/>
      <c r="Z4" s="14"/>
      <c r="AA4" s="1"/>
      <c r="AB4" s="1"/>
      <c r="AC4" s="1"/>
      <c r="AD4" s="12"/>
      <c r="AE4" s="1"/>
      <c r="AF4" s="1"/>
    </row>
    <row r="5" ht="15.0" customHeight="1">
      <c r="B5" s="181"/>
      <c r="C5" s="1"/>
      <c r="D5" s="1"/>
      <c r="E5" s="7"/>
      <c r="F5" s="1"/>
      <c r="G5" s="143" t="s">
        <v>137</v>
      </c>
      <c r="H5" s="143">
        <v>1.0</v>
      </c>
      <c r="I5" s="143">
        <v>2.0</v>
      </c>
      <c r="J5" s="143">
        <v>3.0</v>
      </c>
      <c r="K5" s="143">
        <v>4.0</v>
      </c>
      <c r="L5" s="143">
        <v>5.0</v>
      </c>
      <c r="M5" s="143">
        <v>6.0</v>
      </c>
      <c r="N5" s="143">
        <v>7.0</v>
      </c>
      <c r="O5" s="143">
        <v>8.0</v>
      </c>
      <c r="P5" s="143">
        <v>9.0</v>
      </c>
      <c r="Q5" s="143" t="s">
        <v>138</v>
      </c>
      <c r="R5" s="16"/>
      <c r="S5" s="143">
        <v>1.0</v>
      </c>
      <c r="T5" s="143">
        <v>2.0</v>
      </c>
      <c r="U5" s="143">
        <v>3.0</v>
      </c>
      <c r="V5" s="143">
        <v>4.0</v>
      </c>
      <c r="W5" s="143">
        <v>5.0</v>
      </c>
      <c r="X5" s="143">
        <v>6.0</v>
      </c>
      <c r="Y5" s="143">
        <v>7.0</v>
      </c>
      <c r="Z5" s="143">
        <v>8.0</v>
      </c>
      <c r="AA5" s="143">
        <v>9.0</v>
      </c>
      <c r="AB5" s="143" t="s">
        <v>139</v>
      </c>
      <c r="AC5" s="143" t="s">
        <v>31</v>
      </c>
      <c r="AD5" s="12"/>
      <c r="AE5" s="1"/>
      <c r="AF5" s="1"/>
    </row>
    <row r="6" ht="15.0" customHeight="1">
      <c r="B6" s="181"/>
      <c r="C6" s="1"/>
      <c r="D6" s="1"/>
      <c r="E6" s="7"/>
      <c r="F6" s="144" t="s">
        <v>154</v>
      </c>
      <c r="G6" s="182" t="s">
        <v>104</v>
      </c>
      <c r="H6" s="182">
        <v>375.0</v>
      </c>
      <c r="I6" s="182">
        <v>383.0</v>
      </c>
      <c r="J6" s="182">
        <v>368.0</v>
      </c>
      <c r="K6" s="182">
        <v>151.0</v>
      </c>
      <c r="L6" s="182">
        <v>332.0</v>
      </c>
      <c r="M6" s="182">
        <v>352.0</v>
      </c>
      <c r="N6" s="182">
        <v>490.0</v>
      </c>
      <c r="O6" s="182">
        <v>175.0</v>
      </c>
      <c r="P6" s="182">
        <v>490.0</v>
      </c>
      <c r="Q6" s="182">
        <f t="shared" ref="Q6:Q7" si="1">SUM(H6:P6)</f>
        <v>3116</v>
      </c>
      <c r="R6" s="17"/>
      <c r="S6" s="182">
        <v>355.0</v>
      </c>
      <c r="T6" s="182">
        <v>146.0</v>
      </c>
      <c r="U6" s="182">
        <v>523.0</v>
      </c>
      <c r="V6" s="182">
        <v>412.0</v>
      </c>
      <c r="W6" s="182">
        <v>468.0</v>
      </c>
      <c r="X6" s="182">
        <v>312.0</v>
      </c>
      <c r="Y6" s="182">
        <v>366.0</v>
      </c>
      <c r="Z6" s="182">
        <v>172.0</v>
      </c>
      <c r="AA6" s="182">
        <v>358.0</v>
      </c>
      <c r="AB6" s="182">
        <f t="shared" ref="AB6:AB7" si="2">SUM(S6:AA6)</f>
        <v>3112</v>
      </c>
      <c r="AC6" s="182">
        <f t="shared" ref="AC6:AC7" si="3">AB6+Q6</f>
        <v>6228</v>
      </c>
      <c r="AD6" s="12"/>
      <c r="AE6" s="1"/>
      <c r="AF6" s="1"/>
    </row>
    <row r="7" ht="15.0" customHeight="1">
      <c r="B7" s="181"/>
      <c r="C7" s="1"/>
      <c r="D7" s="1"/>
      <c r="E7" s="7"/>
      <c r="F7" s="146"/>
      <c r="G7" s="147" t="s">
        <v>113</v>
      </c>
      <c r="H7" s="147">
        <v>4.0</v>
      </c>
      <c r="I7" s="147">
        <v>4.0</v>
      </c>
      <c r="J7" s="147">
        <v>4.0</v>
      </c>
      <c r="K7" s="147">
        <v>3.0</v>
      </c>
      <c r="L7" s="147">
        <v>4.0</v>
      </c>
      <c r="M7" s="147">
        <v>4.0</v>
      </c>
      <c r="N7" s="147">
        <v>5.0</v>
      </c>
      <c r="O7" s="147">
        <v>3.0</v>
      </c>
      <c r="P7" s="147">
        <v>5.0</v>
      </c>
      <c r="Q7" s="147">
        <f t="shared" si="1"/>
        <v>36</v>
      </c>
      <c r="R7" s="17"/>
      <c r="S7" s="147">
        <v>4.0</v>
      </c>
      <c r="T7" s="147">
        <v>3.0</v>
      </c>
      <c r="U7" s="147">
        <v>5.0</v>
      </c>
      <c r="V7" s="147">
        <v>4.0</v>
      </c>
      <c r="W7" s="147">
        <v>5.0</v>
      </c>
      <c r="X7" s="147">
        <v>4.0</v>
      </c>
      <c r="Y7" s="147">
        <v>4.0</v>
      </c>
      <c r="Z7" s="147">
        <v>3.0</v>
      </c>
      <c r="AA7" s="147">
        <v>4.0</v>
      </c>
      <c r="AB7" s="147">
        <f t="shared" si="2"/>
        <v>36</v>
      </c>
      <c r="AC7" s="147">
        <f t="shared" si="3"/>
        <v>72</v>
      </c>
      <c r="AD7" s="12"/>
      <c r="AE7" s="1"/>
      <c r="AF7" s="1"/>
    </row>
    <row r="8" ht="15.0" customHeight="1">
      <c r="B8" s="181"/>
      <c r="C8" s="1"/>
      <c r="D8" s="1"/>
      <c r="E8" s="7"/>
      <c r="F8" s="1"/>
      <c r="G8" s="148" t="s">
        <v>142</v>
      </c>
      <c r="H8" s="148">
        <v>5.0</v>
      </c>
      <c r="I8" s="148">
        <v>9.0</v>
      </c>
      <c r="J8" s="148">
        <v>7.0</v>
      </c>
      <c r="K8" s="148">
        <v>17.0</v>
      </c>
      <c r="L8" s="148">
        <v>11.0</v>
      </c>
      <c r="M8" s="148">
        <v>1.0</v>
      </c>
      <c r="N8" s="148">
        <v>13.0</v>
      </c>
      <c r="O8" s="148">
        <v>15.0</v>
      </c>
      <c r="P8" s="148">
        <v>3.0</v>
      </c>
      <c r="Q8" s="148"/>
      <c r="R8" s="17"/>
      <c r="S8" s="148">
        <v>14.0</v>
      </c>
      <c r="T8" s="148">
        <v>18.0</v>
      </c>
      <c r="U8" s="148">
        <v>6.0</v>
      </c>
      <c r="V8" s="148">
        <v>10.0</v>
      </c>
      <c r="W8" s="148">
        <v>2.0</v>
      </c>
      <c r="X8" s="148">
        <v>12.0</v>
      </c>
      <c r="Y8" s="148">
        <v>4.0</v>
      </c>
      <c r="Z8" s="148">
        <v>16.0</v>
      </c>
      <c r="AA8" s="148">
        <v>8.0</v>
      </c>
      <c r="AB8" s="148"/>
      <c r="AC8" s="148"/>
      <c r="AD8" s="12"/>
      <c r="AE8" s="1"/>
      <c r="AF8" s="1"/>
    </row>
    <row r="9" ht="6.75" customHeight="1">
      <c r="B9" s="181"/>
      <c r="C9" s="1"/>
      <c r="D9" s="1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2"/>
      <c r="AE9" s="1"/>
      <c r="AF9" s="1"/>
    </row>
    <row r="10" ht="11.25" customHeight="1">
      <c r="B10" s="181"/>
      <c r="C10" s="1"/>
      <c r="D10" s="1"/>
      <c r="E10" s="7"/>
      <c r="F10" s="183" t="s">
        <v>84</v>
      </c>
      <c r="G10" s="150">
        <f>IFERROR(VLOOKUP(F10,HANDICAPS!$B$8:$G$23,$D$3,FALSE),"")</f>
        <v>11</v>
      </c>
      <c r="H10" s="151" t="str">
        <f t="shared" ref="H10:P10" si="4">IFERROR(IF($G10&gt;18,IF(($G10-18)&gt;H$33,"**","*"),IF($G10&gt;=H$8,"*","")),"")</f>
        <v>*</v>
      </c>
      <c r="I10" s="151" t="str">
        <f t="shared" si="4"/>
        <v>*</v>
      </c>
      <c r="J10" s="151" t="str">
        <f t="shared" si="4"/>
        <v>*</v>
      </c>
      <c r="K10" s="152" t="str">
        <f t="shared" si="4"/>
        <v/>
      </c>
      <c r="L10" s="151" t="str">
        <f t="shared" si="4"/>
        <v>*</v>
      </c>
      <c r="M10" s="151" t="str">
        <f t="shared" si="4"/>
        <v>*</v>
      </c>
      <c r="N10" s="151" t="str">
        <f t="shared" si="4"/>
        <v/>
      </c>
      <c r="O10" s="151" t="str">
        <f t="shared" si="4"/>
        <v/>
      </c>
      <c r="P10" s="151" t="str">
        <f t="shared" si="4"/>
        <v>*</v>
      </c>
      <c r="Q10" s="151"/>
      <c r="R10" s="153"/>
      <c r="S10" s="151" t="str">
        <f t="shared" ref="S10:AA10" si="5">IFERROR(IF($G10&gt;18,IF(($G10-18)&gt;S$33,"**","*"),IF($G10&gt;=S$8,"*","")),"")</f>
        <v/>
      </c>
      <c r="T10" s="151" t="str">
        <f t="shared" si="5"/>
        <v/>
      </c>
      <c r="U10" s="151" t="str">
        <f t="shared" si="5"/>
        <v>*</v>
      </c>
      <c r="V10" s="151" t="str">
        <f t="shared" si="5"/>
        <v>*</v>
      </c>
      <c r="W10" s="151" t="str">
        <f t="shared" si="5"/>
        <v>*</v>
      </c>
      <c r="X10" s="151" t="str">
        <f t="shared" si="5"/>
        <v/>
      </c>
      <c r="Y10" s="152" t="str">
        <f t="shared" si="5"/>
        <v>*</v>
      </c>
      <c r="Z10" s="151" t="str">
        <f t="shared" si="5"/>
        <v/>
      </c>
      <c r="AA10" s="151" t="str">
        <f t="shared" si="5"/>
        <v>*</v>
      </c>
      <c r="AB10" s="151"/>
      <c r="AC10" s="151" t="str">
        <f>IF(AB10="","",SUM(Q10,AB10))</f>
        <v/>
      </c>
      <c r="AD10" s="12"/>
      <c r="AE10" s="1"/>
      <c r="AF10" s="1"/>
    </row>
    <row r="11" ht="18.75" customHeight="1">
      <c r="B11" s="181" t="str">
        <f>F10</f>
        <v>PAXTON</v>
      </c>
      <c r="C11" s="1"/>
      <c r="D11" s="1"/>
      <c r="E11" s="7"/>
      <c r="F11" s="154"/>
      <c r="G11" s="155"/>
      <c r="H11" s="184">
        <v>6.0</v>
      </c>
      <c r="I11" s="184">
        <v>4.0</v>
      </c>
      <c r="J11" s="184">
        <v>4.0</v>
      </c>
      <c r="K11" s="185">
        <v>4.0</v>
      </c>
      <c r="L11" s="184">
        <v>5.0</v>
      </c>
      <c r="M11" s="184">
        <v>5.0</v>
      </c>
      <c r="N11" s="184">
        <v>6.0</v>
      </c>
      <c r="O11" s="184">
        <v>4.0</v>
      </c>
      <c r="P11" s="184">
        <v>4.0</v>
      </c>
      <c r="Q11" s="156">
        <f>IF(H11="","",SUM(H11:P11))</f>
        <v>42</v>
      </c>
      <c r="R11" s="153"/>
      <c r="S11" s="184">
        <v>5.0</v>
      </c>
      <c r="T11" s="184">
        <v>4.0</v>
      </c>
      <c r="U11" s="184">
        <v>5.0</v>
      </c>
      <c r="V11" s="184">
        <v>5.0</v>
      </c>
      <c r="W11" s="184">
        <v>5.0</v>
      </c>
      <c r="X11" s="184">
        <v>3.0</v>
      </c>
      <c r="Y11" s="185">
        <v>4.0</v>
      </c>
      <c r="Z11" s="184">
        <v>4.0</v>
      </c>
      <c r="AA11" s="184">
        <v>5.0</v>
      </c>
      <c r="AB11" s="156">
        <f>IF(S11="","",SUM(S11:AA11))</f>
        <v>40</v>
      </c>
      <c r="AC11" s="156">
        <f>IFERROR(Q11+AB11,"")</f>
        <v>82</v>
      </c>
      <c r="AD11" s="12"/>
      <c r="AE11" s="1"/>
      <c r="AF11" s="1"/>
    </row>
    <row r="12" ht="11.25" customHeight="1">
      <c r="B12" s="181"/>
      <c r="C12" s="1"/>
      <c r="D12" s="1"/>
      <c r="E12" s="7"/>
      <c r="F12" s="183" t="s">
        <v>79</v>
      </c>
      <c r="G12" s="150">
        <f>IFERROR(VLOOKUP(F12,HANDICAPS!$B$8:$G$23,$D$3,FALSE),"")</f>
        <v>13</v>
      </c>
      <c r="H12" s="158" t="str">
        <f t="shared" ref="H12:P12" si="6">IFERROR(IF($G12&gt;18,IF(($G12-18)&gt;H$33,"**","*"),IF($G12&gt;=H$8,"*","")),"")</f>
        <v>*</v>
      </c>
      <c r="I12" s="158" t="str">
        <f t="shared" si="6"/>
        <v>*</v>
      </c>
      <c r="J12" s="158" t="str">
        <f t="shared" si="6"/>
        <v>*</v>
      </c>
      <c r="K12" s="159" t="str">
        <f t="shared" si="6"/>
        <v/>
      </c>
      <c r="L12" s="158" t="str">
        <f t="shared" si="6"/>
        <v>*</v>
      </c>
      <c r="M12" s="158" t="str">
        <f t="shared" si="6"/>
        <v>*</v>
      </c>
      <c r="N12" s="158" t="str">
        <f t="shared" si="6"/>
        <v>*</v>
      </c>
      <c r="O12" s="158" t="str">
        <f t="shared" si="6"/>
        <v/>
      </c>
      <c r="P12" s="158" t="str">
        <f t="shared" si="6"/>
        <v>*</v>
      </c>
      <c r="Q12" s="158"/>
      <c r="R12" s="158"/>
      <c r="S12" s="158" t="str">
        <f t="shared" ref="S12:AA12" si="7">IFERROR(IF($G12&gt;18,IF(($G12-18)&gt;S$33,"**","*"),IF($G12&gt;=S$8,"*","")),"")</f>
        <v/>
      </c>
      <c r="T12" s="158" t="str">
        <f t="shared" si="7"/>
        <v/>
      </c>
      <c r="U12" s="158" t="str">
        <f t="shared" si="7"/>
        <v>*</v>
      </c>
      <c r="V12" s="158" t="str">
        <f t="shared" si="7"/>
        <v>*</v>
      </c>
      <c r="W12" s="158" t="str">
        <f t="shared" si="7"/>
        <v>*</v>
      </c>
      <c r="X12" s="158" t="str">
        <f t="shared" si="7"/>
        <v>*</v>
      </c>
      <c r="Y12" s="159" t="str">
        <f t="shared" si="7"/>
        <v>*</v>
      </c>
      <c r="Z12" s="158" t="str">
        <f t="shared" si="7"/>
        <v/>
      </c>
      <c r="AA12" s="158" t="str">
        <f t="shared" si="7"/>
        <v>*</v>
      </c>
      <c r="AB12" s="151"/>
      <c r="AC12" s="151" t="str">
        <f>IF(AB12="","",SUM(Q12,AB12))</f>
        <v/>
      </c>
      <c r="AD12" s="12"/>
      <c r="AE12" s="1"/>
      <c r="AF12" s="1"/>
    </row>
    <row r="13" ht="18.75" customHeight="1">
      <c r="B13" s="181" t="str">
        <f>F12</f>
        <v>DYLAN</v>
      </c>
      <c r="C13" s="1"/>
      <c r="D13" s="1"/>
      <c r="E13" s="7"/>
      <c r="F13" s="154"/>
      <c r="G13" s="155"/>
      <c r="H13" s="186">
        <v>4.0</v>
      </c>
      <c r="I13" s="186">
        <v>4.0</v>
      </c>
      <c r="J13" s="186">
        <v>4.0</v>
      </c>
      <c r="K13" s="187">
        <v>4.0</v>
      </c>
      <c r="L13" s="186">
        <v>5.0</v>
      </c>
      <c r="M13" s="186">
        <v>6.0</v>
      </c>
      <c r="N13" s="186">
        <v>5.0</v>
      </c>
      <c r="O13" s="186">
        <v>4.0</v>
      </c>
      <c r="P13" s="186">
        <v>7.0</v>
      </c>
      <c r="Q13" s="156">
        <f>IF(H13="","",SUM(H13:P13))</f>
        <v>43</v>
      </c>
      <c r="R13" s="160"/>
      <c r="S13" s="186">
        <v>6.0</v>
      </c>
      <c r="T13" s="186">
        <v>3.0</v>
      </c>
      <c r="U13" s="186">
        <v>5.0</v>
      </c>
      <c r="V13" s="186">
        <v>4.0</v>
      </c>
      <c r="W13" s="186">
        <v>6.0</v>
      </c>
      <c r="X13" s="186">
        <v>5.0</v>
      </c>
      <c r="Y13" s="187">
        <v>5.0</v>
      </c>
      <c r="Z13" s="186">
        <v>4.0</v>
      </c>
      <c r="AA13" s="186">
        <v>4.0</v>
      </c>
      <c r="AB13" s="156">
        <f>IF(S13="","",SUM(S13:AA13))</f>
        <v>42</v>
      </c>
      <c r="AC13" s="156">
        <f>IFERROR(Q13+AB13,"")</f>
        <v>85</v>
      </c>
      <c r="AD13" s="12"/>
      <c r="AE13" s="1"/>
      <c r="AF13" s="1"/>
    </row>
    <row r="14" ht="6.75" customHeight="1">
      <c r="B14" s="181"/>
      <c r="C14" s="1"/>
      <c r="D14" s="1"/>
      <c r="E14" s="7"/>
      <c r="F14" s="16"/>
      <c r="G14" s="16"/>
      <c r="H14" s="18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12"/>
      <c r="AE14" s="1"/>
      <c r="AF14" s="1"/>
    </row>
    <row r="15" ht="27.75" customHeight="1">
      <c r="B15" s="181"/>
      <c r="C15" s="1"/>
      <c r="D15" s="1"/>
      <c r="E15" s="7"/>
      <c r="F15" s="161" t="s">
        <v>143</v>
      </c>
      <c r="G15" s="142"/>
      <c r="H15" s="162">
        <f t="shared" ref="H15:P15" si="8">IF(H11="","",MIN(IF(H10="**",H11-2,IF(H10="*",H11-1,H11)),(IF(H12="**",H13-2,IF(H12="*",H13-1,H13)))))</f>
        <v>3</v>
      </c>
      <c r="I15" s="162">
        <f t="shared" si="8"/>
        <v>3</v>
      </c>
      <c r="J15" s="162">
        <f t="shared" si="8"/>
        <v>3</v>
      </c>
      <c r="K15" s="163">
        <f t="shared" si="8"/>
        <v>4</v>
      </c>
      <c r="L15" s="162">
        <f t="shared" si="8"/>
        <v>4</v>
      </c>
      <c r="M15" s="162">
        <f t="shared" si="8"/>
        <v>4</v>
      </c>
      <c r="N15" s="162">
        <f t="shared" si="8"/>
        <v>4</v>
      </c>
      <c r="O15" s="162">
        <f t="shared" si="8"/>
        <v>4</v>
      </c>
      <c r="P15" s="162">
        <f t="shared" si="8"/>
        <v>3</v>
      </c>
      <c r="Q15" s="162">
        <f t="shared" ref="Q15:Q16" si="11">IF(H15="","",SUM(H15:P15))</f>
        <v>32</v>
      </c>
      <c r="R15" s="23"/>
      <c r="S15" s="162">
        <f t="shared" ref="S15:AA15" si="9">IF(S11="","",MIN(IF(S10="**",S11-2,IF(S10="*",S11-1,S11)),(IF(S12="**",S13-2,IF(S12="*",S13-1,S13)))))</f>
        <v>5</v>
      </c>
      <c r="T15" s="162">
        <f t="shared" si="9"/>
        <v>3</v>
      </c>
      <c r="U15" s="162">
        <f t="shared" si="9"/>
        <v>4</v>
      </c>
      <c r="V15" s="162">
        <f t="shared" si="9"/>
        <v>3</v>
      </c>
      <c r="W15" s="162">
        <f t="shared" si="9"/>
        <v>4</v>
      </c>
      <c r="X15" s="162">
        <f t="shared" si="9"/>
        <v>3</v>
      </c>
      <c r="Y15" s="163">
        <f t="shared" si="9"/>
        <v>3</v>
      </c>
      <c r="Z15" s="162">
        <f t="shared" si="9"/>
        <v>4</v>
      </c>
      <c r="AA15" s="162">
        <f t="shared" si="9"/>
        <v>3</v>
      </c>
      <c r="AB15" s="162">
        <f t="shared" ref="AB15:AB16" si="13">IF(S15="","",SUM(S15:AA15))</f>
        <v>32</v>
      </c>
      <c r="AC15" s="162">
        <f t="shared" ref="AC15:AC16" si="14">IF(AB15="","",AB15+Q15)</f>
        <v>64</v>
      </c>
      <c r="AD15" s="12"/>
      <c r="AE15" s="1"/>
      <c r="AF15" s="1"/>
    </row>
    <row r="16" ht="27.75" customHeight="1">
      <c r="B16" s="181"/>
      <c r="C16" s="1"/>
      <c r="D16" s="1"/>
      <c r="E16" s="7"/>
      <c r="F16" s="161" t="s">
        <v>144</v>
      </c>
      <c r="G16" s="142"/>
      <c r="H16" s="164">
        <f t="shared" ref="H16:P16" si="10">IF(H15="","",IF(H15=H23,0.5,IF(H15&lt;H23,1,0)))</f>
        <v>0.5</v>
      </c>
      <c r="I16" s="164">
        <f t="shared" si="10"/>
        <v>0.5</v>
      </c>
      <c r="J16" s="164">
        <f t="shared" si="10"/>
        <v>0.5</v>
      </c>
      <c r="K16" s="165">
        <f t="shared" si="10"/>
        <v>0</v>
      </c>
      <c r="L16" s="164">
        <f t="shared" si="10"/>
        <v>0.5</v>
      </c>
      <c r="M16" s="164">
        <f t="shared" si="10"/>
        <v>0.5</v>
      </c>
      <c r="N16" s="164">
        <f t="shared" si="10"/>
        <v>1</v>
      </c>
      <c r="O16" s="164">
        <f t="shared" si="10"/>
        <v>0</v>
      </c>
      <c r="P16" s="164">
        <f t="shared" si="10"/>
        <v>1</v>
      </c>
      <c r="Q16" s="164">
        <f t="shared" si="11"/>
        <v>4.5</v>
      </c>
      <c r="R16" s="23"/>
      <c r="S16" s="164">
        <f t="shared" ref="S16:AA16" si="12">IF(S15="","",IF(S15=S23,0.5,IF(S15&lt;S23,1,0)))</f>
        <v>0</v>
      </c>
      <c r="T16" s="164">
        <f t="shared" si="12"/>
        <v>0.5</v>
      </c>
      <c r="U16" s="164">
        <f t="shared" si="12"/>
        <v>1</v>
      </c>
      <c r="V16" s="164">
        <f t="shared" si="12"/>
        <v>1</v>
      </c>
      <c r="W16" s="164">
        <f t="shared" si="12"/>
        <v>0.5</v>
      </c>
      <c r="X16" s="164">
        <f t="shared" si="12"/>
        <v>1</v>
      </c>
      <c r="Y16" s="165">
        <f t="shared" si="12"/>
        <v>0.5</v>
      </c>
      <c r="Z16" s="164">
        <f t="shared" si="12"/>
        <v>0</v>
      </c>
      <c r="AA16" s="164">
        <f t="shared" si="12"/>
        <v>1</v>
      </c>
      <c r="AB16" s="164">
        <f t="shared" si="13"/>
        <v>5.5</v>
      </c>
      <c r="AC16" s="164">
        <f t="shared" si="14"/>
        <v>10</v>
      </c>
      <c r="AD16" s="12"/>
      <c r="AE16" s="1"/>
      <c r="AF16" s="1"/>
    </row>
    <row r="17" ht="6.75" customHeight="1">
      <c r="B17" s="181"/>
      <c r="C17" s="1"/>
      <c r="D17" s="1"/>
      <c r="E17" s="7"/>
      <c r="F17" s="16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12"/>
      <c r="AE17" s="1"/>
      <c r="AF17" s="1"/>
    </row>
    <row r="18" ht="11.25" customHeight="1">
      <c r="B18" s="181"/>
      <c r="C18" s="1"/>
      <c r="D18" s="1"/>
      <c r="E18" s="7"/>
      <c r="F18" s="149" t="s">
        <v>128</v>
      </c>
      <c r="G18" s="150">
        <f>IFERROR(VLOOKUP(F18,HANDICAPS!$B$8:$G$23,$D$3,FALSE),"")</f>
        <v>9</v>
      </c>
      <c r="H18" s="151" t="str">
        <f t="shared" ref="H18:P18" si="15">IFERROR(IF($G18&gt;18,IF(($G18-18)&gt;H$33,"**","*"),IF($G18&gt;=H$8,"*","")),"")</f>
        <v>*</v>
      </c>
      <c r="I18" s="151" t="str">
        <f t="shared" si="15"/>
        <v>*</v>
      </c>
      <c r="J18" s="151" t="str">
        <f t="shared" si="15"/>
        <v>*</v>
      </c>
      <c r="K18" s="152" t="str">
        <f t="shared" si="15"/>
        <v/>
      </c>
      <c r="L18" s="151" t="str">
        <f t="shared" si="15"/>
        <v/>
      </c>
      <c r="M18" s="151" t="str">
        <f t="shared" si="15"/>
        <v>*</v>
      </c>
      <c r="N18" s="151" t="str">
        <f t="shared" si="15"/>
        <v/>
      </c>
      <c r="O18" s="151" t="str">
        <f t="shared" si="15"/>
        <v/>
      </c>
      <c r="P18" s="151" t="str">
        <f t="shared" si="15"/>
        <v>*</v>
      </c>
      <c r="Q18" s="151"/>
      <c r="R18" s="153"/>
      <c r="S18" s="151" t="str">
        <f t="shared" ref="S18:AA18" si="16">IFERROR(IF($G18&gt;18,IF(($G18-18)&gt;S$33,"**","*"),IF($G18&gt;=S$8,"*","")),"")</f>
        <v/>
      </c>
      <c r="T18" s="151" t="str">
        <f t="shared" si="16"/>
        <v/>
      </c>
      <c r="U18" s="151" t="str">
        <f t="shared" si="16"/>
        <v>*</v>
      </c>
      <c r="V18" s="151" t="str">
        <f t="shared" si="16"/>
        <v/>
      </c>
      <c r="W18" s="151" t="str">
        <f t="shared" si="16"/>
        <v>*</v>
      </c>
      <c r="X18" s="151" t="str">
        <f t="shared" si="16"/>
        <v/>
      </c>
      <c r="Y18" s="152" t="str">
        <f t="shared" si="16"/>
        <v>*</v>
      </c>
      <c r="Z18" s="151" t="str">
        <f t="shared" si="16"/>
        <v/>
      </c>
      <c r="AA18" s="151" t="str">
        <f t="shared" si="16"/>
        <v>*</v>
      </c>
      <c r="AB18" s="151"/>
      <c r="AC18" s="151" t="str">
        <f>IF(AB18="","",SUM(Q18,AB18))</f>
        <v/>
      </c>
      <c r="AD18" s="12"/>
      <c r="AE18" s="1"/>
      <c r="AF18" s="1"/>
    </row>
    <row r="19" ht="18.75" customHeight="1">
      <c r="B19" s="181" t="str">
        <f>F18</f>
        <v>SLICK</v>
      </c>
      <c r="C19" s="1"/>
      <c r="D19" s="1"/>
      <c r="E19" s="7"/>
      <c r="F19" s="154"/>
      <c r="G19" s="155"/>
      <c r="H19" s="186">
        <v>4.0</v>
      </c>
      <c r="I19" s="186">
        <v>4.0</v>
      </c>
      <c r="J19" s="186">
        <v>4.0</v>
      </c>
      <c r="K19" s="187">
        <v>3.0</v>
      </c>
      <c r="L19" s="186">
        <v>4.0</v>
      </c>
      <c r="M19" s="186">
        <v>5.0</v>
      </c>
      <c r="N19" s="186">
        <v>5.0</v>
      </c>
      <c r="O19" s="186">
        <v>3.0</v>
      </c>
      <c r="P19" s="186">
        <v>5.0</v>
      </c>
      <c r="Q19" s="156">
        <f>IF(H19="","",SUM(H19:P19))</f>
        <v>37</v>
      </c>
      <c r="R19" s="153"/>
      <c r="S19" s="186">
        <v>4.0</v>
      </c>
      <c r="T19" s="186">
        <v>3.0</v>
      </c>
      <c r="U19" s="186">
        <v>7.0</v>
      </c>
      <c r="V19" s="186">
        <v>5.0</v>
      </c>
      <c r="W19" s="186">
        <v>5.0</v>
      </c>
      <c r="X19" s="186">
        <v>5.0</v>
      </c>
      <c r="Y19" s="187">
        <v>4.0</v>
      </c>
      <c r="Z19" s="186">
        <v>4.0</v>
      </c>
      <c r="AA19" s="186">
        <v>5.0</v>
      </c>
      <c r="AB19" s="156">
        <f>IF(S19="","",SUM(S19:AA19))</f>
        <v>42</v>
      </c>
      <c r="AC19" s="156">
        <f>IFERROR(Q19+AB19,"")</f>
        <v>79</v>
      </c>
      <c r="AD19" s="12"/>
      <c r="AE19" s="1"/>
      <c r="AF19" s="1"/>
    </row>
    <row r="20" ht="11.25" customHeight="1">
      <c r="B20" s="181"/>
      <c r="C20" s="1"/>
      <c r="D20" s="1"/>
      <c r="E20" s="7"/>
      <c r="F20" s="149" t="s">
        <v>97</v>
      </c>
      <c r="G20" s="150">
        <f>IFERROR(VLOOKUP(F20,HANDICAPS!$B$8:$G$23,$D$3,FALSE),"")</f>
        <v>14</v>
      </c>
      <c r="H20" s="158" t="str">
        <f t="shared" ref="H20:P20" si="17">IFERROR(IF($G20&gt;18,IF(($G20-18)&gt;H$33,"**","*"),IF($G20&gt;=H$8,"*","")),"")</f>
        <v>*</v>
      </c>
      <c r="I20" s="158" t="str">
        <f t="shared" si="17"/>
        <v>*</v>
      </c>
      <c r="J20" s="158" t="str">
        <f t="shared" si="17"/>
        <v>*</v>
      </c>
      <c r="K20" s="159" t="str">
        <f t="shared" si="17"/>
        <v/>
      </c>
      <c r="L20" s="158" t="str">
        <f t="shared" si="17"/>
        <v>*</v>
      </c>
      <c r="M20" s="158" t="str">
        <f t="shared" si="17"/>
        <v>*</v>
      </c>
      <c r="N20" s="158" t="str">
        <f t="shared" si="17"/>
        <v>*</v>
      </c>
      <c r="O20" s="158" t="str">
        <f t="shared" si="17"/>
        <v/>
      </c>
      <c r="P20" s="158" t="str">
        <f t="shared" si="17"/>
        <v>*</v>
      </c>
      <c r="Q20" s="158"/>
      <c r="R20" s="158"/>
      <c r="S20" s="158" t="str">
        <f t="shared" ref="S20:AA20" si="18">IFERROR(IF($G20&gt;18,IF(($G20-18)&gt;S$33,"**","*"),IF($G20&gt;=S$8,"*","")),"")</f>
        <v>*</v>
      </c>
      <c r="T20" s="158" t="str">
        <f t="shared" si="18"/>
        <v/>
      </c>
      <c r="U20" s="158" t="str">
        <f t="shared" si="18"/>
        <v>*</v>
      </c>
      <c r="V20" s="158" t="str">
        <f t="shared" si="18"/>
        <v>*</v>
      </c>
      <c r="W20" s="158" t="str">
        <f t="shared" si="18"/>
        <v>*</v>
      </c>
      <c r="X20" s="158" t="str">
        <f t="shared" si="18"/>
        <v>*</v>
      </c>
      <c r="Y20" s="159" t="str">
        <f t="shared" si="18"/>
        <v>*</v>
      </c>
      <c r="Z20" s="158" t="str">
        <f t="shared" si="18"/>
        <v/>
      </c>
      <c r="AA20" s="158" t="str">
        <f t="shared" si="18"/>
        <v>*</v>
      </c>
      <c r="AB20" s="151"/>
      <c r="AC20" s="151" t="str">
        <f>IF(AB20="","",SUM(Q20,AB20))</f>
        <v/>
      </c>
      <c r="AD20" s="12"/>
      <c r="AE20" s="1"/>
      <c r="AF20" s="1"/>
    </row>
    <row r="21" ht="18.75" customHeight="1">
      <c r="B21" s="181" t="str">
        <f>F20</f>
        <v>TOM</v>
      </c>
      <c r="C21" s="1"/>
      <c r="D21" s="1"/>
      <c r="E21" s="7"/>
      <c r="F21" s="154"/>
      <c r="G21" s="155"/>
      <c r="H21" s="186">
        <v>5.0</v>
      </c>
      <c r="I21" s="186">
        <v>5.0</v>
      </c>
      <c r="J21" s="186">
        <v>6.0</v>
      </c>
      <c r="K21" s="187">
        <v>3.0</v>
      </c>
      <c r="L21" s="186">
        <v>5.0</v>
      </c>
      <c r="M21" s="186">
        <v>5.0</v>
      </c>
      <c r="N21" s="186">
        <v>6.0</v>
      </c>
      <c r="O21" s="186">
        <v>4.0</v>
      </c>
      <c r="P21" s="186">
        <v>7.0</v>
      </c>
      <c r="Q21" s="156">
        <f>IF(H21="","",SUM(H21:P21))</f>
        <v>46</v>
      </c>
      <c r="R21" s="160"/>
      <c r="S21" s="186">
        <v>5.0</v>
      </c>
      <c r="T21" s="186">
        <v>3.0</v>
      </c>
      <c r="U21" s="186">
        <v>6.0</v>
      </c>
      <c r="V21" s="186">
        <v>5.0</v>
      </c>
      <c r="W21" s="186">
        <v>8.0</v>
      </c>
      <c r="X21" s="186">
        <v>6.0</v>
      </c>
      <c r="Y21" s="187">
        <v>5.0</v>
      </c>
      <c r="Z21" s="186">
        <v>3.0</v>
      </c>
      <c r="AA21" s="186">
        <v>5.0</v>
      </c>
      <c r="AB21" s="156">
        <f>IF(S21="","",SUM(S21:AA21))</f>
        <v>46</v>
      </c>
      <c r="AC21" s="156">
        <f>IFERROR(Q21+AB21,"")</f>
        <v>92</v>
      </c>
      <c r="AD21" s="12"/>
      <c r="AE21" s="1"/>
      <c r="AF21" s="1"/>
    </row>
    <row r="22" ht="6.75" customHeight="1">
      <c r="B22" s="181"/>
      <c r="C22" s="1"/>
      <c r="D22" s="1"/>
      <c r="E22" s="7"/>
      <c r="F22" s="16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2"/>
      <c r="AE22" s="1"/>
      <c r="AF22" s="1"/>
    </row>
    <row r="23" ht="27.75" customHeight="1">
      <c r="B23" s="181"/>
      <c r="C23" s="1"/>
      <c r="D23" s="1"/>
      <c r="E23" s="7"/>
      <c r="F23" s="161" t="s">
        <v>143</v>
      </c>
      <c r="G23" s="142"/>
      <c r="H23" s="162">
        <f t="shared" ref="H23:P23" si="19">IF(H19="","",MIN(IF(H18="**",H19-2,IF(H18="*",H19-1,H19)),(IF(H20="**",H21-2,IF(H20="*",H21-1,H21)))))</f>
        <v>3</v>
      </c>
      <c r="I23" s="162">
        <f t="shared" si="19"/>
        <v>3</v>
      </c>
      <c r="J23" s="162">
        <f t="shared" si="19"/>
        <v>3</v>
      </c>
      <c r="K23" s="163">
        <f t="shared" si="19"/>
        <v>3</v>
      </c>
      <c r="L23" s="162">
        <f t="shared" si="19"/>
        <v>4</v>
      </c>
      <c r="M23" s="162">
        <f t="shared" si="19"/>
        <v>4</v>
      </c>
      <c r="N23" s="162">
        <f t="shared" si="19"/>
        <v>5</v>
      </c>
      <c r="O23" s="162">
        <f t="shared" si="19"/>
        <v>3</v>
      </c>
      <c r="P23" s="162">
        <f t="shared" si="19"/>
        <v>4</v>
      </c>
      <c r="Q23" s="162">
        <f t="shared" ref="Q23:Q24" si="22">IF(H23="","",SUM(H23:P23))</f>
        <v>32</v>
      </c>
      <c r="R23" s="23"/>
      <c r="S23" s="162">
        <f t="shared" ref="S23:AA23" si="20">IF(S19="","",MIN(IF(S18="**",S19-2,IF(S18="*",S19-1,S19)),(IF(S20="**",S21-2,IF(S20="*",S21-1,S21)))))</f>
        <v>4</v>
      </c>
      <c r="T23" s="162">
        <f t="shared" si="20"/>
        <v>3</v>
      </c>
      <c r="U23" s="162">
        <f t="shared" si="20"/>
        <v>5</v>
      </c>
      <c r="V23" s="162">
        <f t="shared" si="20"/>
        <v>4</v>
      </c>
      <c r="W23" s="162">
        <f t="shared" si="20"/>
        <v>4</v>
      </c>
      <c r="X23" s="162">
        <f t="shared" si="20"/>
        <v>5</v>
      </c>
      <c r="Y23" s="163">
        <f t="shared" si="20"/>
        <v>3</v>
      </c>
      <c r="Z23" s="162">
        <f t="shared" si="20"/>
        <v>3</v>
      </c>
      <c r="AA23" s="162">
        <f t="shared" si="20"/>
        <v>4</v>
      </c>
      <c r="AB23" s="162">
        <f t="shared" ref="AB23:AB24" si="24">IF(S23="","",SUM(S23:AA23))</f>
        <v>35</v>
      </c>
      <c r="AC23" s="162">
        <f t="shared" ref="AC23:AC24" si="25">IF(AB23="","",AB23+Q23)</f>
        <v>67</v>
      </c>
      <c r="AD23" s="12"/>
      <c r="AE23" s="1"/>
      <c r="AF23" s="1"/>
    </row>
    <row r="24" ht="27.75" customHeight="1">
      <c r="B24" s="181"/>
      <c r="C24" s="1"/>
      <c r="D24" s="1"/>
      <c r="E24" s="7"/>
      <c r="F24" s="161" t="s">
        <v>144</v>
      </c>
      <c r="G24" s="142"/>
      <c r="H24" s="164">
        <f t="shared" ref="H24:P24" si="21">IF(H23="","",IF(H23=H15,0.5,IF(H23&lt;H15,1,0)))</f>
        <v>0.5</v>
      </c>
      <c r="I24" s="164">
        <f t="shared" si="21"/>
        <v>0.5</v>
      </c>
      <c r="J24" s="164">
        <f t="shared" si="21"/>
        <v>0.5</v>
      </c>
      <c r="K24" s="165">
        <f t="shared" si="21"/>
        <v>1</v>
      </c>
      <c r="L24" s="164">
        <f t="shared" si="21"/>
        <v>0.5</v>
      </c>
      <c r="M24" s="164">
        <f t="shared" si="21"/>
        <v>0.5</v>
      </c>
      <c r="N24" s="164">
        <f t="shared" si="21"/>
        <v>0</v>
      </c>
      <c r="O24" s="164">
        <f t="shared" si="21"/>
        <v>1</v>
      </c>
      <c r="P24" s="164">
        <f t="shared" si="21"/>
        <v>0</v>
      </c>
      <c r="Q24" s="164">
        <f t="shared" si="22"/>
        <v>4.5</v>
      </c>
      <c r="R24" s="23"/>
      <c r="S24" s="164">
        <f t="shared" ref="S24:AA24" si="23">IF(S23="","",IF(S23=S15,0.5,IF(S23&lt;S15,1,0)))</f>
        <v>1</v>
      </c>
      <c r="T24" s="164">
        <f t="shared" si="23"/>
        <v>0.5</v>
      </c>
      <c r="U24" s="164">
        <f t="shared" si="23"/>
        <v>0</v>
      </c>
      <c r="V24" s="164">
        <f t="shared" si="23"/>
        <v>0</v>
      </c>
      <c r="W24" s="164">
        <f t="shared" si="23"/>
        <v>0.5</v>
      </c>
      <c r="X24" s="164">
        <f t="shared" si="23"/>
        <v>0</v>
      </c>
      <c r="Y24" s="165">
        <f t="shared" si="23"/>
        <v>0.5</v>
      </c>
      <c r="Z24" s="164">
        <f t="shared" si="23"/>
        <v>1</v>
      </c>
      <c r="AA24" s="164">
        <f t="shared" si="23"/>
        <v>0</v>
      </c>
      <c r="AB24" s="164">
        <f t="shared" si="24"/>
        <v>3.5</v>
      </c>
      <c r="AC24" s="164">
        <f t="shared" si="25"/>
        <v>8</v>
      </c>
      <c r="AD24" s="12"/>
      <c r="AE24" s="1"/>
      <c r="AF24" s="1"/>
    </row>
    <row r="25" ht="6.75" customHeight="1">
      <c r="B25" s="181"/>
      <c r="C25" s="1"/>
      <c r="D25" s="1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7"/>
      <c r="AE25" s="1"/>
      <c r="AF25" s="1"/>
    </row>
    <row r="26" ht="60.0" customHeight="1">
      <c r="B26" s="18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6.75" customHeight="1">
      <c r="B27" s="181"/>
      <c r="C27" s="1"/>
      <c r="D27" s="1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  <c r="AA27" s="4"/>
      <c r="AB27" s="4"/>
      <c r="AC27" s="4"/>
      <c r="AD27" s="5"/>
      <c r="AE27" s="1"/>
      <c r="AF27" s="1"/>
    </row>
    <row r="28" ht="15.75" customHeight="1">
      <c r="B28" s="181"/>
      <c r="C28" s="1"/>
      <c r="D28" s="1"/>
      <c r="E28" s="7"/>
      <c r="F28" s="140" t="str">
        <f>F3</f>
        <v>MICHIGAN OPEN 2022 - ROUND 1 - LINKS/QUARRY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2"/>
      <c r="AD28" s="12"/>
      <c r="AE28" s="1"/>
      <c r="AF28" s="1"/>
    </row>
    <row r="29" ht="18.75" customHeight="1">
      <c r="B29" s="181"/>
      <c r="C29" s="1"/>
      <c r="D29" s="1"/>
      <c r="E29" s="7"/>
      <c r="F29" s="1"/>
      <c r="G29" s="1"/>
      <c r="H29" s="1"/>
      <c r="I29" s="1"/>
      <c r="J29" s="13" t="str">
        <f>J4</f>
        <v>LINKS</v>
      </c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3" t="str">
        <f>V4</f>
        <v>QUARRY</v>
      </c>
      <c r="W29" s="14"/>
      <c r="X29" s="14"/>
      <c r="Y29" s="14"/>
      <c r="Z29" s="14"/>
      <c r="AA29" s="1"/>
      <c r="AB29" s="1"/>
      <c r="AC29" s="1"/>
      <c r="AD29" s="12"/>
      <c r="AE29" s="1"/>
      <c r="AF29" s="1"/>
    </row>
    <row r="30" ht="15.0" customHeight="1">
      <c r="B30" s="181"/>
      <c r="C30" s="1"/>
      <c r="D30" s="1"/>
      <c r="E30" s="7"/>
      <c r="F30" s="1"/>
      <c r="G30" s="143" t="str">
        <f t="shared" ref="G30:Q30" si="26">G5</f>
        <v>HOLE</v>
      </c>
      <c r="H30" s="143">
        <f t="shared" si="26"/>
        <v>1</v>
      </c>
      <c r="I30" s="143">
        <f t="shared" si="26"/>
        <v>2</v>
      </c>
      <c r="J30" s="143">
        <f t="shared" si="26"/>
        <v>3</v>
      </c>
      <c r="K30" s="143">
        <f t="shared" si="26"/>
        <v>4</v>
      </c>
      <c r="L30" s="143">
        <f t="shared" si="26"/>
        <v>5</v>
      </c>
      <c r="M30" s="143">
        <f t="shared" si="26"/>
        <v>6</v>
      </c>
      <c r="N30" s="143">
        <f t="shared" si="26"/>
        <v>7</v>
      </c>
      <c r="O30" s="143">
        <f t="shared" si="26"/>
        <v>8</v>
      </c>
      <c r="P30" s="143">
        <f t="shared" si="26"/>
        <v>9</v>
      </c>
      <c r="Q30" s="143" t="str">
        <f t="shared" si="26"/>
        <v>OUT</v>
      </c>
      <c r="R30" s="16"/>
      <c r="S30" s="143">
        <f t="shared" ref="S30:AC30" si="27">S5</f>
        <v>1</v>
      </c>
      <c r="T30" s="143">
        <f t="shared" si="27"/>
        <v>2</v>
      </c>
      <c r="U30" s="143">
        <f t="shared" si="27"/>
        <v>3</v>
      </c>
      <c r="V30" s="143">
        <f t="shared" si="27"/>
        <v>4</v>
      </c>
      <c r="W30" s="143">
        <f t="shared" si="27"/>
        <v>5</v>
      </c>
      <c r="X30" s="143">
        <f t="shared" si="27"/>
        <v>6</v>
      </c>
      <c r="Y30" s="143">
        <f t="shared" si="27"/>
        <v>7</v>
      </c>
      <c r="Z30" s="143">
        <f t="shared" si="27"/>
        <v>8</v>
      </c>
      <c r="AA30" s="143">
        <f t="shared" si="27"/>
        <v>9</v>
      </c>
      <c r="AB30" s="143" t="str">
        <f t="shared" si="27"/>
        <v>IN</v>
      </c>
      <c r="AC30" s="143" t="str">
        <f t="shared" si="27"/>
        <v>TOTAL</v>
      </c>
      <c r="AD30" s="12"/>
      <c r="AE30" s="1"/>
      <c r="AF30" s="1"/>
    </row>
    <row r="31" ht="15.0" customHeight="1">
      <c r="B31" s="181"/>
      <c r="C31" s="1"/>
      <c r="D31" s="1"/>
      <c r="E31" s="7"/>
      <c r="F31" s="144" t="s">
        <v>154</v>
      </c>
      <c r="G31" s="182" t="str">
        <f t="shared" ref="G31:Q31" si="28">G6</f>
        <v>ORANGE</v>
      </c>
      <c r="H31" s="182">
        <f t="shared" si="28"/>
        <v>375</v>
      </c>
      <c r="I31" s="182">
        <f t="shared" si="28"/>
        <v>383</v>
      </c>
      <c r="J31" s="182">
        <f t="shared" si="28"/>
        <v>368</v>
      </c>
      <c r="K31" s="182">
        <f t="shared" si="28"/>
        <v>151</v>
      </c>
      <c r="L31" s="182">
        <f t="shared" si="28"/>
        <v>332</v>
      </c>
      <c r="M31" s="182">
        <f t="shared" si="28"/>
        <v>352</v>
      </c>
      <c r="N31" s="182">
        <f t="shared" si="28"/>
        <v>490</v>
      </c>
      <c r="O31" s="182">
        <f t="shared" si="28"/>
        <v>175</v>
      </c>
      <c r="P31" s="182">
        <f t="shared" si="28"/>
        <v>490</v>
      </c>
      <c r="Q31" s="182">
        <f t="shared" si="28"/>
        <v>3116</v>
      </c>
      <c r="R31" s="17"/>
      <c r="S31" s="182">
        <f t="shared" ref="S31:AB31" si="29">S6</f>
        <v>355</v>
      </c>
      <c r="T31" s="182">
        <f t="shared" si="29"/>
        <v>146</v>
      </c>
      <c r="U31" s="182">
        <f t="shared" si="29"/>
        <v>523</v>
      </c>
      <c r="V31" s="182">
        <f t="shared" si="29"/>
        <v>412</v>
      </c>
      <c r="W31" s="182">
        <f t="shared" si="29"/>
        <v>468</v>
      </c>
      <c r="X31" s="182">
        <f t="shared" si="29"/>
        <v>312</v>
      </c>
      <c r="Y31" s="182">
        <f t="shared" si="29"/>
        <v>366</v>
      </c>
      <c r="Z31" s="182">
        <f t="shared" si="29"/>
        <v>172</v>
      </c>
      <c r="AA31" s="182">
        <f t="shared" si="29"/>
        <v>358</v>
      </c>
      <c r="AB31" s="182">
        <f t="shared" si="29"/>
        <v>3112</v>
      </c>
      <c r="AC31" s="182">
        <f t="shared" ref="AC31:AC32" si="32">AB31+Q31</f>
        <v>6228</v>
      </c>
      <c r="AD31" s="12"/>
      <c r="AE31" s="1"/>
      <c r="AF31" s="1"/>
    </row>
    <row r="32" ht="15.0" customHeight="1">
      <c r="B32" s="181"/>
      <c r="C32" s="1"/>
      <c r="D32" s="1"/>
      <c r="E32" s="7"/>
      <c r="F32" s="146"/>
      <c r="G32" s="147" t="str">
        <f t="shared" ref="G32:Q32" si="30">G7</f>
        <v>PAR</v>
      </c>
      <c r="H32" s="147">
        <f t="shared" si="30"/>
        <v>4</v>
      </c>
      <c r="I32" s="147">
        <f t="shared" si="30"/>
        <v>4</v>
      </c>
      <c r="J32" s="147">
        <f t="shared" si="30"/>
        <v>4</v>
      </c>
      <c r="K32" s="147">
        <f t="shared" si="30"/>
        <v>3</v>
      </c>
      <c r="L32" s="147">
        <f t="shared" si="30"/>
        <v>4</v>
      </c>
      <c r="M32" s="147">
        <f t="shared" si="30"/>
        <v>4</v>
      </c>
      <c r="N32" s="147">
        <f t="shared" si="30"/>
        <v>5</v>
      </c>
      <c r="O32" s="147">
        <f t="shared" si="30"/>
        <v>3</v>
      </c>
      <c r="P32" s="147">
        <f t="shared" si="30"/>
        <v>5</v>
      </c>
      <c r="Q32" s="147">
        <f t="shared" si="30"/>
        <v>36</v>
      </c>
      <c r="R32" s="17"/>
      <c r="S32" s="147">
        <f t="shared" ref="S32:AB32" si="31">S7</f>
        <v>4</v>
      </c>
      <c r="T32" s="147">
        <f t="shared" si="31"/>
        <v>3</v>
      </c>
      <c r="U32" s="147">
        <f t="shared" si="31"/>
        <v>5</v>
      </c>
      <c r="V32" s="147">
        <f t="shared" si="31"/>
        <v>4</v>
      </c>
      <c r="W32" s="147">
        <f t="shared" si="31"/>
        <v>5</v>
      </c>
      <c r="X32" s="147">
        <f t="shared" si="31"/>
        <v>4</v>
      </c>
      <c r="Y32" s="147">
        <f t="shared" si="31"/>
        <v>4</v>
      </c>
      <c r="Z32" s="147">
        <f t="shared" si="31"/>
        <v>3</v>
      </c>
      <c r="AA32" s="147">
        <f t="shared" si="31"/>
        <v>4</v>
      </c>
      <c r="AB32" s="147">
        <f t="shared" si="31"/>
        <v>36</v>
      </c>
      <c r="AC32" s="147">
        <f t="shared" si="32"/>
        <v>72</v>
      </c>
      <c r="AD32" s="12"/>
      <c r="AE32" s="1"/>
      <c r="AF32" s="1"/>
    </row>
    <row r="33" ht="15.0" customHeight="1">
      <c r="B33" s="181"/>
      <c r="C33" s="1"/>
      <c r="D33" s="1"/>
      <c r="E33" s="7"/>
      <c r="F33" s="1"/>
      <c r="G33" s="148" t="str">
        <f t="shared" ref="G33:P33" si="33">G8</f>
        <v>HDCP</v>
      </c>
      <c r="H33" s="148">
        <f t="shared" si="33"/>
        <v>5</v>
      </c>
      <c r="I33" s="148">
        <f t="shared" si="33"/>
        <v>9</v>
      </c>
      <c r="J33" s="148">
        <f t="shared" si="33"/>
        <v>7</v>
      </c>
      <c r="K33" s="148">
        <f t="shared" si="33"/>
        <v>17</v>
      </c>
      <c r="L33" s="148">
        <f t="shared" si="33"/>
        <v>11</v>
      </c>
      <c r="M33" s="148">
        <f t="shared" si="33"/>
        <v>1</v>
      </c>
      <c r="N33" s="148">
        <f t="shared" si="33"/>
        <v>13</v>
      </c>
      <c r="O33" s="148">
        <f t="shared" si="33"/>
        <v>15</v>
      </c>
      <c r="P33" s="148">
        <f t="shared" si="33"/>
        <v>3</v>
      </c>
      <c r="Q33" s="148"/>
      <c r="R33" s="17"/>
      <c r="S33" s="148">
        <f t="shared" ref="S33:AA33" si="34">S8</f>
        <v>14</v>
      </c>
      <c r="T33" s="148">
        <f t="shared" si="34"/>
        <v>18</v>
      </c>
      <c r="U33" s="148">
        <f t="shared" si="34"/>
        <v>6</v>
      </c>
      <c r="V33" s="148">
        <f t="shared" si="34"/>
        <v>10</v>
      </c>
      <c r="W33" s="148">
        <f t="shared" si="34"/>
        <v>2</v>
      </c>
      <c r="X33" s="148">
        <f t="shared" si="34"/>
        <v>12</v>
      </c>
      <c r="Y33" s="148">
        <f t="shared" si="34"/>
        <v>4</v>
      </c>
      <c r="Z33" s="148">
        <f t="shared" si="34"/>
        <v>16</v>
      </c>
      <c r="AA33" s="148">
        <f t="shared" si="34"/>
        <v>8</v>
      </c>
      <c r="AB33" s="148"/>
      <c r="AC33" s="148"/>
      <c r="AD33" s="12"/>
      <c r="AE33" s="1"/>
      <c r="AF33" s="1"/>
    </row>
    <row r="34" ht="6.75" customHeight="1">
      <c r="B34" s="181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2"/>
      <c r="AE34" s="1"/>
      <c r="AF34" s="1"/>
    </row>
    <row r="35" ht="11.25" customHeight="1">
      <c r="B35" s="181"/>
      <c r="C35" s="1"/>
      <c r="D35" s="1"/>
      <c r="E35" s="7"/>
      <c r="F35" s="183" t="s">
        <v>121</v>
      </c>
      <c r="G35" s="150">
        <f>IFERROR(VLOOKUP(F35,HANDICAPS!$B$8:$G$23,$D$3,FALSE),"")</f>
        <v>0</v>
      </c>
      <c r="H35" s="151" t="str">
        <f t="shared" ref="H35:P35" si="35">IFERROR(IF($G35&gt;18,IF(($G35-18)&gt;H$33,"**","*"),IF($G35&gt;=H$8,"*","")),"")</f>
        <v/>
      </c>
      <c r="I35" s="151" t="str">
        <f t="shared" si="35"/>
        <v/>
      </c>
      <c r="J35" s="151" t="str">
        <f t="shared" si="35"/>
        <v/>
      </c>
      <c r="K35" s="152" t="str">
        <f t="shared" si="35"/>
        <v/>
      </c>
      <c r="L35" s="151" t="str">
        <f t="shared" si="35"/>
        <v/>
      </c>
      <c r="M35" s="151" t="str">
        <f t="shared" si="35"/>
        <v/>
      </c>
      <c r="N35" s="151" t="str">
        <f t="shared" si="35"/>
        <v/>
      </c>
      <c r="O35" s="151" t="str">
        <f t="shared" si="35"/>
        <v/>
      </c>
      <c r="P35" s="151" t="str">
        <f t="shared" si="35"/>
        <v/>
      </c>
      <c r="Q35" s="151"/>
      <c r="R35" s="153"/>
      <c r="S35" s="151" t="str">
        <f t="shared" ref="S35:AA35" si="36">IFERROR(IF($G35&gt;18,IF(($G35-18)&gt;S$33,"**","*"),IF($G35&gt;=S$8,"*","")),"")</f>
        <v/>
      </c>
      <c r="T35" s="151" t="str">
        <f t="shared" si="36"/>
        <v/>
      </c>
      <c r="U35" s="151" t="str">
        <f t="shared" si="36"/>
        <v/>
      </c>
      <c r="V35" s="151" t="str">
        <f t="shared" si="36"/>
        <v/>
      </c>
      <c r="W35" s="151" t="str">
        <f t="shared" si="36"/>
        <v/>
      </c>
      <c r="X35" s="151" t="str">
        <f t="shared" si="36"/>
        <v/>
      </c>
      <c r="Y35" s="152" t="str">
        <f t="shared" si="36"/>
        <v/>
      </c>
      <c r="Z35" s="151" t="str">
        <f t="shared" si="36"/>
        <v/>
      </c>
      <c r="AA35" s="151" t="str">
        <f t="shared" si="36"/>
        <v/>
      </c>
      <c r="AB35" s="151"/>
      <c r="AC35" s="151" t="str">
        <f>IF(AB35="","",SUM(Q35,AB35))</f>
        <v/>
      </c>
      <c r="AD35" s="12"/>
      <c r="AE35" s="1"/>
      <c r="AF35" s="1"/>
    </row>
    <row r="36" ht="18.75" customHeight="1">
      <c r="B36" s="181" t="str">
        <f>F35</f>
        <v>DEREK</v>
      </c>
      <c r="C36" s="1"/>
      <c r="D36" s="1"/>
      <c r="E36" s="7"/>
      <c r="F36" s="154"/>
      <c r="G36" s="155"/>
      <c r="H36" s="186">
        <v>4.0</v>
      </c>
      <c r="I36" s="186">
        <v>4.0</v>
      </c>
      <c r="J36" s="186">
        <v>4.0</v>
      </c>
      <c r="K36" s="187">
        <v>4.0</v>
      </c>
      <c r="L36" s="186">
        <v>4.0</v>
      </c>
      <c r="M36" s="186">
        <v>4.0</v>
      </c>
      <c r="N36" s="186">
        <v>5.0</v>
      </c>
      <c r="O36" s="186">
        <v>4.0</v>
      </c>
      <c r="P36" s="186">
        <v>7.0</v>
      </c>
      <c r="Q36" s="156">
        <f>IF(H36="","",SUM(H36:P36))</f>
        <v>40</v>
      </c>
      <c r="R36" s="153"/>
      <c r="S36" s="186">
        <v>4.0</v>
      </c>
      <c r="T36" s="186">
        <v>5.0</v>
      </c>
      <c r="U36" s="186">
        <v>4.0</v>
      </c>
      <c r="V36" s="186">
        <v>4.0</v>
      </c>
      <c r="W36" s="186">
        <v>6.0</v>
      </c>
      <c r="X36" s="186">
        <v>3.0</v>
      </c>
      <c r="Y36" s="187">
        <v>5.0</v>
      </c>
      <c r="Z36" s="186">
        <v>5.0</v>
      </c>
      <c r="AA36" s="186">
        <v>4.0</v>
      </c>
      <c r="AB36" s="156">
        <f>IF(S36="","",SUM(S36:AA36))</f>
        <v>40</v>
      </c>
      <c r="AC36" s="156">
        <f>IFERROR(Q36+AB36,"")</f>
        <v>80</v>
      </c>
      <c r="AD36" s="12"/>
      <c r="AE36" s="1"/>
      <c r="AF36" s="1"/>
    </row>
    <row r="37" ht="11.25" customHeight="1">
      <c r="B37" s="181"/>
      <c r="C37" s="1"/>
      <c r="D37" s="1"/>
      <c r="E37" s="7"/>
      <c r="F37" s="183" t="s">
        <v>100</v>
      </c>
      <c r="G37" s="150">
        <f>IFERROR(VLOOKUP(F37,HANDICAPS!$B$8:$G$23,$D$3,FALSE),"")</f>
        <v>14</v>
      </c>
      <c r="H37" s="158" t="str">
        <f t="shared" ref="H37:P37" si="37">IFERROR(IF($G37&gt;18,IF(($G37-18)&gt;H$33,"**","*"),IF($G37&gt;=H$8,"*","")),"")</f>
        <v>*</v>
      </c>
      <c r="I37" s="158" t="str">
        <f t="shared" si="37"/>
        <v>*</v>
      </c>
      <c r="J37" s="158" t="str">
        <f t="shared" si="37"/>
        <v>*</v>
      </c>
      <c r="K37" s="159" t="str">
        <f t="shared" si="37"/>
        <v/>
      </c>
      <c r="L37" s="158" t="str">
        <f t="shared" si="37"/>
        <v>*</v>
      </c>
      <c r="M37" s="158" t="str">
        <f t="shared" si="37"/>
        <v>*</v>
      </c>
      <c r="N37" s="158" t="str">
        <f t="shared" si="37"/>
        <v>*</v>
      </c>
      <c r="O37" s="158" t="str">
        <f t="shared" si="37"/>
        <v/>
      </c>
      <c r="P37" s="158" t="str">
        <f t="shared" si="37"/>
        <v>*</v>
      </c>
      <c r="Q37" s="158"/>
      <c r="R37" s="158"/>
      <c r="S37" s="158" t="str">
        <f t="shared" ref="S37:AA37" si="38">IFERROR(IF($G37&gt;18,IF(($G37-18)&gt;S$33,"**","*"),IF($G37&gt;=S$8,"*","")),"")</f>
        <v>*</v>
      </c>
      <c r="T37" s="158" t="str">
        <f t="shared" si="38"/>
        <v/>
      </c>
      <c r="U37" s="158" t="str">
        <f t="shared" si="38"/>
        <v>*</v>
      </c>
      <c r="V37" s="158" t="str">
        <f t="shared" si="38"/>
        <v>*</v>
      </c>
      <c r="W37" s="158" t="str">
        <f t="shared" si="38"/>
        <v>*</v>
      </c>
      <c r="X37" s="158" t="str">
        <f t="shared" si="38"/>
        <v>*</v>
      </c>
      <c r="Y37" s="159" t="str">
        <f t="shared" si="38"/>
        <v>*</v>
      </c>
      <c r="Z37" s="158" t="str">
        <f t="shared" si="38"/>
        <v/>
      </c>
      <c r="AA37" s="158" t="str">
        <f t="shared" si="38"/>
        <v>*</v>
      </c>
      <c r="AB37" s="151"/>
      <c r="AC37" s="151" t="str">
        <f>IF(AB37="","",SUM(Q37,AB37))</f>
        <v/>
      </c>
      <c r="AD37" s="12"/>
      <c r="AE37" s="1"/>
      <c r="AF37" s="1"/>
    </row>
    <row r="38" ht="18.75" customHeight="1">
      <c r="B38" s="181" t="str">
        <f>F37</f>
        <v>MAX</v>
      </c>
      <c r="C38" s="1"/>
      <c r="D38" s="1"/>
      <c r="E38" s="7"/>
      <c r="F38" s="154"/>
      <c r="G38" s="155"/>
      <c r="H38" s="186">
        <v>5.0</v>
      </c>
      <c r="I38" s="186">
        <v>5.0</v>
      </c>
      <c r="J38" s="186">
        <v>5.0</v>
      </c>
      <c r="K38" s="187">
        <v>4.0</v>
      </c>
      <c r="L38" s="186">
        <v>5.0</v>
      </c>
      <c r="M38" s="186">
        <v>7.0</v>
      </c>
      <c r="N38" s="186">
        <v>5.0</v>
      </c>
      <c r="O38" s="186">
        <v>4.0</v>
      </c>
      <c r="P38" s="186">
        <v>8.0</v>
      </c>
      <c r="Q38" s="156">
        <f>IF(H38="","",SUM(H38:P38))</f>
        <v>48</v>
      </c>
      <c r="R38" s="160"/>
      <c r="S38" s="186">
        <v>5.0</v>
      </c>
      <c r="T38" s="186">
        <v>5.0</v>
      </c>
      <c r="U38" s="186">
        <v>7.0</v>
      </c>
      <c r="V38" s="186">
        <v>4.0</v>
      </c>
      <c r="W38" s="186">
        <v>5.0</v>
      </c>
      <c r="X38" s="186">
        <v>5.0</v>
      </c>
      <c r="Y38" s="187">
        <v>4.0</v>
      </c>
      <c r="Z38" s="186">
        <v>5.0</v>
      </c>
      <c r="AA38" s="186">
        <v>4.0</v>
      </c>
      <c r="AB38" s="156">
        <f>IF(S38="","",SUM(S38:AA38))</f>
        <v>44</v>
      </c>
      <c r="AC38" s="156">
        <f>IFERROR(Q38+AB38,"")</f>
        <v>92</v>
      </c>
      <c r="AD38" s="12"/>
      <c r="AE38" s="1"/>
      <c r="AF38" s="1"/>
    </row>
    <row r="39" ht="6.75" customHeight="1">
      <c r="B39" s="181"/>
      <c r="C39" s="1"/>
      <c r="D39" s="1"/>
      <c r="E39" s="7"/>
      <c r="F39" s="16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12"/>
      <c r="AE39" s="1"/>
      <c r="AF39" s="1"/>
    </row>
    <row r="40" ht="27.75" customHeight="1">
      <c r="B40" s="181" t="str">
        <f>F39</f>
        <v/>
      </c>
      <c r="C40" s="1"/>
      <c r="D40" s="1"/>
      <c r="E40" s="7"/>
      <c r="F40" s="161" t="s">
        <v>143</v>
      </c>
      <c r="G40" s="142"/>
      <c r="H40" s="162">
        <f t="shared" ref="H40:P40" si="39">IF(H36="","",MIN(IF(H35="**",H36-2,IF(H35="*",H36-1,H36)),(IF(H37="**",H38-2,IF(H37="*",H38-1,H38)))))</f>
        <v>4</v>
      </c>
      <c r="I40" s="162">
        <f t="shared" si="39"/>
        <v>4</v>
      </c>
      <c r="J40" s="162">
        <f t="shared" si="39"/>
        <v>4</v>
      </c>
      <c r="K40" s="163">
        <f t="shared" si="39"/>
        <v>4</v>
      </c>
      <c r="L40" s="162">
        <f t="shared" si="39"/>
        <v>4</v>
      </c>
      <c r="M40" s="162">
        <f t="shared" si="39"/>
        <v>4</v>
      </c>
      <c r="N40" s="162">
        <f t="shared" si="39"/>
        <v>4</v>
      </c>
      <c r="O40" s="162">
        <f t="shared" si="39"/>
        <v>4</v>
      </c>
      <c r="P40" s="162">
        <f t="shared" si="39"/>
        <v>7</v>
      </c>
      <c r="Q40" s="162">
        <f t="shared" ref="Q40:Q41" si="42">IF(H40="","",SUM(H40:P40))</f>
        <v>39</v>
      </c>
      <c r="R40" s="23"/>
      <c r="S40" s="162">
        <f t="shared" ref="S40:AA40" si="40">IF(S36="","",MIN(IF(S35="**",S36-2,IF(S35="*",S36-1,S36)),(IF(S37="**",S38-2,IF(S37="*",S38-1,S38)))))</f>
        <v>4</v>
      </c>
      <c r="T40" s="162">
        <f t="shared" si="40"/>
        <v>5</v>
      </c>
      <c r="U40" s="162">
        <f t="shared" si="40"/>
        <v>4</v>
      </c>
      <c r="V40" s="162">
        <f t="shared" si="40"/>
        <v>3</v>
      </c>
      <c r="W40" s="162">
        <f t="shared" si="40"/>
        <v>4</v>
      </c>
      <c r="X40" s="162">
        <f t="shared" si="40"/>
        <v>3</v>
      </c>
      <c r="Y40" s="163">
        <f t="shared" si="40"/>
        <v>3</v>
      </c>
      <c r="Z40" s="162">
        <f t="shared" si="40"/>
        <v>5</v>
      </c>
      <c r="AA40" s="162">
        <f t="shared" si="40"/>
        <v>3</v>
      </c>
      <c r="AB40" s="162">
        <f t="shared" ref="AB40:AB41" si="44">IF(S40="","",SUM(S40:AA40))</f>
        <v>34</v>
      </c>
      <c r="AC40" s="162">
        <f t="shared" ref="AC40:AC41" si="45">IF(AB40="","",AB40+Q40)</f>
        <v>73</v>
      </c>
      <c r="AD40" s="12"/>
      <c r="AE40" s="1"/>
      <c r="AF40" s="1"/>
    </row>
    <row r="41" ht="27.75" customHeight="1">
      <c r="B41" s="181"/>
      <c r="C41" s="1"/>
      <c r="D41" s="1"/>
      <c r="E41" s="7"/>
      <c r="F41" s="161" t="s">
        <v>144</v>
      </c>
      <c r="G41" s="142"/>
      <c r="H41" s="164">
        <f t="shared" ref="H41:P41" si="41">IF(H40="","",IF(H40=H48,0.5,IF(H40&lt;H48,1,0)))</f>
        <v>0</v>
      </c>
      <c r="I41" s="164">
        <f t="shared" si="41"/>
        <v>0</v>
      </c>
      <c r="J41" s="164">
        <f t="shared" si="41"/>
        <v>0</v>
      </c>
      <c r="K41" s="165">
        <f t="shared" si="41"/>
        <v>0</v>
      </c>
      <c r="L41" s="164">
        <f t="shared" si="41"/>
        <v>0.5</v>
      </c>
      <c r="M41" s="164">
        <f t="shared" si="41"/>
        <v>0</v>
      </c>
      <c r="N41" s="164">
        <f t="shared" si="41"/>
        <v>1</v>
      </c>
      <c r="O41" s="164">
        <f t="shared" si="41"/>
        <v>0.5</v>
      </c>
      <c r="P41" s="164">
        <f t="shared" si="41"/>
        <v>0</v>
      </c>
      <c r="Q41" s="164">
        <f t="shared" si="42"/>
        <v>2</v>
      </c>
      <c r="R41" s="23"/>
      <c r="S41" s="164">
        <f t="shared" ref="S41:AA41" si="43">IF(S40="","",IF(S40=S48,0.5,IF(S40&lt;S48,1,0)))</f>
        <v>1</v>
      </c>
      <c r="T41" s="164">
        <f t="shared" si="43"/>
        <v>0</v>
      </c>
      <c r="U41" s="164">
        <f t="shared" si="43"/>
        <v>0.5</v>
      </c>
      <c r="V41" s="164">
        <f t="shared" si="43"/>
        <v>1</v>
      </c>
      <c r="W41" s="164">
        <f t="shared" si="43"/>
        <v>1</v>
      </c>
      <c r="X41" s="164">
        <f t="shared" si="43"/>
        <v>1</v>
      </c>
      <c r="Y41" s="165">
        <f t="shared" si="43"/>
        <v>0.5</v>
      </c>
      <c r="Z41" s="164">
        <f t="shared" si="43"/>
        <v>0</v>
      </c>
      <c r="AA41" s="164">
        <f t="shared" si="43"/>
        <v>1</v>
      </c>
      <c r="AB41" s="164">
        <f t="shared" si="44"/>
        <v>6</v>
      </c>
      <c r="AC41" s="164">
        <f t="shared" si="45"/>
        <v>8</v>
      </c>
      <c r="AD41" s="12"/>
      <c r="AE41" s="1"/>
      <c r="AF41" s="1"/>
    </row>
    <row r="42" ht="6.75" customHeight="1">
      <c r="B42" s="181"/>
      <c r="C42" s="1"/>
      <c r="D42" s="1"/>
      <c r="E42" s="7"/>
      <c r="F42" s="16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12"/>
      <c r="AE42" s="1"/>
      <c r="AF42" s="1"/>
    </row>
    <row r="43" ht="11.25" customHeight="1">
      <c r="B43" s="181"/>
      <c r="C43" s="1"/>
      <c r="D43" s="1"/>
      <c r="E43" s="7"/>
      <c r="F43" s="183" t="s">
        <v>126</v>
      </c>
      <c r="G43" s="150">
        <f>IFERROR(VLOOKUP(F43,HANDICAPS!$B$8:$G$23,$D$3,FALSE),"")</f>
        <v>7</v>
      </c>
      <c r="H43" s="151" t="str">
        <f t="shared" ref="H43:P43" si="46">IFERROR(IF($G43&gt;18,IF(($G43-18)&gt;H$33,"**","*"),IF($G43&gt;=H$8,"*","")),"")</f>
        <v>*</v>
      </c>
      <c r="I43" s="151" t="str">
        <f t="shared" si="46"/>
        <v/>
      </c>
      <c r="J43" s="151" t="str">
        <f t="shared" si="46"/>
        <v>*</v>
      </c>
      <c r="K43" s="152" t="str">
        <f t="shared" si="46"/>
        <v/>
      </c>
      <c r="L43" s="151" t="str">
        <f t="shared" si="46"/>
        <v/>
      </c>
      <c r="M43" s="151" t="str">
        <f t="shared" si="46"/>
        <v>*</v>
      </c>
      <c r="N43" s="151" t="str">
        <f t="shared" si="46"/>
        <v/>
      </c>
      <c r="O43" s="151" t="str">
        <f t="shared" si="46"/>
        <v/>
      </c>
      <c r="P43" s="151" t="str">
        <f t="shared" si="46"/>
        <v>*</v>
      </c>
      <c r="Q43" s="151"/>
      <c r="R43" s="153"/>
      <c r="S43" s="151" t="str">
        <f t="shared" ref="S43:AA43" si="47">IFERROR(IF($G43&gt;18,IF(($G43-18)&gt;S$33,"**","*"),IF($G43&gt;=S$8,"*","")),"")</f>
        <v/>
      </c>
      <c r="T43" s="151" t="str">
        <f t="shared" si="47"/>
        <v/>
      </c>
      <c r="U43" s="151" t="str">
        <f t="shared" si="47"/>
        <v>*</v>
      </c>
      <c r="V43" s="151" t="str">
        <f t="shared" si="47"/>
        <v/>
      </c>
      <c r="W43" s="151" t="str">
        <f t="shared" si="47"/>
        <v>*</v>
      </c>
      <c r="X43" s="151" t="str">
        <f t="shared" si="47"/>
        <v/>
      </c>
      <c r="Y43" s="152" t="str">
        <f t="shared" si="47"/>
        <v>*</v>
      </c>
      <c r="Z43" s="151" t="str">
        <f t="shared" si="47"/>
        <v/>
      </c>
      <c r="AA43" s="151" t="str">
        <f t="shared" si="47"/>
        <v/>
      </c>
      <c r="AB43" s="151"/>
      <c r="AC43" s="151" t="str">
        <f>IF(AB43="","",SUM(Q43,AB43))</f>
        <v/>
      </c>
      <c r="AD43" s="12"/>
      <c r="AE43" s="1"/>
      <c r="AF43" s="1"/>
    </row>
    <row r="44" ht="18.75" customHeight="1">
      <c r="B44" s="181" t="str">
        <f>F43</f>
        <v>BEN</v>
      </c>
      <c r="C44" s="1"/>
      <c r="D44" s="1"/>
      <c r="E44" s="7"/>
      <c r="F44" s="154"/>
      <c r="G44" s="155"/>
      <c r="H44" s="186">
        <v>4.0</v>
      </c>
      <c r="I44" s="186">
        <v>3.0</v>
      </c>
      <c r="J44" s="186">
        <v>4.0</v>
      </c>
      <c r="K44" s="187">
        <v>3.0</v>
      </c>
      <c r="L44" s="186">
        <v>4.0</v>
      </c>
      <c r="M44" s="186">
        <v>3.0</v>
      </c>
      <c r="N44" s="186">
        <v>5.0</v>
      </c>
      <c r="O44" s="186">
        <v>4.0</v>
      </c>
      <c r="P44" s="186">
        <v>4.0</v>
      </c>
      <c r="Q44" s="156">
        <f>IF(H44="","",SUM(H44:P44))</f>
        <v>34</v>
      </c>
      <c r="R44" s="153"/>
      <c r="S44" s="186">
        <v>6.0</v>
      </c>
      <c r="T44" s="186">
        <v>3.0</v>
      </c>
      <c r="U44" s="186">
        <v>5.0</v>
      </c>
      <c r="V44" s="186">
        <v>6.0</v>
      </c>
      <c r="W44" s="186">
        <v>6.0</v>
      </c>
      <c r="X44" s="186">
        <v>5.0</v>
      </c>
      <c r="Y44" s="187">
        <v>5.0</v>
      </c>
      <c r="Z44" s="186">
        <v>3.0</v>
      </c>
      <c r="AA44" s="186">
        <v>4.0</v>
      </c>
      <c r="AB44" s="156">
        <f>IF(S44="","",SUM(S44:AA44))</f>
        <v>43</v>
      </c>
      <c r="AC44" s="156">
        <f>IFERROR(Q44+AB44,"")</f>
        <v>77</v>
      </c>
      <c r="AD44" s="12"/>
      <c r="AE44" s="1"/>
      <c r="AF44" s="1"/>
    </row>
    <row r="45" ht="11.25" customHeight="1">
      <c r="B45" s="181"/>
      <c r="C45" s="1"/>
      <c r="D45" s="1"/>
      <c r="E45" s="7"/>
      <c r="F45" s="183" t="s">
        <v>81</v>
      </c>
      <c r="G45" s="150">
        <f>IFERROR(VLOOKUP(F45,HANDICAPS!$B$8:$G$23,$D$3,FALSE),"")</f>
        <v>7</v>
      </c>
      <c r="H45" s="158" t="str">
        <f t="shared" ref="H45:P45" si="48">IFERROR(IF($G45&gt;18,IF(($G45-18)&gt;H$33,"**","*"),IF($G45&gt;=H$8,"*","")),"")</f>
        <v>*</v>
      </c>
      <c r="I45" s="158" t="str">
        <f t="shared" si="48"/>
        <v/>
      </c>
      <c r="J45" s="158" t="str">
        <f t="shared" si="48"/>
        <v>*</v>
      </c>
      <c r="K45" s="159" t="str">
        <f t="shared" si="48"/>
        <v/>
      </c>
      <c r="L45" s="158" t="str">
        <f t="shared" si="48"/>
        <v/>
      </c>
      <c r="M45" s="158" t="str">
        <f t="shared" si="48"/>
        <v>*</v>
      </c>
      <c r="N45" s="158" t="str">
        <f t="shared" si="48"/>
        <v/>
      </c>
      <c r="O45" s="158" t="str">
        <f t="shared" si="48"/>
        <v/>
      </c>
      <c r="P45" s="158" t="str">
        <f t="shared" si="48"/>
        <v>*</v>
      </c>
      <c r="Q45" s="158"/>
      <c r="R45" s="158"/>
      <c r="S45" s="158" t="str">
        <f t="shared" ref="S45:AA45" si="49">IFERROR(IF($G45&gt;18,IF(($G45-18)&gt;S$33,"**","*"),IF($G45&gt;=S$8,"*","")),"")</f>
        <v/>
      </c>
      <c r="T45" s="158" t="str">
        <f t="shared" si="49"/>
        <v/>
      </c>
      <c r="U45" s="158" t="str">
        <f t="shared" si="49"/>
        <v>*</v>
      </c>
      <c r="V45" s="158" t="str">
        <f t="shared" si="49"/>
        <v/>
      </c>
      <c r="W45" s="158" t="str">
        <f t="shared" si="49"/>
        <v>*</v>
      </c>
      <c r="X45" s="158" t="str">
        <f t="shared" si="49"/>
        <v/>
      </c>
      <c r="Y45" s="159" t="str">
        <f t="shared" si="49"/>
        <v>*</v>
      </c>
      <c r="Z45" s="158" t="str">
        <f t="shared" si="49"/>
        <v/>
      </c>
      <c r="AA45" s="158" t="str">
        <f t="shared" si="49"/>
        <v/>
      </c>
      <c r="AB45" s="151"/>
      <c r="AC45" s="151" t="str">
        <f>IF(AB45="","",SUM(Q45,AB45))</f>
        <v/>
      </c>
      <c r="AD45" s="12"/>
      <c r="AE45" s="1"/>
      <c r="AF45" s="1"/>
    </row>
    <row r="46" ht="18.75" customHeight="1">
      <c r="B46" s="181" t="str">
        <f>F45</f>
        <v>ZACH</v>
      </c>
      <c r="C46" s="1"/>
      <c r="D46" s="1"/>
      <c r="E46" s="7"/>
      <c r="F46" s="154"/>
      <c r="G46" s="155"/>
      <c r="H46" s="186">
        <v>5.0</v>
      </c>
      <c r="I46" s="186">
        <v>4.0</v>
      </c>
      <c r="J46" s="186">
        <v>5.0</v>
      </c>
      <c r="K46" s="187">
        <v>5.0</v>
      </c>
      <c r="L46" s="186">
        <v>4.0</v>
      </c>
      <c r="M46" s="186">
        <v>6.0</v>
      </c>
      <c r="N46" s="186">
        <v>5.0</v>
      </c>
      <c r="O46" s="186">
        <v>4.0</v>
      </c>
      <c r="P46" s="186">
        <v>5.0</v>
      </c>
      <c r="Q46" s="156">
        <f>IF(H46="","",SUM(H46:P46))</f>
        <v>43</v>
      </c>
      <c r="R46" s="160"/>
      <c r="S46" s="186">
        <v>5.0</v>
      </c>
      <c r="T46" s="186">
        <v>3.0</v>
      </c>
      <c r="U46" s="186">
        <v>6.0</v>
      </c>
      <c r="V46" s="186">
        <v>5.0</v>
      </c>
      <c r="W46" s="186">
        <v>7.0</v>
      </c>
      <c r="X46" s="186">
        <v>5.0</v>
      </c>
      <c r="Y46" s="187">
        <v>4.0</v>
      </c>
      <c r="Z46" s="186">
        <v>3.0</v>
      </c>
      <c r="AA46" s="186">
        <v>5.0</v>
      </c>
      <c r="AB46" s="156">
        <f>IF(S46="","",SUM(S46:AA46))</f>
        <v>43</v>
      </c>
      <c r="AC46" s="156">
        <f>IFERROR(Q46+AB46,"")</f>
        <v>86</v>
      </c>
      <c r="AD46" s="12"/>
      <c r="AE46" s="1"/>
      <c r="AF46" s="1"/>
    </row>
    <row r="47" ht="6.75" customHeight="1">
      <c r="B47" s="181"/>
      <c r="C47" s="1"/>
      <c r="D47" s="1"/>
      <c r="E47" s="7"/>
      <c r="F47" s="16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12"/>
      <c r="AE47" s="1"/>
      <c r="AF47" s="1"/>
    </row>
    <row r="48" ht="27.75" customHeight="1">
      <c r="B48" s="181"/>
      <c r="C48" s="1"/>
      <c r="D48" s="1"/>
      <c r="E48" s="7"/>
      <c r="F48" s="161" t="s">
        <v>143</v>
      </c>
      <c r="G48" s="142"/>
      <c r="H48" s="162">
        <f t="shared" ref="H48:P48" si="50">IF(H44="","",MIN(IF(H43="**",H44-2,IF(H43="*",H44-1,H44)),(IF(H45="**",H46-2,IF(H45="*",H46-1,H46)))))</f>
        <v>3</v>
      </c>
      <c r="I48" s="162">
        <f t="shared" si="50"/>
        <v>3</v>
      </c>
      <c r="J48" s="162">
        <f t="shared" si="50"/>
        <v>3</v>
      </c>
      <c r="K48" s="163">
        <f t="shared" si="50"/>
        <v>3</v>
      </c>
      <c r="L48" s="162">
        <f t="shared" si="50"/>
        <v>4</v>
      </c>
      <c r="M48" s="162">
        <f t="shared" si="50"/>
        <v>2</v>
      </c>
      <c r="N48" s="162">
        <f t="shared" si="50"/>
        <v>5</v>
      </c>
      <c r="O48" s="162">
        <f t="shared" si="50"/>
        <v>4</v>
      </c>
      <c r="P48" s="162">
        <f t="shared" si="50"/>
        <v>3</v>
      </c>
      <c r="Q48" s="162">
        <f t="shared" ref="Q48:Q49" si="53">IF(H48="","",SUM(H48:P48))</f>
        <v>30</v>
      </c>
      <c r="R48" s="23"/>
      <c r="S48" s="162">
        <f t="shared" ref="S48:AA48" si="51">IF(S44="","",MIN(IF(S43="**",S44-2,IF(S43="*",S44-1,S44)),(IF(S45="**",S46-2,IF(S45="*",S46-1,S46)))))</f>
        <v>5</v>
      </c>
      <c r="T48" s="162">
        <f t="shared" si="51"/>
        <v>3</v>
      </c>
      <c r="U48" s="162">
        <f t="shared" si="51"/>
        <v>4</v>
      </c>
      <c r="V48" s="162">
        <f t="shared" si="51"/>
        <v>5</v>
      </c>
      <c r="W48" s="162">
        <f t="shared" si="51"/>
        <v>5</v>
      </c>
      <c r="X48" s="162">
        <f t="shared" si="51"/>
        <v>5</v>
      </c>
      <c r="Y48" s="163">
        <f t="shared" si="51"/>
        <v>3</v>
      </c>
      <c r="Z48" s="162">
        <f t="shared" si="51"/>
        <v>3</v>
      </c>
      <c r="AA48" s="162">
        <f t="shared" si="51"/>
        <v>4</v>
      </c>
      <c r="AB48" s="162">
        <f t="shared" ref="AB48:AB49" si="55">IF(S48="","",SUM(S48:AA48))</f>
        <v>37</v>
      </c>
      <c r="AC48" s="162">
        <f t="shared" ref="AC48:AC49" si="56">IF(AB48="","",AB48+Q48)</f>
        <v>67</v>
      </c>
      <c r="AD48" s="12"/>
      <c r="AE48" s="1"/>
      <c r="AF48" s="1"/>
    </row>
    <row r="49" ht="27.75" customHeight="1">
      <c r="B49" s="181"/>
      <c r="C49" s="1"/>
      <c r="D49" s="1"/>
      <c r="E49" s="7"/>
      <c r="F49" s="161" t="s">
        <v>144</v>
      </c>
      <c r="G49" s="142"/>
      <c r="H49" s="164">
        <f t="shared" ref="H49:P49" si="52">IF(H48="","",IF(H48=H40,0.5,IF(H48&lt;H40,1,0)))</f>
        <v>1</v>
      </c>
      <c r="I49" s="164">
        <f t="shared" si="52"/>
        <v>1</v>
      </c>
      <c r="J49" s="164">
        <f t="shared" si="52"/>
        <v>1</v>
      </c>
      <c r="K49" s="165">
        <f t="shared" si="52"/>
        <v>1</v>
      </c>
      <c r="L49" s="164">
        <f t="shared" si="52"/>
        <v>0.5</v>
      </c>
      <c r="M49" s="164">
        <f t="shared" si="52"/>
        <v>1</v>
      </c>
      <c r="N49" s="164">
        <f t="shared" si="52"/>
        <v>0</v>
      </c>
      <c r="O49" s="164">
        <f t="shared" si="52"/>
        <v>0.5</v>
      </c>
      <c r="P49" s="164">
        <f t="shared" si="52"/>
        <v>1</v>
      </c>
      <c r="Q49" s="164">
        <f t="shared" si="53"/>
        <v>7</v>
      </c>
      <c r="R49" s="23"/>
      <c r="S49" s="164">
        <f t="shared" ref="S49:AA49" si="54">IF(S48="","",IF(S48=S40,0.5,IF(S48&lt;S40,1,0)))</f>
        <v>0</v>
      </c>
      <c r="T49" s="164">
        <f t="shared" si="54"/>
        <v>1</v>
      </c>
      <c r="U49" s="164">
        <f t="shared" si="54"/>
        <v>0.5</v>
      </c>
      <c r="V49" s="164">
        <f t="shared" si="54"/>
        <v>0</v>
      </c>
      <c r="W49" s="164">
        <f t="shared" si="54"/>
        <v>0</v>
      </c>
      <c r="X49" s="164">
        <f t="shared" si="54"/>
        <v>0</v>
      </c>
      <c r="Y49" s="165">
        <f t="shared" si="54"/>
        <v>0.5</v>
      </c>
      <c r="Z49" s="164">
        <f t="shared" si="54"/>
        <v>1</v>
      </c>
      <c r="AA49" s="164">
        <f t="shared" si="54"/>
        <v>0</v>
      </c>
      <c r="AB49" s="164">
        <f t="shared" si="55"/>
        <v>3</v>
      </c>
      <c r="AC49" s="164">
        <f t="shared" si="56"/>
        <v>10</v>
      </c>
      <c r="AD49" s="12"/>
      <c r="AE49" s="1"/>
      <c r="AF49" s="1"/>
    </row>
    <row r="50" ht="6.75" customHeight="1">
      <c r="B50" s="181"/>
      <c r="C50" s="1"/>
      <c r="D50" s="1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1"/>
      <c r="AF50" s="1"/>
    </row>
    <row r="51" ht="9.75" hidden="1" customHeight="1">
      <c r="B51" s="181"/>
      <c r="C51" s="1"/>
      <c r="D51" s="1"/>
      <c r="E51" s="3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6.75" customHeight="1">
      <c r="B52" s="181"/>
      <c r="C52" s="1"/>
      <c r="D52" s="1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  <c r="AA52" s="4"/>
      <c r="AB52" s="4"/>
      <c r="AC52" s="4"/>
      <c r="AD52" s="5"/>
      <c r="AE52" s="1"/>
      <c r="AF52" s="1"/>
    </row>
    <row r="53" ht="15.75" customHeight="1">
      <c r="B53" s="181"/>
      <c r="C53" s="1"/>
      <c r="D53" s="1"/>
      <c r="E53" s="7"/>
      <c r="F53" s="140" t="str">
        <f>F28</f>
        <v>MICHIGAN OPEN 2022 - ROUND 1 - LINKS/QUARRY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2"/>
      <c r="AD53" s="12"/>
      <c r="AE53" s="1"/>
      <c r="AF53" s="1"/>
    </row>
    <row r="54" ht="18.75" customHeight="1">
      <c r="B54" s="181"/>
      <c r="C54" s="1"/>
      <c r="D54" s="1"/>
      <c r="E54" s="7"/>
      <c r="F54" s="1"/>
      <c r="G54" s="1"/>
      <c r="H54" s="1"/>
      <c r="I54" s="1"/>
      <c r="J54" s="13" t="str">
        <f>J29</f>
        <v>LINKS</v>
      </c>
      <c r="K54" s="14"/>
      <c r="L54" s="14"/>
      <c r="M54" s="14"/>
      <c r="N54" s="14"/>
      <c r="O54" s="1"/>
      <c r="P54" s="1"/>
      <c r="Q54" s="1"/>
      <c r="R54" s="1"/>
      <c r="S54" s="1"/>
      <c r="T54" s="1"/>
      <c r="U54" s="1"/>
      <c r="V54" s="13" t="str">
        <f>V29</f>
        <v>QUARRY</v>
      </c>
      <c r="W54" s="14"/>
      <c r="X54" s="14"/>
      <c r="Y54" s="14"/>
      <c r="Z54" s="14"/>
      <c r="AA54" s="1"/>
      <c r="AB54" s="1"/>
      <c r="AC54" s="1"/>
      <c r="AD54" s="12"/>
      <c r="AE54" s="1"/>
      <c r="AF54" s="1"/>
    </row>
    <row r="55" ht="15.0" customHeight="1">
      <c r="B55" s="181"/>
      <c r="C55" s="1"/>
      <c r="D55" s="1"/>
      <c r="E55" s="7"/>
      <c r="F55" s="1"/>
      <c r="G55" s="143" t="str">
        <f t="shared" ref="G55:Q55" si="57">G30</f>
        <v>HOLE</v>
      </c>
      <c r="H55" s="143">
        <f t="shared" si="57"/>
        <v>1</v>
      </c>
      <c r="I55" s="143">
        <f t="shared" si="57"/>
        <v>2</v>
      </c>
      <c r="J55" s="143">
        <f t="shared" si="57"/>
        <v>3</v>
      </c>
      <c r="K55" s="143">
        <f t="shared" si="57"/>
        <v>4</v>
      </c>
      <c r="L55" s="143">
        <f t="shared" si="57"/>
        <v>5</v>
      </c>
      <c r="M55" s="143">
        <f t="shared" si="57"/>
        <v>6</v>
      </c>
      <c r="N55" s="143">
        <f t="shared" si="57"/>
        <v>7</v>
      </c>
      <c r="O55" s="143">
        <f t="shared" si="57"/>
        <v>8</v>
      </c>
      <c r="P55" s="143">
        <f t="shared" si="57"/>
        <v>9</v>
      </c>
      <c r="Q55" s="143" t="str">
        <f t="shared" si="57"/>
        <v>OUT</v>
      </c>
      <c r="R55" s="16"/>
      <c r="S55" s="143">
        <f t="shared" ref="S55:AC55" si="58">S30</f>
        <v>1</v>
      </c>
      <c r="T55" s="143">
        <f t="shared" si="58"/>
        <v>2</v>
      </c>
      <c r="U55" s="143">
        <f t="shared" si="58"/>
        <v>3</v>
      </c>
      <c r="V55" s="143">
        <f t="shared" si="58"/>
        <v>4</v>
      </c>
      <c r="W55" s="143">
        <f t="shared" si="58"/>
        <v>5</v>
      </c>
      <c r="X55" s="143">
        <f t="shared" si="58"/>
        <v>6</v>
      </c>
      <c r="Y55" s="143">
        <f t="shared" si="58"/>
        <v>7</v>
      </c>
      <c r="Z55" s="143">
        <f t="shared" si="58"/>
        <v>8</v>
      </c>
      <c r="AA55" s="143">
        <f t="shared" si="58"/>
        <v>9</v>
      </c>
      <c r="AB55" s="143" t="str">
        <f t="shared" si="58"/>
        <v>IN</v>
      </c>
      <c r="AC55" s="143" t="str">
        <f t="shared" si="58"/>
        <v>TOTAL</v>
      </c>
      <c r="AD55" s="12"/>
      <c r="AE55" s="1"/>
      <c r="AF55" s="1"/>
    </row>
    <row r="56" ht="15.0" customHeight="1">
      <c r="B56" s="181"/>
      <c r="C56" s="1"/>
      <c r="D56" s="1"/>
      <c r="E56" s="7"/>
      <c r="F56" s="144" t="s">
        <v>154</v>
      </c>
      <c r="G56" s="182" t="str">
        <f t="shared" ref="G56:Q56" si="59">G31</f>
        <v>ORANGE</v>
      </c>
      <c r="H56" s="182">
        <f t="shared" si="59"/>
        <v>375</v>
      </c>
      <c r="I56" s="182">
        <f t="shared" si="59"/>
        <v>383</v>
      </c>
      <c r="J56" s="182">
        <f t="shared" si="59"/>
        <v>368</v>
      </c>
      <c r="K56" s="182">
        <f t="shared" si="59"/>
        <v>151</v>
      </c>
      <c r="L56" s="182">
        <f t="shared" si="59"/>
        <v>332</v>
      </c>
      <c r="M56" s="182">
        <f t="shared" si="59"/>
        <v>352</v>
      </c>
      <c r="N56" s="182">
        <f t="shared" si="59"/>
        <v>490</v>
      </c>
      <c r="O56" s="182">
        <f t="shared" si="59"/>
        <v>175</v>
      </c>
      <c r="P56" s="182">
        <f t="shared" si="59"/>
        <v>490</v>
      </c>
      <c r="Q56" s="182">
        <f t="shared" si="59"/>
        <v>3116</v>
      </c>
      <c r="R56" s="17"/>
      <c r="S56" s="182">
        <f t="shared" ref="S56:AB56" si="60">S31</f>
        <v>355</v>
      </c>
      <c r="T56" s="182">
        <f t="shared" si="60"/>
        <v>146</v>
      </c>
      <c r="U56" s="182">
        <f t="shared" si="60"/>
        <v>523</v>
      </c>
      <c r="V56" s="182">
        <f t="shared" si="60"/>
        <v>412</v>
      </c>
      <c r="W56" s="182">
        <f t="shared" si="60"/>
        <v>468</v>
      </c>
      <c r="X56" s="182">
        <f t="shared" si="60"/>
        <v>312</v>
      </c>
      <c r="Y56" s="182">
        <f t="shared" si="60"/>
        <v>366</v>
      </c>
      <c r="Z56" s="182">
        <f t="shared" si="60"/>
        <v>172</v>
      </c>
      <c r="AA56" s="182">
        <f t="shared" si="60"/>
        <v>358</v>
      </c>
      <c r="AB56" s="182">
        <f t="shared" si="60"/>
        <v>3112</v>
      </c>
      <c r="AC56" s="182">
        <f t="shared" ref="AC56:AC57" si="63">AB56+Q56</f>
        <v>6228</v>
      </c>
      <c r="AD56" s="12"/>
      <c r="AE56" s="1"/>
      <c r="AF56" s="1"/>
    </row>
    <row r="57" ht="15.0" customHeight="1">
      <c r="B57" s="181"/>
      <c r="C57" s="1"/>
      <c r="D57" s="1"/>
      <c r="E57" s="7"/>
      <c r="F57" s="146"/>
      <c r="G57" s="147" t="str">
        <f t="shared" ref="G57:Q57" si="61">G32</f>
        <v>PAR</v>
      </c>
      <c r="H57" s="147">
        <f t="shared" si="61"/>
        <v>4</v>
      </c>
      <c r="I57" s="147">
        <f t="shared" si="61"/>
        <v>4</v>
      </c>
      <c r="J57" s="147">
        <f t="shared" si="61"/>
        <v>4</v>
      </c>
      <c r="K57" s="147">
        <f t="shared" si="61"/>
        <v>3</v>
      </c>
      <c r="L57" s="147">
        <f t="shared" si="61"/>
        <v>4</v>
      </c>
      <c r="M57" s="147">
        <f t="shared" si="61"/>
        <v>4</v>
      </c>
      <c r="N57" s="147">
        <f t="shared" si="61"/>
        <v>5</v>
      </c>
      <c r="O57" s="147">
        <f t="shared" si="61"/>
        <v>3</v>
      </c>
      <c r="P57" s="147">
        <f t="shared" si="61"/>
        <v>5</v>
      </c>
      <c r="Q57" s="147">
        <f t="shared" si="61"/>
        <v>36</v>
      </c>
      <c r="R57" s="17"/>
      <c r="S57" s="147">
        <f t="shared" ref="S57:AB57" si="62">S32</f>
        <v>4</v>
      </c>
      <c r="T57" s="147">
        <f t="shared" si="62"/>
        <v>3</v>
      </c>
      <c r="U57" s="147">
        <f t="shared" si="62"/>
        <v>5</v>
      </c>
      <c r="V57" s="147">
        <f t="shared" si="62"/>
        <v>4</v>
      </c>
      <c r="W57" s="147">
        <f t="shared" si="62"/>
        <v>5</v>
      </c>
      <c r="X57" s="147">
        <f t="shared" si="62"/>
        <v>4</v>
      </c>
      <c r="Y57" s="147">
        <f t="shared" si="62"/>
        <v>4</v>
      </c>
      <c r="Z57" s="147">
        <f t="shared" si="62"/>
        <v>3</v>
      </c>
      <c r="AA57" s="147">
        <f t="shared" si="62"/>
        <v>4</v>
      </c>
      <c r="AB57" s="147">
        <f t="shared" si="62"/>
        <v>36</v>
      </c>
      <c r="AC57" s="147">
        <f t="shared" si="63"/>
        <v>72</v>
      </c>
      <c r="AD57" s="12"/>
      <c r="AE57" s="1"/>
      <c r="AF57" s="1"/>
    </row>
    <row r="58" ht="15.0" customHeight="1">
      <c r="B58" s="181"/>
      <c r="C58" s="1"/>
      <c r="D58" s="1"/>
      <c r="E58" s="7"/>
      <c r="F58" s="1"/>
      <c r="G58" s="148" t="str">
        <f t="shared" ref="G58:P58" si="64">G33</f>
        <v>HDCP</v>
      </c>
      <c r="H58" s="148">
        <f t="shared" si="64"/>
        <v>5</v>
      </c>
      <c r="I58" s="148">
        <f t="shared" si="64"/>
        <v>9</v>
      </c>
      <c r="J58" s="148">
        <f t="shared" si="64"/>
        <v>7</v>
      </c>
      <c r="K58" s="148">
        <f t="shared" si="64"/>
        <v>17</v>
      </c>
      <c r="L58" s="148">
        <f t="shared" si="64"/>
        <v>11</v>
      </c>
      <c r="M58" s="148">
        <f t="shared" si="64"/>
        <v>1</v>
      </c>
      <c r="N58" s="148">
        <f t="shared" si="64"/>
        <v>13</v>
      </c>
      <c r="O58" s="148">
        <f t="shared" si="64"/>
        <v>15</v>
      </c>
      <c r="P58" s="148">
        <f t="shared" si="64"/>
        <v>3</v>
      </c>
      <c r="Q58" s="148"/>
      <c r="R58" s="17"/>
      <c r="S58" s="148">
        <f t="shared" ref="S58:AA58" si="65">S33</f>
        <v>14</v>
      </c>
      <c r="T58" s="148">
        <f t="shared" si="65"/>
        <v>18</v>
      </c>
      <c r="U58" s="148">
        <f t="shared" si="65"/>
        <v>6</v>
      </c>
      <c r="V58" s="148">
        <f t="shared" si="65"/>
        <v>10</v>
      </c>
      <c r="W58" s="148">
        <f t="shared" si="65"/>
        <v>2</v>
      </c>
      <c r="X58" s="148">
        <f t="shared" si="65"/>
        <v>12</v>
      </c>
      <c r="Y58" s="148">
        <f t="shared" si="65"/>
        <v>4</v>
      </c>
      <c r="Z58" s="148">
        <f t="shared" si="65"/>
        <v>16</v>
      </c>
      <c r="AA58" s="148">
        <f t="shared" si="65"/>
        <v>8</v>
      </c>
      <c r="AB58" s="148"/>
      <c r="AC58" s="148"/>
      <c r="AD58" s="12"/>
      <c r="AE58" s="1"/>
      <c r="AF58" s="1"/>
    </row>
    <row r="59" ht="6.75" customHeight="1">
      <c r="B59" s="181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2"/>
      <c r="AE59" s="1"/>
      <c r="AF59" s="1"/>
    </row>
    <row r="60" ht="11.25" customHeight="1">
      <c r="B60" s="181"/>
      <c r="C60" s="1"/>
      <c r="D60" s="1"/>
      <c r="E60" s="7"/>
      <c r="F60" s="183" t="s">
        <v>123</v>
      </c>
      <c r="G60" s="150">
        <f>IFERROR(VLOOKUP(F60,HANDICAPS!$B$8:$G$23,$D$3,FALSE),"")</f>
        <v>1</v>
      </c>
      <c r="H60" s="151" t="str">
        <f t="shared" ref="H60:P60" si="66">IFERROR(IF($G60&gt;18,IF(($G60-18)&gt;H$33,"**","*"),IF($G60&gt;=H$8,"*","")),"")</f>
        <v/>
      </c>
      <c r="I60" s="151" t="str">
        <f t="shared" si="66"/>
        <v/>
      </c>
      <c r="J60" s="151" t="str">
        <f t="shared" si="66"/>
        <v/>
      </c>
      <c r="K60" s="152" t="str">
        <f t="shared" si="66"/>
        <v/>
      </c>
      <c r="L60" s="151" t="str">
        <f t="shared" si="66"/>
        <v/>
      </c>
      <c r="M60" s="151" t="str">
        <f t="shared" si="66"/>
        <v>*</v>
      </c>
      <c r="N60" s="151" t="str">
        <f t="shared" si="66"/>
        <v/>
      </c>
      <c r="O60" s="151" t="str">
        <f t="shared" si="66"/>
        <v/>
      </c>
      <c r="P60" s="151" t="str">
        <f t="shared" si="66"/>
        <v/>
      </c>
      <c r="Q60" s="151"/>
      <c r="R60" s="153"/>
      <c r="S60" s="151" t="str">
        <f t="shared" ref="S60:AA60" si="67">IFERROR(IF($G60&gt;18,IF(($G60-18)&gt;S$33,"**","*"),IF($G60&gt;=S$8,"*","")),"")</f>
        <v/>
      </c>
      <c r="T60" s="151" t="str">
        <f t="shared" si="67"/>
        <v/>
      </c>
      <c r="U60" s="151" t="str">
        <f t="shared" si="67"/>
        <v/>
      </c>
      <c r="V60" s="151" t="str">
        <f t="shared" si="67"/>
        <v/>
      </c>
      <c r="W60" s="151" t="str">
        <f t="shared" si="67"/>
        <v/>
      </c>
      <c r="X60" s="151" t="str">
        <f t="shared" si="67"/>
        <v/>
      </c>
      <c r="Y60" s="152" t="str">
        <f t="shared" si="67"/>
        <v/>
      </c>
      <c r="Z60" s="151" t="str">
        <f t="shared" si="67"/>
        <v/>
      </c>
      <c r="AA60" s="151" t="str">
        <f t="shared" si="67"/>
        <v/>
      </c>
      <c r="AB60" s="151"/>
      <c r="AC60" s="151" t="str">
        <f>IF(AB60="","",SUM(Q60,AB60))</f>
        <v/>
      </c>
      <c r="AD60" s="12"/>
      <c r="AE60" s="1"/>
      <c r="AF60" s="1"/>
    </row>
    <row r="61" ht="18.75" customHeight="1">
      <c r="B61" s="181" t="str">
        <f>F60</f>
        <v>SCOTT</v>
      </c>
      <c r="C61" s="1"/>
      <c r="D61" s="1"/>
      <c r="E61" s="7"/>
      <c r="F61" s="154"/>
      <c r="G61" s="155"/>
      <c r="H61" s="184">
        <v>4.0</v>
      </c>
      <c r="I61" s="184">
        <v>5.0</v>
      </c>
      <c r="J61" s="184">
        <v>3.0</v>
      </c>
      <c r="K61" s="185">
        <v>3.0</v>
      </c>
      <c r="L61" s="184">
        <v>3.0</v>
      </c>
      <c r="M61" s="184">
        <v>4.0</v>
      </c>
      <c r="N61" s="184">
        <v>7.0</v>
      </c>
      <c r="O61" s="184">
        <v>4.0</v>
      </c>
      <c r="P61" s="184">
        <v>5.0</v>
      </c>
      <c r="Q61" s="156">
        <f>IF(H61="","",SUM(H61:P61))</f>
        <v>38</v>
      </c>
      <c r="R61" s="153"/>
      <c r="S61" s="184">
        <v>6.0</v>
      </c>
      <c r="T61" s="184">
        <v>3.0</v>
      </c>
      <c r="U61" s="184">
        <v>5.0</v>
      </c>
      <c r="V61" s="184">
        <v>3.0</v>
      </c>
      <c r="W61" s="184">
        <v>5.0</v>
      </c>
      <c r="X61" s="184">
        <v>5.0</v>
      </c>
      <c r="Y61" s="185">
        <v>5.0</v>
      </c>
      <c r="Z61" s="184">
        <v>3.0</v>
      </c>
      <c r="AA61" s="184">
        <v>4.0</v>
      </c>
      <c r="AB61" s="156">
        <f>IF(S61="","",SUM(S61:AA61))</f>
        <v>39</v>
      </c>
      <c r="AC61" s="156">
        <f>IFERROR(Q61+AB61,"")</f>
        <v>77</v>
      </c>
      <c r="AD61" s="12"/>
      <c r="AE61" s="1"/>
      <c r="AF61" s="1"/>
    </row>
    <row r="62" ht="11.25" customHeight="1">
      <c r="B62" s="181"/>
      <c r="C62" s="1"/>
      <c r="D62" s="1"/>
      <c r="E62" s="7"/>
      <c r="F62" s="149" t="s">
        <v>86</v>
      </c>
      <c r="G62" s="150">
        <f>IFERROR(VLOOKUP(F62,HANDICAPS!$B$8:$G$23,$D$3,FALSE),"")</f>
        <v>24</v>
      </c>
      <c r="H62" s="158" t="str">
        <f t="shared" ref="H62:P62" si="68">IFERROR(IF($G62&gt;18,IF(($G62-18)&gt;H$33,"**","*"),IF($G62&gt;=H$8,"*","")),"")</f>
        <v>**</v>
      </c>
      <c r="I62" s="158" t="str">
        <f t="shared" si="68"/>
        <v>*</v>
      </c>
      <c r="J62" s="158" t="str">
        <f t="shared" si="68"/>
        <v>*</v>
      </c>
      <c r="K62" s="159" t="str">
        <f t="shared" si="68"/>
        <v>*</v>
      </c>
      <c r="L62" s="158" t="str">
        <f t="shared" si="68"/>
        <v>*</v>
      </c>
      <c r="M62" s="158" t="str">
        <f t="shared" si="68"/>
        <v>**</v>
      </c>
      <c r="N62" s="158" t="str">
        <f t="shared" si="68"/>
        <v>*</v>
      </c>
      <c r="O62" s="158" t="str">
        <f t="shared" si="68"/>
        <v>*</v>
      </c>
      <c r="P62" s="158" t="str">
        <f t="shared" si="68"/>
        <v>**</v>
      </c>
      <c r="Q62" s="158"/>
      <c r="R62" s="158"/>
      <c r="S62" s="158" t="str">
        <f t="shared" ref="S62:AA62" si="69">IFERROR(IF($G62&gt;18,IF(($G62-18)&gt;S$33,"**","*"),IF($G62&gt;=S$8,"*","")),"")</f>
        <v>*</v>
      </c>
      <c r="T62" s="158" t="str">
        <f t="shared" si="69"/>
        <v>*</v>
      </c>
      <c r="U62" s="158" t="str">
        <f t="shared" si="69"/>
        <v>*</v>
      </c>
      <c r="V62" s="158" t="str">
        <f t="shared" si="69"/>
        <v>*</v>
      </c>
      <c r="W62" s="158" t="str">
        <f t="shared" si="69"/>
        <v>**</v>
      </c>
      <c r="X62" s="158" t="str">
        <f t="shared" si="69"/>
        <v>*</v>
      </c>
      <c r="Y62" s="159" t="str">
        <f t="shared" si="69"/>
        <v>**</v>
      </c>
      <c r="Z62" s="158" t="str">
        <f t="shared" si="69"/>
        <v>*</v>
      </c>
      <c r="AA62" s="158" t="str">
        <f t="shared" si="69"/>
        <v>*</v>
      </c>
      <c r="AB62" s="151"/>
      <c r="AC62" s="151" t="str">
        <f>IF(AB62="","",SUM(Q62,AB62))</f>
        <v/>
      </c>
      <c r="AD62" s="12"/>
      <c r="AE62" s="1"/>
      <c r="AF62" s="1"/>
    </row>
    <row r="63" ht="18.75" customHeight="1">
      <c r="B63" s="181" t="str">
        <f>F62</f>
        <v>RYAN</v>
      </c>
      <c r="C63" s="1"/>
      <c r="D63" s="1"/>
      <c r="E63" s="7"/>
      <c r="F63" s="154"/>
      <c r="G63" s="155"/>
      <c r="H63" s="186">
        <v>7.0</v>
      </c>
      <c r="I63" s="186">
        <v>5.0</v>
      </c>
      <c r="J63" s="186">
        <v>7.0</v>
      </c>
      <c r="K63" s="187">
        <v>4.0</v>
      </c>
      <c r="L63" s="186">
        <v>7.0</v>
      </c>
      <c r="M63" s="186">
        <v>6.0</v>
      </c>
      <c r="N63" s="186">
        <v>5.0</v>
      </c>
      <c r="O63" s="186">
        <v>6.0</v>
      </c>
      <c r="P63" s="186">
        <v>8.0</v>
      </c>
      <c r="Q63" s="156">
        <f>IF(H63="","",SUM(H63:P63))</f>
        <v>55</v>
      </c>
      <c r="R63" s="160"/>
      <c r="S63" s="186">
        <v>7.0</v>
      </c>
      <c r="T63" s="186">
        <v>4.0</v>
      </c>
      <c r="U63" s="186">
        <v>8.0</v>
      </c>
      <c r="V63" s="186">
        <v>4.0</v>
      </c>
      <c r="W63" s="186">
        <v>5.0</v>
      </c>
      <c r="X63" s="186">
        <v>5.0</v>
      </c>
      <c r="Y63" s="187">
        <v>6.0</v>
      </c>
      <c r="Z63" s="186">
        <v>6.0</v>
      </c>
      <c r="AA63" s="186">
        <v>7.0</v>
      </c>
      <c r="AB63" s="156">
        <f>IF(S63="","",SUM(S63:AA63))</f>
        <v>52</v>
      </c>
      <c r="AC63" s="156">
        <f>IFERROR(Q63+AB63,"")</f>
        <v>107</v>
      </c>
      <c r="AD63" s="12"/>
      <c r="AE63" s="1"/>
      <c r="AF63" s="1"/>
    </row>
    <row r="64" ht="6.75" customHeight="1">
      <c r="B64" s="181"/>
      <c r="C64" s="1"/>
      <c r="D64" s="1"/>
      <c r="E64" s="7"/>
      <c r="F64" s="16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12"/>
      <c r="AE64" s="1"/>
      <c r="AF64" s="1"/>
    </row>
    <row r="65" ht="27.75" customHeight="1">
      <c r="B65" s="181" t="str">
        <f>F64</f>
        <v/>
      </c>
      <c r="C65" s="1"/>
      <c r="D65" s="1"/>
      <c r="E65" s="7"/>
      <c r="F65" s="161" t="s">
        <v>143</v>
      </c>
      <c r="G65" s="142"/>
      <c r="H65" s="162">
        <f t="shared" ref="H65:P65" si="70">IF(H61="","",MIN(IF(H60="**",H61-2,IF(H60="*",H61-1,H61)),(IF(H62="**",H63-2,IF(H62="*",H63-1,H63)))))</f>
        <v>4</v>
      </c>
      <c r="I65" s="162">
        <f t="shared" si="70"/>
        <v>4</v>
      </c>
      <c r="J65" s="162">
        <f t="shared" si="70"/>
        <v>3</v>
      </c>
      <c r="K65" s="163">
        <f t="shared" si="70"/>
        <v>3</v>
      </c>
      <c r="L65" s="162">
        <f t="shared" si="70"/>
        <v>3</v>
      </c>
      <c r="M65" s="162">
        <f t="shared" si="70"/>
        <v>3</v>
      </c>
      <c r="N65" s="162">
        <f t="shared" si="70"/>
        <v>4</v>
      </c>
      <c r="O65" s="162">
        <f t="shared" si="70"/>
        <v>4</v>
      </c>
      <c r="P65" s="162">
        <f t="shared" si="70"/>
        <v>5</v>
      </c>
      <c r="Q65" s="162">
        <f t="shared" ref="Q65:Q66" si="73">IF(H65="","",SUM(H65:P65))</f>
        <v>33</v>
      </c>
      <c r="R65" s="23"/>
      <c r="S65" s="162">
        <f t="shared" ref="S65:AA65" si="71">IF(S61="","",MIN(IF(S60="**",S61-2,IF(S60="*",S61-1,S61)),(IF(S62="**",S63-2,IF(S62="*",S63-1,S63)))))</f>
        <v>6</v>
      </c>
      <c r="T65" s="162">
        <f t="shared" si="71"/>
        <v>3</v>
      </c>
      <c r="U65" s="162">
        <f t="shared" si="71"/>
        <v>5</v>
      </c>
      <c r="V65" s="162">
        <f t="shared" si="71"/>
        <v>3</v>
      </c>
      <c r="W65" s="162">
        <f t="shared" si="71"/>
        <v>3</v>
      </c>
      <c r="X65" s="162">
        <f t="shared" si="71"/>
        <v>4</v>
      </c>
      <c r="Y65" s="163">
        <f t="shared" si="71"/>
        <v>4</v>
      </c>
      <c r="Z65" s="162">
        <f t="shared" si="71"/>
        <v>3</v>
      </c>
      <c r="AA65" s="162">
        <f t="shared" si="71"/>
        <v>4</v>
      </c>
      <c r="AB65" s="162">
        <f t="shared" ref="AB65:AB66" si="75">IF(S65="","",SUM(S65:AA65))</f>
        <v>35</v>
      </c>
      <c r="AC65" s="162">
        <f t="shared" ref="AC65:AC66" si="76">IF(AB65="","",AB65+Q65)</f>
        <v>68</v>
      </c>
      <c r="AD65" s="12"/>
      <c r="AE65" s="1"/>
      <c r="AF65" s="1"/>
    </row>
    <row r="66" ht="27.75" customHeight="1">
      <c r="B66" s="181"/>
      <c r="C66" s="1"/>
      <c r="D66" s="1"/>
      <c r="E66" s="7"/>
      <c r="F66" s="161" t="s">
        <v>144</v>
      </c>
      <c r="G66" s="142"/>
      <c r="H66" s="164">
        <f t="shared" ref="H66:P66" si="72">IF(H65="","",IF(H65=H73,0.5,IF(H65&lt;H73,1,0)))</f>
        <v>0</v>
      </c>
      <c r="I66" s="164">
        <f t="shared" si="72"/>
        <v>1</v>
      </c>
      <c r="J66" s="164">
        <f t="shared" si="72"/>
        <v>1</v>
      </c>
      <c r="K66" s="165">
        <f t="shared" si="72"/>
        <v>0</v>
      </c>
      <c r="L66" s="164">
        <f t="shared" si="72"/>
        <v>1</v>
      </c>
      <c r="M66" s="164">
        <f t="shared" si="72"/>
        <v>1</v>
      </c>
      <c r="N66" s="164">
        <f t="shared" si="72"/>
        <v>1</v>
      </c>
      <c r="O66" s="164">
        <f t="shared" si="72"/>
        <v>0</v>
      </c>
      <c r="P66" s="164">
        <f t="shared" si="72"/>
        <v>0.5</v>
      </c>
      <c r="Q66" s="164">
        <f t="shared" si="73"/>
        <v>5.5</v>
      </c>
      <c r="R66" s="23"/>
      <c r="S66" s="164">
        <f t="shared" ref="S66:AA66" si="74">IF(S65="","",IF(S65=S73,0.5,IF(S65&lt;S73,1,0)))</f>
        <v>0</v>
      </c>
      <c r="T66" s="164">
        <f t="shared" si="74"/>
        <v>0</v>
      </c>
      <c r="U66" s="164">
        <f t="shared" si="74"/>
        <v>0.5</v>
      </c>
      <c r="V66" s="164">
        <f t="shared" si="74"/>
        <v>1</v>
      </c>
      <c r="W66" s="164">
        <f t="shared" si="74"/>
        <v>1</v>
      </c>
      <c r="X66" s="164">
        <f t="shared" si="74"/>
        <v>1</v>
      </c>
      <c r="Y66" s="165">
        <f t="shared" si="74"/>
        <v>0</v>
      </c>
      <c r="Z66" s="164">
        <f t="shared" si="74"/>
        <v>1</v>
      </c>
      <c r="AA66" s="164">
        <f t="shared" si="74"/>
        <v>0.5</v>
      </c>
      <c r="AB66" s="164">
        <f t="shared" si="75"/>
        <v>5</v>
      </c>
      <c r="AC66" s="164">
        <f t="shared" si="76"/>
        <v>10.5</v>
      </c>
      <c r="AD66" s="12"/>
      <c r="AE66" s="1"/>
      <c r="AF66" s="1"/>
    </row>
    <row r="67" ht="6.75" customHeight="1">
      <c r="B67" s="181"/>
      <c r="C67" s="1"/>
      <c r="D67" s="1"/>
      <c r="E67" s="7"/>
      <c r="F67" s="16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12"/>
      <c r="AE67" s="1"/>
      <c r="AF67" s="1"/>
    </row>
    <row r="68" ht="11.25" customHeight="1">
      <c r="B68" s="181"/>
      <c r="C68" s="1"/>
      <c r="D68" s="1"/>
      <c r="E68" s="7"/>
      <c r="F68" s="183" t="s">
        <v>83</v>
      </c>
      <c r="G68" s="150">
        <f>IFERROR(VLOOKUP(F68,HANDICAPS!$B$8:$G$23,$D$3,FALSE),"")</f>
        <v>7</v>
      </c>
      <c r="H68" s="151" t="str">
        <f t="shared" ref="H68:P68" si="77">IFERROR(IF($G68&gt;18,IF(($G68-18)&gt;H$33,"**","*"),IF($G68&gt;=H$8,"*","")),"")</f>
        <v>*</v>
      </c>
      <c r="I68" s="151" t="str">
        <f t="shared" si="77"/>
        <v/>
      </c>
      <c r="J68" s="151" t="str">
        <f t="shared" si="77"/>
        <v>*</v>
      </c>
      <c r="K68" s="152" t="str">
        <f t="shared" si="77"/>
        <v/>
      </c>
      <c r="L68" s="151" t="str">
        <f t="shared" si="77"/>
        <v/>
      </c>
      <c r="M68" s="151" t="str">
        <f t="shared" si="77"/>
        <v>*</v>
      </c>
      <c r="N68" s="151" t="str">
        <f t="shared" si="77"/>
        <v/>
      </c>
      <c r="O68" s="151" t="str">
        <f t="shared" si="77"/>
        <v/>
      </c>
      <c r="P68" s="151" t="str">
        <f t="shared" si="77"/>
        <v>*</v>
      </c>
      <c r="Q68" s="151"/>
      <c r="R68" s="153"/>
      <c r="S68" s="151" t="str">
        <f t="shared" ref="S68:AA68" si="78">IFERROR(IF($G68&gt;18,IF(($G68-18)&gt;S$33,"**","*"),IF($G68&gt;=S$8,"*","")),"")</f>
        <v/>
      </c>
      <c r="T68" s="151" t="str">
        <f t="shared" si="78"/>
        <v/>
      </c>
      <c r="U68" s="151" t="str">
        <f t="shared" si="78"/>
        <v>*</v>
      </c>
      <c r="V68" s="151" t="str">
        <f t="shared" si="78"/>
        <v/>
      </c>
      <c r="W68" s="151" t="str">
        <f t="shared" si="78"/>
        <v>*</v>
      </c>
      <c r="X68" s="151" t="str">
        <f t="shared" si="78"/>
        <v/>
      </c>
      <c r="Y68" s="152" t="str">
        <f t="shared" si="78"/>
        <v>*</v>
      </c>
      <c r="Z68" s="151" t="str">
        <f t="shared" si="78"/>
        <v/>
      </c>
      <c r="AA68" s="151" t="str">
        <f t="shared" si="78"/>
        <v/>
      </c>
      <c r="AB68" s="151"/>
      <c r="AC68" s="151" t="str">
        <f>IF(AB68="","",SUM(Q68,AB68))</f>
        <v/>
      </c>
      <c r="AD68" s="12"/>
      <c r="AE68" s="1"/>
      <c r="AF68" s="1"/>
    </row>
    <row r="69" ht="18.75" customHeight="1">
      <c r="B69" s="181" t="str">
        <f>F68</f>
        <v>DANNY</v>
      </c>
      <c r="C69" s="1"/>
      <c r="D69" s="1"/>
      <c r="E69" s="7"/>
      <c r="F69" s="154"/>
      <c r="G69" s="155"/>
      <c r="H69" s="186">
        <v>4.0</v>
      </c>
      <c r="I69" s="186">
        <v>5.0</v>
      </c>
      <c r="J69" s="186">
        <v>5.0</v>
      </c>
      <c r="K69" s="187">
        <v>2.0</v>
      </c>
      <c r="L69" s="186">
        <v>5.0</v>
      </c>
      <c r="M69" s="186">
        <v>5.0</v>
      </c>
      <c r="N69" s="186">
        <v>7.0</v>
      </c>
      <c r="O69" s="186">
        <v>4.0</v>
      </c>
      <c r="P69" s="186">
        <v>7.0</v>
      </c>
      <c r="Q69" s="156">
        <f>IF(H69="","",SUM(H69:P69))</f>
        <v>44</v>
      </c>
      <c r="R69" s="153"/>
      <c r="S69" s="186">
        <v>5.0</v>
      </c>
      <c r="T69" s="186">
        <v>2.0</v>
      </c>
      <c r="U69" s="186">
        <v>6.0</v>
      </c>
      <c r="V69" s="186">
        <v>6.0</v>
      </c>
      <c r="W69" s="186">
        <v>6.0</v>
      </c>
      <c r="X69" s="186">
        <v>5.0</v>
      </c>
      <c r="Y69" s="187">
        <v>4.0</v>
      </c>
      <c r="Z69" s="186">
        <v>5.0</v>
      </c>
      <c r="AA69" s="186">
        <v>6.0</v>
      </c>
      <c r="AB69" s="156">
        <f>IF(S69="","",SUM(S69:AA69))</f>
        <v>45</v>
      </c>
      <c r="AC69" s="156">
        <f>IFERROR(Q69+AB69,"")</f>
        <v>89</v>
      </c>
      <c r="AD69" s="12"/>
      <c r="AE69" s="1"/>
      <c r="AF69" s="1"/>
    </row>
    <row r="70" ht="11.25" customHeight="1">
      <c r="B70" s="181"/>
      <c r="C70" s="1"/>
      <c r="D70" s="1"/>
      <c r="E70" s="7"/>
      <c r="F70" s="183" t="s">
        <v>131</v>
      </c>
      <c r="G70" s="150">
        <f>IFERROR(VLOOKUP(F70,HANDICAPS!$B$8:$G$23,$D$3,FALSE),"")</f>
        <v>21</v>
      </c>
      <c r="H70" s="158" t="str">
        <f t="shared" ref="H70:P70" si="79">IFERROR(IF($G70&gt;18,IF(($G70-18)&gt;H$33,"**","*"),IF($G70&gt;=H$8,"*","")),"")</f>
        <v>*</v>
      </c>
      <c r="I70" s="158" t="str">
        <f t="shared" si="79"/>
        <v>*</v>
      </c>
      <c r="J70" s="158" t="str">
        <f t="shared" si="79"/>
        <v>*</v>
      </c>
      <c r="K70" s="159" t="str">
        <f t="shared" si="79"/>
        <v>*</v>
      </c>
      <c r="L70" s="158" t="str">
        <f t="shared" si="79"/>
        <v>*</v>
      </c>
      <c r="M70" s="158" t="str">
        <f t="shared" si="79"/>
        <v>**</v>
      </c>
      <c r="N70" s="158" t="str">
        <f t="shared" si="79"/>
        <v>*</v>
      </c>
      <c r="O70" s="158" t="str">
        <f t="shared" si="79"/>
        <v>*</v>
      </c>
      <c r="P70" s="158" t="str">
        <f t="shared" si="79"/>
        <v>*</v>
      </c>
      <c r="Q70" s="158"/>
      <c r="R70" s="158"/>
      <c r="S70" s="158" t="str">
        <f t="shared" ref="S70:AA70" si="80">IFERROR(IF($G70&gt;18,IF(($G70-18)&gt;S$33,"**","*"),IF($G70&gt;=S$8,"*","")),"")</f>
        <v>*</v>
      </c>
      <c r="T70" s="158" t="str">
        <f t="shared" si="80"/>
        <v>*</v>
      </c>
      <c r="U70" s="158" t="str">
        <f t="shared" si="80"/>
        <v>*</v>
      </c>
      <c r="V70" s="158" t="str">
        <f t="shared" si="80"/>
        <v>*</v>
      </c>
      <c r="W70" s="158" t="str">
        <f t="shared" si="80"/>
        <v>**</v>
      </c>
      <c r="X70" s="158" t="str">
        <f t="shared" si="80"/>
        <v>*</v>
      </c>
      <c r="Y70" s="159" t="str">
        <f t="shared" si="80"/>
        <v>*</v>
      </c>
      <c r="Z70" s="158" t="str">
        <f t="shared" si="80"/>
        <v>*</v>
      </c>
      <c r="AA70" s="158" t="str">
        <f t="shared" si="80"/>
        <v>*</v>
      </c>
      <c r="AB70" s="151"/>
      <c r="AC70" s="151" t="str">
        <f>IF(AB70="","",SUM(Q70,AB70))</f>
        <v/>
      </c>
      <c r="AD70" s="12"/>
      <c r="AE70" s="1"/>
      <c r="AF70" s="1"/>
    </row>
    <row r="71" ht="18.75" customHeight="1">
      <c r="B71" s="181" t="str">
        <f>F70</f>
        <v>SKYLAR</v>
      </c>
      <c r="C71" s="1"/>
      <c r="D71" s="1"/>
      <c r="E71" s="7"/>
      <c r="F71" s="154"/>
      <c r="G71" s="155"/>
      <c r="H71" s="186">
        <v>7.0</v>
      </c>
      <c r="I71" s="186">
        <v>6.0</v>
      </c>
      <c r="J71" s="186">
        <v>5.0</v>
      </c>
      <c r="K71" s="187">
        <v>4.0</v>
      </c>
      <c r="L71" s="186">
        <v>6.0</v>
      </c>
      <c r="M71" s="186">
        <v>6.0</v>
      </c>
      <c r="N71" s="186">
        <v>6.0</v>
      </c>
      <c r="O71" s="186">
        <v>4.0</v>
      </c>
      <c r="P71" s="186">
        <v>6.0</v>
      </c>
      <c r="Q71" s="156">
        <f>IF(H71="","",SUM(H71:P71))</f>
        <v>50</v>
      </c>
      <c r="R71" s="160"/>
      <c r="S71" s="186">
        <v>5.0</v>
      </c>
      <c r="T71" s="186">
        <v>3.0</v>
      </c>
      <c r="U71" s="186">
        <v>9.0</v>
      </c>
      <c r="V71" s="186">
        <v>8.0</v>
      </c>
      <c r="W71" s="186">
        <v>8.0</v>
      </c>
      <c r="X71" s="186">
        <v>8.0</v>
      </c>
      <c r="Y71" s="187">
        <v>6.0</v>
      </c>
      <c r="Z71" s="186">
        <v>6.0</v>
      </c>
      <c r="AA71" s="186">
        <v>5.0</v>
      </c>
      <c r="AB71" s="156">
        <f>IF(S71="","",SUM(S71:AA71))</f>
        <v>58</v>
      </c>
      <c r="AC71" s="156">
        <f>IFERROR(Q71+AB71,"")</f>
        <v>108</v>
      </c>
      <c r="AD71" s="12"/>
      <c r="AE71" s="1"/>
      <c r="AF71" s="1"/>
    </row>
    <row r="72" ht="6.75" customHeight="1">
      <c r="B72" s="181"/>
      <c r="C72" s="1"/>
      <c r="D72" s="1"/>
      <c r="E72" s="7"/>
      <c r="F72" s="16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12"/>
      <c r="AE72" s="1"/>
      <c r="AF72" s="1"/>
    </row>
    <row r="73" ht="27.75" customHeight="1">
      <c r="B73" s="181"/>
      <c r="C73" s="1"/>
      <c r="D73" s="1"/>
      <c r="E73" s="7"/>
      <c r="F73" s="161" t="s">
        <v>143</v>
      </c>
      <c r="G73" s="142"/>
      <c r="H73" s="162">
        <f t="shared" ref="H73:P73" si="81">IF(H69="","",MIN(IF(H68="**",H69-2,IF(H68="*",H69-1,H69)),(IF(H70="**",H71-2,IF(H70="*",H71-1,H71)))))</f>
        <v>3</v>
      </c>
      <c r="I73" s="162">
        <f t="shared" si="81"/>
        <v>5</v>
      </c>
      <c r="J73" s="162">
        <f t="shared" si="81"/>
        <v>4</v>
      </c>
      <c r="K73" s="163">
        <f t="shared" si="81"/>
        <v>2</v>
      </c>
      <c r="L73" s="162">
        <f t="shared" si="81"/>
        <v>5</v>
      </c>
      <c r="M73" s="162">
        <f t="shared" si="81"/>
        <v>4</v>
      </c>
      <c r="N73" s="162">
        <f t="shared" si="81"/>
        <v>5</v>
      </c>
      <c r="O73" s="162">
        <f t="shared" si="81"/>
        <v>3</v>
      </c>
      <c r="P73" s="162">
        <f t="shared" si="81"/>
        <v>5</v>
      </c>
      <c r="Q73" s="162">
        <f t="shared" ref="Q73:Q74" si="84">IF(H73="","",SUM(H73:P73))</f>
        <v>36</v>
      </c>
      <c r="R73" s="23"/>
      <c r="S73" s="162">
        <f t="shared" ref="S73:AA73" si="82">IF(S69="","",MIN(IF(S68="**",S69-2,IF(S68="*",S69-1,S69)),(IF(S70="**",S71-2,IF(S70="*",S71-1,S71)))))</f>
        <v>4</v>
      </c>
      <c r="T73" s="162">
        <f t="shared" si="82"/>
        <v>2</v>
      </c>
      <c r="U73" s="162">
        <f t="shared" si="82"/>
        <v>5</v>
      </c>
      <c r="V73" s="162">
        <f t="shared" si="82"/>
        <v>6</v>
      </c>
      <c r="W73" s="162">
        <f t="shared" si="82"/>
        <v>5</v>
      </c>
      <c r="X73" s="162">
        <f t="shared" si="82"/>
        <v>5</v>
      </c>
      <c r="Y73" s="163">
        <f t="shared" si="82"/>
        <v>3</v>
      </c>
      <c r="Z73" s="162">
        <f t="shared" si="82"/>
        <v>5</v>
      </c>
      <c r="AA73" s="162">
        <f t="shared" si="82"/>
        <v>4</v>
      </c>
      <c r="AB73" s="162">
        <f t="shared" ref="AB73:AB74" si="86">IF(S73="","",SUM(S73:AA73))</f>
        <v>39</v>
      </c>
      <c r="AC73" s="162">
        <f t="shared" ref="AC73:AC74" si="87">IF(AB73="","",AB73+Q73)</f>
        <v>75</v>
      </c>
      <c r="AD73" s="12"/>
      <c r="AE73" s="1"/>
      <c r="AF73" s="1"/>
    </row>
    <row r="74" ht="27.75" customHeight="1">
      <c r="B74" s="181"/>
      <c r="C74" s="1"/>
      <c r="D74" s="1"/>
      <c r="E74" s="7"/>
      <c r="F74" s="161" t="s">
        <v>144</v>
      </c>
      <c r="G74" s="142"/>
      <c r="H74" s="164">
        <f t="shared" ref="H74:P74" si="83">IF(H73="","",IF(H73=H65,0.5,IF(H73&lt;H65,1,0)))</f>
        <v>1</v>
      </c>
      <c r="I74" s="164">
        <f t="shared" si="83"/>
        <v>0</v>
      </c>
      <c r="J74" s="164">
        <f t="shared" si="83"/>
        <v>0</v>
      </c>
      <c r="K74" s="165">
        <f t="shared" si="83"/>
        <v>1</v>
      </c>
      <c r="L74" s="164">
        <f t="shared" si="83"/>
        <v>0</v>
      </c>
      <c r="M74" s="164">
        <f t="shared" si="83"/>
        <v>0</v>
      </c>
      <c r="N74" s="164">
        <f t="shared" si="83"/>
        <v>0</v>
      </c>
      <c r="O74" s="164">
        <f t="shared" si="83"/>
        <v>1</v>
      </c>
      <c r="P74" s="164">
        <f t="shared" si="83"/>
        <v>0.5</v>
      </c>
      <c r="Q74" s="164">
        <f t="shared" si="84"/>
        <v>3.5</v>
      </c>
      <c r="R74" s="23"/>
      <c r="S74" s="164">
        <f t="shared" ref="S74:AA74" si="85">IF(S73="","",IF(S73=S65,0.5,IF(S73&lt;S65,1,0)))</f>
        <v>1</v>
      </c>
      <c r="T74" s="164">
        <f t="shared" si="85"/>
        <v>1</v>
      </c>
      <c r="U74" s="164">
        <f t="shared" si="85"/>
        <v>0.5</v>
      </c>
      <c r="V74" s="164">
        <f t="shared" si="85"/>
        <v>0</v>
      </c>
      <c r="W74" s="164">
        <f t="shared" si="85"/>
        <v>0</v>
      </c>
      <c r="X74" s="164">
        <f t="shared" si="85"/>
        <v>0</v>
      </c>
      <c r="Y74" s="165">
        <f t="shared" si="85"/>
        <v>1</v>
      </c>
      <c r="Z74" s="164">
        <f t="shared" si="85"/>
        <v>0</v>
      </c>
      <c r="AA74" s="164">
        <f t="shared" si="85"/>
        <v>0.5</v>
      </c>
      <c r="AB74" s="164">
        <f t="shared" si="86"/>
        <v>4</v>
      </c>
      <c r="AC74" s="164">
        <f t="shared" si="87"/>
        <v>7.5</v>
      </c>
      <c r="AD74" s="12"/>
      <c r="AE74" s="1"/>
      <c r="AF74" s="1"/>
    </row>
    <row r="75" ht="6.75" customHeight="1">
      <c r="B75" s="181"/>
      <c r="C75" s="1"/>
      <c r="D75" s="1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7"/>
      <c r="AE75" s="1"/>
      <c r="AF75" s="1"/>
    </row>
    <row r="76" ht="60.0" customHeight="1">
      <c r="B76" s="181"/>
      <c r="C76" s="1"/>
      <c r="D76" s="1"/>
      <c r="E76" s="3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6.75" customHeight="1">
      <c r="B77" s="181"/>
      <c r="C77" s="1"/>
      <c r="D77" s="1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  <c r="AA77" s="4"/>
      <c r="AB77" s="4"/>
      <c r="AC77" s="4"/>
      <c r="AD77" s="5"/>
      <c r="AE77" s="1"/>
      <c r="AF77" s="1"/>
    </row>
    <row r="78" ht="15.75" customHeight="1">
      <c r="B78" s="181"/>
      <c r="C78" s="1"/>
      <c r="D78" s="1"/>
      <c r="E78" s="7"/>
      <c r="F78" s="140" t="str">
        <f>F53</f>
        <v>MICHIGAN OPEN 2022 - ROUND 1 - LINKS/QUARRY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2"/>
      <c r="AD78" s="12"/>
      <c r="AE78" s="1"/>
      <c r="AF78" s="1"/>
    </row>
    <row r="79" ht="18.75" customHeight="1">
      <c r="B79" s="181"/>
      <c r="C79" s="1"/>
      <c r="D79" s="1"/>
      <c r="E79" s="7"/>
      <c r="F79" s="1"/>
      <c r="G79" s="1"/>
      <c r="H79" s="1"/>
      <c r="I79" s="1"/>
      <c r="J79" s="13" t="str">
        <f>J54</f>
        <v>LINKS</v>
      </c>
      <c r="K79" s="14"/>
      <c r="L79" s="14"/>
      <c r="M79" s="14"/>
      <c r="N79" s="14"/>
      <c r="O79" s="1"/>
      <c r="P79" s="1"/>
      <c r="Q79" s="1"/>
      <c r="R79" s="1"/>
      <c r="S79" s="1"/>
      <c r="T79" s="1"/>
      <c r="U79" s="1"/>
      <c r="V79" s="13" t="str">
        <f>V54</f>
        <v>QUARRY</v>
      </c>
      <c r="W79" s="14"/>
      <c r="X79" s="14"/>
      <c r="Y79" s="14"/>
      <c r="Z79" s="14"/>
      <c r="AA79" s="1"/>
      <c r="AB79" s="1"/>
      <c r="AC79" s="1"/>
      <c r="AD79" s="12"/>
      <c r="AE79" s="1"/>
      <c r="AF79" s="1"/>
    </row>
    <row r="80" ht="15.0" customHeight="1">
      <c r="B80" s="181"/>
      <c r="C80" s="1"/>
      <c r="D80" s="1"/>
      <c r="E80" s="7"/>
      <c r="F80" s="1"/>
      <c r="G80" s="143" t="str">
        <f t="shared" ref="G80:Q80" si="88">G55</f>
        <v>HOLE</v>
      </c>
      <c r="H80" s="143">
        <f t="shared" si="88"/>
        <v>1</v>
      </c>
      <c r="I80" s="143">
        <f t="shared" si="88"/>
        <v>2</v>
      </c>
      <c r="J80" s="143">
        <f t="shared" si="88"/>
        <v>3</v>
      </c>
      <c r="K80" s="143">
        <f t="shared" si="88"/>
        <v>4</v>
      </c>
      <c r="L80" s="143">
        <f t="shared" si="88"/>
        <v>5</v>
      </c>
      <c r="M80" s="143">
        <f t="shared" si="88"/>
        <v>6</v>
      </c>
      <c r="N80" s="143">
        <f t="shared" si="88"/>
        <v>7</v>
      </c>
      <c r="O80" s="143">
        <f t="shared" si="88"/>
        <v>8</v>
      </c>
      <c r="P80" s="143">
        <f t="shared" si="88"/>
        <v>9</v>
      </c>
      <c r="Q80" s="143" t="str">
        <f t="shared" si="88"/>
        <v>OUT</v>
      </c>
      <c r="R80" s="16"/>
      <c r="S80" s="143">
        <f t="shared" ref="S80:AC80" si="89">S55</f>
        <v>1</v>
      </c>
      <c r="T80" s="143">
        <f t="shared" si="89"/>
        <v>2</v>
      </c>
      <c r="U80" s="143">
        <f t="shared" si="89"/>
        <v>3</v>
      </c>
      <c r="V80" s="143">
        <f t="shared" si="89"/>
        <v>4</v>
      </c>
      <c r="W80" s="143">
        <f t="shared" si="89"/>
        <v>5</v>
      </c>
      <c r="X80" s="143">
        <f t="shared" si="89"/>
        <v>6</v>
      </c>
      <c r="Y80" s="143">
        <f t="shared" si="89"/>
        <v>7</v>
      </c>
      <c r="Z80" s="143">
        <f t="shared" si="89"/>
        <v>8</v>
      </c>
      <c r="AA80" s="143">
        <f t="shared" si="89"/>
        <v>9</v>
      </c>
      <c r="AB80" s="143" t="str">
        <f t="shared" si="89"/>
        <v>IN</v>
      </c>
      <c r="AC80" s="143" t="str">
        <f t="shared" si="89"/>
        <v>TOTAL</v>
      </c>
      <c r="AD80" s="12"/>
      <c r="AE80" s="1"/>
      <c r="AF80" s="1"/>
    </row>
    <row r="81" ht="15.0" customHeight="1">
      <c r="B81" s="181"/>
      <c r="C81" s="1"/>
      <c r="D81" s="1"/>
      <c r="E81" s="7"/>
      <c r="F81" s="144" t="s">
        <v>154</v>
      </c>
      <c r="G81" s="182" t="str">
        <f t="shared" ref="G81:Q81" si="90">G56</f>
        <v>ORANGE</v>
      </c>
      <c r="H81" s="182">
        <f t="shared" si="90"/>
        <v>375</v>
      </c>
      <c r="I81" s="182">
        <f t="shared" si="90"/>
        <v>383</v>
      </c>
      <c r="J81" s="182">
        <f t="shared" si="90"/>
        <v>368</v>
      </c>
      <c r="K81" s="182">
        <f t="shared" si="90"/>
        <v>151</v>
      </c>
      <c r="L81" s="182">
        <f t="shared" si="90"/>
        <v>332</v>
      </c>
      <c r="M81" s="182">
        <f t="shared" si="90"/>
        <v>352</v>
      </c>
      <c r="N81" s="182">
        <f t="shared" si="90"/>
        <v>490</v>
      </c>
      <c r="O81" s="182">
        <f t="shared" si="90"/>
        <v>175</v>
      </c>
      <c r="P81" s="182">
        <f t="shared" si="90"/>
        <v>490</v>
      </c>
      <c r="Q81" s="182">
        <f t="shared" si="90"/>
        <v>3116</v>
      </c>
      <c r="R81" s="17"/>
      <c r="S81" s="182">
        <f t="shared" ref="S81:AB81" si="91">S56</f>
        <v>355</v>
      </c>
      <c r="T81" s="182">
        <f t="shared" si="91"/>
        <v>146</v>
      </c>
      <c r="U81" s="182">
        <f t="shared" si="91"/>
        <v>523</v>
      </c>
      <c r="V81" s="182">
        <f t="shared" si="91"/>
        <v>412</v>
      </c>
      <c r="W81" s="182">
        <f t="shared" si="91"/>
        <v>468</v>
      </c>
      <c r="X81" s="182">
        <f t="shared" si="91"/>
        <v>312</v>
      </c>
      <c r="Y81" s="182">
        <f t="shared" si="91"/>
        <v>366</v>
      </c>
      <c r="Z81" s="182">
        <f t="shared" si="91"/>
        <v>172</v>
      </c>
      <c r="AA81" s="182">
        <f t="shared" si="91"/>
        <v>358</v>
      </c>
      <c r="AB81" s="182">
        <f t="shared" si="91"/>
        <v>3112</v>
      </c>
      <c r="AC81" s="182">
        <f t="shared" ref="AC81:AC82" si="94">AB81+Q81</f>
        <v>6228</v>
      </c>
      <c r="AD81" s="12"/>
      <c r="AE81" s="1"/>
      <c r="AF81" s="1"/>
    </row>
    <row r="82" ht="15.0" customHeight="1">
      <c r="B82" s="181"/>
      <c r="C82" s="1"/>
      <c r="D82" s="1"/>
      <c r="E82" s="7"/>
      <c r="F82" s="146"/>
      <c r="G82" s="147" t="str">
        <f t="shared" ref="G82:Q82" si="92">G57</f>
        <v>PAR</v>
      </c>
      <c r="H82" s="147">
        <f t="shared" si="92"/>
        <v>4</v>
      </c>
      <c r="I82" s="147">
        <f t="shared" si="92"/>
        <v>4</v>
      </c>
      <c r="J82" s="147">
        <f t="shared" si="92"/>
        <v>4</v>
      </c>
      <c r="K82" s="147">
        <f t="shared" si="92"/>
        <v>3</v>
      </c>
      <c r="L82" s="147">
        <f t="shared" si="92"/>
        <v>4</v>
      </c>
      <c r="M82" s="147">
        <f t="shared" si="92"/>
        <v>4</v>
      </c>
      <c r="N82" s="147">
        <f t="shared" si="92"/>
        <v>5</v>
      </c>
      <c r="O82" s="147">
        <f t="shared" si="92"/>
        <v>3</v>
      </c>
      <c r="P82" s="147">
        <f t="shared" si="92"/>
        <v>5</v>
      </c>
      <c r="Q82" s="147">
        <f t="shared" si="92"/>
        <v>36</v>
      </c>
      <c r="R82" s="17"/>
      <c r="S82" s="147">
        <f t="shared" ref="S82:AB82" si="93">S57</f>
        <v>4</v>
      </c>
      <c r="T82" s="147">
        <f t="shared" si="93"/>
        <v>3</v>
      </c>
      <c r="U82" s="147">
        <f t="shared" si="93"/>
        <v>5</v>
      </c>
      <c r="V82" s="147">
        <f t="shared" si="93"/>
        <v>4</v>
      </c>
      <c r="W82" s="147">
        <f t="shared" si="93"/>
        <v>5</v>
      </c>
      <c r="X82" s="147">
        <f t="shared" si="93"/>
        <v>4</v>
      </c>
      <c r="Y82" s="147">
        <f t="shared" si="93"/>
        <v>4</v>
      </c>
      <c r="Z82" s="147">
        <f t="shared" si="93"/>
        <v>3</v>
      </c>
      <c r="AA82" s="147">
        <f t="shared" si="93"/>
        <v>4</v>
      </c>
      <c r="AB82" s="147">
        <f t="shared" si="93"/>
        <v>36</v>
      </c>
      <c r="AC82" s="147">
        <f t="shared" si="94"/>
        <v>72</v>
      </c>
      <c r="AD82" s="12"/>
      <c r="AE82" s="1"/>
      <c r="AF82" s="1"/>
    </row>
    <row r="83" ht="15.0" customHeight="1">
      <c r="B83" s="181"/>
      <c r="C83" s="1"/>
      <c r="D83" s="1"/>
      <c r="E83" s="7"/>
      <c r="F83" s="1"/>
      <c r="G83" s="148" t="str">
        <f t="shared" ref="G83:P83" si="95">G58</f>
        <v>HDCP</v>
      </c>
      <c r="H83" s="148">
        <f t="shared" si="95"/>
        <v>5</v>
      </c>
      <c r="I83" s="148">
        <f t="shared" si="95"/>
        <v>9</v>
      </c>
      <c r="J83" s="148">
        <f t="shared" si="95"/>
        <v>7</v>
      </c>
      <c r="K83" s="148">
        <f t="shared" si="95"/>
        <v>17</v>
      </c>
      <c r="L83" s="148">
        <f t="shared" si="95"/>
        <v>11</v>
      </c>
      <c r="M83" s="148">
        <f t="shared" si="95"/>
        <v>1</v>
      </c>
      <c r="N83" s="148">
        <f t="shared" si="95"/>
        <v>13</v>
      </c>
      <c r="O83" s="148">
        <f t="shared" si="95"/>
        <v>15</v>
      </c>
      <c r="P83" s="148">
        <f t="shared" si="95"/>
        <v>3</v>
      </c>
      <c r="Q83" s="148"/>
      <c r="R83" s="17"/>
      <c r="S83" s="148">
        <f t="shared" ref="S83:AA83" si="96">S58</f>
        <v>14</v>
      </c>
      <c r="T83" s="148">
        <f t="shared" si="96"/>
        <v>18</v>
      </c>
      <c r="U83" s="148">
        <f t="shared" si="96"/>
        <v>6</v>
      </c>
      <c r="V83" s="148">
        <f t="shared" si="96"/>
        <v>10</v>
      </c>
      <c r="W83" s="148">
        <f t="shared" si="96"/>
        <v>2</v>
      </c>
      <c r="X83" s="148">
        <f t="shared" si="96"/>
        <v>12</v>
      </c>
      <c r="Y83" s="148">
        <f t="shared" si="96"/>
        <v>4</v>
      </c>
      <c r="Z83" s="148">
        <f t="shared" si="96"/>
        <v>16</v>
      </c>
      <c r="AA83" s="148">
        <f t="shared" si="96"/>
        <v>8</v>
      </c>
      <c r="AB83" s="148"/>
      <c r="AC83" s="148"/>
      <c r="AD83" s="12"/>
      <c r="AE83" s="1"/>
      <c r="AF83" s="1"/>
    </row>
    <row r="84" ht="6.75" customHeight="1">
      <c r="B84" s="181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2"/>
      <c r="AE84" s="1"/>
      <c r="AF84" s="1"/>
    </row>
    <row r="85" ht="11.25" customHeight="1">
      <c r="B85" s="181"/>
      <c r="C85" s="1"/>
      <c r="D85" s="1"/>
      <c r="E85" s="7"/>
      <c r="F85" s="183" t="s">
        <v>129</v>
      </c>
      <c r="G85" s="150">
        <f>IFERROR(VLOOKUP(F85,HANDICAPS!$B$8:$G$23,$D$3,FALSE),"")</f>
        <v>14</v>
      </c>
      <c r="H85" s="151" t="str">
        <f t="shared" ref="H85:P85" si="97">IFERROR(IF($G85&gt;18,IF(($G85-18)&gt;H$33,"**","*"),IF($G85&gt;=H$8,"*","")),"")</f>
        <v>*</v>
      </c>
      <c r="I85" s="151" t="str">
        <f t="shared" si="97"/>
        <v>*</v>
      </c>
      <c r="J85" s="151" t="str">
        <f t="shared" si="97"/>
        <v>*</v>
      </c>
      <c r="K85" s="152" t="str">
        <f t="shared" si="97"/>
        <v/>
      </c>
      <c r="L85" s="151" t="str">
        <f t="shared" si="97"/>
        <v>*</v>
      </c>
      <c r="M85" s="151" t="str">
        <f t="shared" si="97"/>
        <v>*</v>
      </c>
      <c r="N85" s="151" t="str">
        <f t="shared" si="97"/>
        <v>*</v>
      </c>
      <c r="O85" s="151" t="str">
        <f t="shared" si="97"/>
        <v/>
      </c>
      <c r="P85" s="151" t="str">
        <f t="shared" si="97"/>
        <v>*</v>
      </c>
      <c r="Q85" s="151"/>
      <c r="R85" s="153"/>
      <c r="S85" s="151" t="str">
        <f t="shared" ref="S85:AA85" si="98">IFERROR(IF($G85&gt;18,IF(($G85-18)&gt;S$33,"**","*"),IF($G85&gt;=S$8,"*","")),"")</f>
        <v>*</v>
      </c>
      <c r="T85" s="151" t="str">
        <f t="shared" si="98"/>
        <v/>
      </c>
      <c r="U85" s="151" t="str">
        <f t="shared" si="98"/>
        <v>*</v>
      </c>
      <c r="V85" s="151" t="str">
        <f t="shared" si="98"/>
        <v>*</v>
      </c>
      <c r="W85" s="151" t="str">
        <f t="shared" si="98"/>
        <v>*</v>
      </c>
      <c r="X85" s="151" t="str">
        <f t="shared" si="98"/>
        <v>*</v>
      </c>
      <c r="Y85" s="152" t="str">
        <f t="shared" si="98"/>
        <v>*</v>
      </c>
      <c r="Z85" s="151" t="str">
        <f t="shared" si="98"/>
        <v/>
      </c>
      <c r="AA85" s="151" t="str">
        <f t="shared" si="98"/>
        <v>*</v>
      </c>
      <c r="AB85" s="151"/>
      <c r="AC85" s="151" t="str">
        <f>IF(AB85="","",SUM(Q85,AB85))</f>
        <v/>
      </c>
      <c r="AD85" s="12"/>
      <c r="AE85" s="1"/>
      <c r="AF85" s="1"/>
    </row>
    <row r="86" ht="18.75" customHeight="1">
      <c r="B86" s="181" t="str">
        <f>F85</f>
        <v>ERIC</v>
      </c>
      <c r="C86" s="1"/>
      <c r="D86" s="1"/>
      <c r="E86" s="7"/>
      <c r="F86" s="154"/>
      <c r="G86" s="155"/>
      <c r="H86" s="186">
        <v>5.0</v>
      </c>
      <c r="I86" s="186">
        <v>4.0</v>
      </c>
      <c r="J86" s="186">
        <v>8.0</v>
      </c>
      <c r="K86" s="187">
        <v>2.0</v>
      </c>
      <c r="L86" s="186">
        <v>5.0</v>
      </c>
      <c r="M86" s="186">
        <v>7.0</v>
      </c>
      <c r="N86" s="186">
        <v>6.0</v>
      </c>
      <c r="O86" s="186">
        <v>4.0</v>
      </c>
      <c r="P86" s="186">
        <v>5.0</v>
      </c>
      <c r="Q86" s="156">
        <f>IF(H86="","",SUM(H86:P86))</f>
        <v>46</v>
      </c>
      <c r="R86" s="153"/>
      <c r="S86" s="186">
        <v>8.0</v>
      </c>
      <c r="T86" s="186">
        <v>4.0</v>
      </c>
      <c r="U86" s="186">
        <v>6.0</v>
      </c>
      <c r="V86" s="186">
        <v>4.0</v>
      </c>
      <c r="W86" s="186">
        <v>7.0</v>
      </c>
      <c r="X86" s="186">
        <v>7.0</v>
      </c>
      <c r="Y86" s="187">
        <v>4.0</v>
      </c>
      <c r="Z86" s="186">
        <v>5.0</v>
      </c>
      <c r="AA86" s="186">
        <v>4.0</v>
      </c>
      <c r="AB86" s="156">
        <f>IF(S86="","",SUM(S86:AA86))</f>
        <v>49</v>
      </c>
      <c r="AC86" s="156">
        <f>IFERROR(Q86+AB86,"")</f>
        <v>95</v>
      </c>
      <c r="AD86" s="12"/>
      <c r="AE86" s="1"/>
      <c r="AF86" s="1"/>
    </row>
    <row r="87" ht="11.25" customHeight="1">
      <c r="B87" s="181"/>
      <c r="C87" s="1"/>
      <c r="D87" s="1"/>
      <c r="E87" s="7"/>
      <c r="F87" s="149" t="s">
        <v>91</v>
      </c>
      <c r="G87" s="150">
        <f>IFERROR(VLOOKUP(F87,HANDICAPS!$B$8:$G$23,$D$3,FALSE),"")</f>
        <v>21</v>
      </c>
      <c r="H87" s="158" t="str">
        <f t="shared" ref="H87:P87" si="99">IFERROR(IF($G87&gt;18,IF(($G87-18)&gt;H$33,"**","*"),IF($G87&gt;=H$8,"*","")),"")</f>
        <v>*</v>
      </c>
      <c r="I87" s="158" t="str">
        <f t="shared" si="99"/>
        <v>*</v>
      </c>
      <c r="J87" s="158" t="str">
        <f t="shared" si="99"/>
        <v>*</v>
      </c>
      <c r="K87" s="159" t="str">
        <f t="shared" si="99"/>
        <v>*</v>
      </c>
      <c r="L87" s="158" t="str">
        <f t="shared" si="99"/>
        <v>*</v>
      </c>
      <c r="M87" s="158" t="str">
        <f t="shared" si="99"/>
        <v>**</v>
      </c>
      <c r="N87" s="158" t="str">
        <f t="shared" si="99"/>
        <v>*</v>
      </c>
      <c r="O87" s="158" t="str">
        <f t="shared" si="99"/>
        <v>*</v>
      </c>
      <c r="P87" s="158" t="str">
        <f t="shared" si="99"/>
        <v>*</v>
      </c>
      <c r="Q87" s="158"/>
      <c r="R87" s="158"/>
      <c r="S87" s="158" t="str">
        <f t="shared" ref="S87:AA87" si="100">IFERROR(IF($G87&gt;18,IF(($G87-18)&gt;S$33,"**","*"),IF($G87&gt;=S$8,"*","")),"")</f>
        <v>*</v>
      </c>
      <c r="T87" s="158" t="str">
        <f t="shared" si="100"/>
        <v>*</v>
      </c>
      <c r="U87" s="158" t="str">
        <f t="shared" si="100"/>
        <v>*</v>
      </c>
      <c r="V87" s="158" t="str">
        <f t="shared" si="100"/>
        <v>*</v>
      </c>
      <c r="W87" s="158" t="str">
        <f t="shared" si="100"/>
        <v>**</v>
      </c>
      <c r="X87" s="158" t="str">
        <f t="shared" si="100"/>
        <v>*</v>
      </c>
      <c r="Y87" s="159" t="str">
        <f t="shared" si="100"/>
        <v>*</v>
      </c>
      <c r="Z87" s="158" t="str">
        <f t="shared" si="100"/>
        <v>*</v>
      </c>
      <c r="AA87" s="158" t="str">
        <f t="shared" si="100"/>
        <v>*</v>
      </c>
      <c r="AB87" s="151"/>
      <c r="AC87" s="151" t="str">
        <f>IF(AB87="","",SUM(Q87,AB87))</f>
        <v/>
      </c>
      <c r="AD87" s="12"/>
      <c r="AE87" s="1"/>
      <c r="AF87" s="1"/>
    </row>
    <row r="88" ht="18.75" customHeight="1">
      <c r="B88" s="181" t="str">
        <f>F87</f>
        <v>KIP</v>
      </c>
      <c r="C88" s="1"/>
      <c r="D88" s="1"/>
      <c r="E88" s="7"/>
      <c r="F88" s="154"/>
      <c r="G88" s="155"/>
      <c r="H88" s="186">
        <v>7.0</v>
      </c>
      <c r="I88" s="186">
        <v>5.0</v>
      </c>
      <c r="J88" s="186">
        <v>5.0</v>
      </c>
      <c r="K88" s="187">
        <v>4.0</v>
      </c>
      <c r="L88" s="186">
        <v>7.0</v>
      </c>
      <c r="M88" s="186">
        <v>6.0</v>
      </c>
      <c r="N88" s="186">
        <v>5.0</v>
      </c>
      <c r="O88" s="186">
        <v>4.0</v>
      </c>
      <c r="P88" s="186">
        <v>7.0</v>
      </c>
      <c r="Q88" s="156">
        <f>IF(H88="","",SUM(H88:P88))</f>
        <v>50</v>
      </c>
      <c r="R88" s="160"/>
      <c r="S88" s="186">
        <v>7.0</v>
      </c>
      <c r="T88" s="186">
        <v>6.0</v>
      </c>
      <c r="U88" s="186">
        <v>9.0</v>
      </c>
      <c r="V88" s="186">
        <v>5.0</v>
      </c>
      <c r="W88" s="186">
        <v>9.0</v>
      </c>
      <c r="X88" s="186">
        <v>6.0</v>
      </c>
      <c r="Y88" s="187">
        <v>4.0</v>
      </c>
      <c r="Z88" s="186">
        <v>6.0</v>
      </c>
      <c r="AA88" s="186">
        <v>7.0</v>
      </c>
      <c r="AB88" s="156">
        <f>IF(S88="","",SUM(S88:AA88))</f>
        <v>59</v>
      </c>
      <c r="AC88" s="156">
        <f>IFERROR(Q88+AB88,"")</f>
        <v>109</v>
      </c>
      <c r="AD88" s="12"/>
      <c r="AE88" s="1"/>
      <c r="AF88" s="1"/>
    </row>
    <row r="89" ht="6.75" customHeight="1">
      <c r="B89" s="181"/>
      <c r="C89" s="1"/>
      <c r="D89" s="1"/>
      <c r="E89" s="7"/>
      <c r="F89" s="16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12"/>
      <c r="AE89" s="1"/>
      <c r="AF89" s="1"/>
    </row>
    <row r="90" ht="27.75" customHeight="1">
      <c r="B90" s="181"/>
      <c r="C90" s="1"/>
      <c r="D90" s="1"/>
      <c r="E90" s="7"/>
      <c r="F90" s="161" t="s">
        <v>143</v>
      </c>
      <c r="G90" s="142"/>
      <c r="H90" s="162">
        <f t="shared" ref="H90:P90" si="101">IF(H86="","",MIN(IF(H85="**",H86-2,IF(H85="*",H86-1,H86)),(IF(H87="**",H88-2,IF(H87="*",H88-1,H88)))))</f>
        <v>4</v>
      </c>
      <c r="I90" s="162">
        <f t="shared" si="101"/>
        <v>3</v>
      </c>
      <c r="J90" s="162">
        <f t="shared" si="101"/>
        <v>4</v>
      </c>
      <c r="K90" s="163">
        <f t="shared" si="101"/>
        <v>2</v>
      </c>
      <c r="L90" s="162">
        <f t="shared" si="101"/>
        <v>4</v>
      </c>
      <c r="M90" s="162">
        <f t="shared" si="101"/>
        <v>4</v>
      </c>
      <c r="N90" s="162">
        <f t="shared" si="101"/>
        <v>4</v>
      </c>
      <c r="O90" s="162">
        <f t="shared" si="101"/>
        <v>3</v>
      </c>
      <c r="P90" s="162">
        <f t="shared" si="101"/>
        <v>4</v>
      </c>
      <c r="Q90" s="162">
        <f t="shared" ref="Q90:Q91" si="104">IF(H90="","",SUM(H90:P90))</f>
        <v>32</v>
      </c>
      <c r="R90" s="23"/>
      <c r="S90" s="162">
        <f t="shared" ref="S90:AA90" si="102">IF(S86="","",MIN(IF(S85="**",S86-2,IF(S85="*",S86-1,S86)),(IF(S87="**",S88-2,IF(S87="*",S88-1,S88)))))</f>
        <v>6</v>
      </c>
      <c r="T90" s="162">
        <f t="shared" si="102"/>
        <v>4</v>
      </c>
      <c r="U90" s="162">
        <f t="shared" si="102"/>
        <v>5</v>
      </c>
      <c r="V90" s="162">
        <f t="shared" si="102"/>
        <v>3</v>
      </c>
      <c r="W90" s="162">
        <f t="shared" si="102"/>
        <v>6</v>
      </c>
      <c r="X90" s="162">
        <f t="shared" si="102"/>
        <v>5</v>
      </c>
      <c r="Y90" s="163">
        <f t="shared" si="102"/>
        <v>3</v>
      </c>
      <c r="Z90" s="162">
        <f t="shared" si="102"/>
        <v>5</v>
      </c>
      <c r="AA90" s="162">
        <f t="shared" si="102"/>
        <v>3</v>
      </c>
      <c r="AB90" s="162">
        <f t="shared" ref="AB90:AB91" si="106">IF(S90="","",SUM(S90:AA90))</f>
        <v>40</v>
      </c>
      <c r="AC90" s="162">
        <f t="shared" ref="AC90:AC91" si="107">IF(AB90="","",AB90+Q90)</f>
        <v>72</v>
      </c>
      <c r="AD90" s="12"/>
      <c r="AE90" s="1"/>
      <c r="AF90" s="1"/>
    </row>
    <row r="91" ht="27.75" customHeight="1">
      <c r="B91" s="181"/>
      <c r="C91" s="1"/>
      <c r="D91" s="1"/>
      <c r="E91" s="7"/>
      <c r="F91" s="161" t="s">
        <v>144</v>
      </c>
      <c r="G91" s="142"/>
      <c r="H91" s="164">
        <f t="shared" ref="H91:P91" si="103">IF(H90="","",IF(H90=H98,0.5,IF(H90&lt;H98,1,0)))</f>
        <v>0.5</v>
      </c>
      <c r="I91" s="164">
        <f t="shared" si="103"/>
        <v>0.5</v>
      </c>
      <c r="J91" s="164">
        <f t="shared" si="103"/>
        <v>0.5</v>
      </c>
      <c r="K91" s="165">
        <f t="shared" si="103"/>
        <v>0.5</v>
      </c>
      <c r="L91" s="164">
        <f t="shared" si="103"/>
        <v>0.5</v>
      </c>
      <c r="M91" s="164">
        <f t="shared" si="103"/>
        <v>0.5</v>
      </c>
      <c r="N91" s="164">
        <f t="shared" si="103"/>
        <v>1</v>
      </c>
      <c r="O91" s="164">
        <f t="shared" si="103"/>
        <v>1</v>
      </c>
      <c r="P91" s="164">
        <f t="shared" si="103"/>
        <v>1</v>
      </c>
      <c r="Q91" s="164">
        <f t="shared" si="104"/>
        <v>6</v>
      </c>
      <c r="R91" s="23"/>
      <c r="S91" s="164">
        <f t="shared" ref="S91:AA91" si="105">IF(S90="","",IF(S90=S98,0.5,IF(S90&lt;S98,1,0)))</f>
        <v>0</v>
      </c>
      <c r="T91" s="164">
        <f t="shared" si="105"/>
        <v>0</v>
      </c>
      <c r="U91" s="164">
        <f t="shared" si="105"/>
        <v>0</v>
      </c>
      <c r="V91" s="164">
        <f t="shared" si="105"/>
        <v>1</v>
      </c>
      <c r="W91" s="164">
        <f t="shared" si="105"/>
        <v>0</v>
      </c>
      <c r="X91" s="164">
        <f t="shared" si="105"/>
        <v>0</v>
      </c>
      <c r="Y91" s="165">
        <f t="shared" si="105"/>
        <v>0.5</v>
      </c>
      <c r="Z91" s="164">
        <f t="shared" si="105"/>
        <v>0</v>
      </c>
      <c r="AA91" s="164">
        <f t="shared" si="105"/>
        <v>1</v>
      </c>
      <c r="AB91" s="164">
        <f t="shared" si="106"/>
        <v>2.5</v>
      </c>
      <c r="AC91" s="164">
        <f t="shared" si="107"/>
        <v>8.5</v>
      </c>
      <c r="AD91" s="12"/>
      <c r="AE91" s="1"/>
      <c r="AF91" s="1"/>
    </row>
    <row r="92" ht="6.75" customHeight="1">
      <c r="B92" s="181"/>
      <c r="C92" s="1"/>
      <c r="D92" s="1"/>
      <c r="E92" s="7"/>
      <c r="F92" s="16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12"/>
      <c r="AE92" s="1"/>
      <c r="AF92" s="1"/>
    </row>
    <row r="93" ht="11.25" customHeight="1">
      <c r="B93" s="181"/>
      <c r="C93" s="1"/>
      <c r="D93" s="1"/>
      <c r="E93" s="7"/>
      <c r="F93" s="149" t="s">
        <v>57</v>
      </c>
      <c r="G93" s="150">
        <f>IFERROR(VLOOKUP(F93,HANDICAPS!$B$8:$G$23,$D$3,FALSE),"")</f>
        <v>7</v>
      </c>
      <c r="H93" s="151" t="str">
        <f t="shared" ref="H93:P93" si="108">IFERROR(IF($G93&gt;18,IF(($G93-18)&gt;H$33,"**","*"),IF($G93&gt;=H$8,"*","")),"")</f>
        <v>*</v>
      </c>
      <c r="I93" s="151" t="str">
        <f t="shared" si="108"/>
        <v/>
      </c>
      <c r="J93" s="151" t="str">
        <f t="shared" si="108"/>
        <v>*</v>
      </c>
      <c r="K93" s="152" t="str">
        <f t="shared" si="108"/>
        <v/>
      </c>
      <c r="L93" s="151" t="str">
        <f t="shared" si="108"/>
        <v/>
      </c>
      <c r="M93" s="151" t="str">
        <f t="shared" si="108"/>
        <v>*</v>
      </c>
      <c r="N93" s="151" t="str">
        <f t="shared" si="108"/>
        <v/>
      </c>
      <c r="O93" s="151" t="str">
        <f t="shared" si="108"/>
        <v/>
      </c>
      <c r="P93" s="151" t="str">
        <f t="shared" si="108"/>
        <v>*</v>
      </c>
      <c r="Q93" s="151"/>
      <c r="R93" s="153"/>
      <c r="S93" s="151" t="str">
        <f t="shared" ref="S93:AA93" si="109">IFERROR(IF($G93&gt;18,IF(($G93-18)&gt;S$33,"**","*"),IF($G93&gt;=S$8,"*","")),"")</f>
        <v/>
      </c>
      <c r="T93" s="151" t="str">
        <f t="shared" si="109"/>
        <v/>
      </c>
      <c r="U93" s="151" t="str">
        <f t="shared" si="109"/>
        <v>*</v>
      </c>
      <c r="V93" s="151" t="str">
        <f t="shared" si="109"/>
        <v/>
      </c>
      <c r="W93" s="151" t="str">
        <f t="shared" si="109"/>
        <v>*</v>
      </c>
      <c r="X93" s="151" t="str">
        <f t="shared" si="109"/>
        <v/>
      </c>
      <c r="Y93" s="152" t="str">
        <f t="shared" si="109"/>
        <v>*</v>
      </c>
      <c r="Z93" s="151" t="str">
        <f t="shared" si="109"/>
        <v/>
      </c>
      <c r="AA93" s="151" t="str">
        <f t="shared" si="109"/>
        <v/>
      </c>
      <c r="AB93" s="151"/>
      <c r="AC93" s="151" t="str">
        <f>IF(AB93="","",SUM(Q93,AB93))</f>
        <v/>
      </c>
      <c r="AD93" s="12"/>
      <c r="AE93" s="1"/>
      <c r="AF93" s="1"/>
    </row>
    <row r="94" ht="18.75" customHeight="1">
      <c r="B94" s="181" t="str">
        <f>F93</f>
        <v>WAYS</v>
      </c>
      <c r="C94" s="1"/>
      <c r="D94" s="1"/>
      <c r="E94" s="7"/>
      <c r="F94" s="154"/>
      <c r="G94" s="155"/>
      <c r="H94" s="186">
        <v>5.0</v>
      </c>
      <c r="I94" s="186">
        <v>3.0</v>
      </c>
      <c r="J94" s="186">
        <v>5.0</v>
      </c>
      <c r="K94" s="187">
        <v>3.0</v>
      </c>
      <c r="L94" s="186">
        <v>4.0</v>
      </c>
      <c r="M94" s="186">
        <v>5.0</v>
      </c>
      <c r="N94" s="186">
        <v>6.0</v>
      </c>
      <c r="O94" s="186">
        <v>4.0</v>
      </c>
      <c r="P94" s="186">
        <v>6.0</v>
      </c>
      <c r="Q94" s="156">
        <f>IF(H94="","",SUM(H94:P94))</f>
        <v>41</v>
      </c>
      <c r="R94" s="153"/>
      <c r="S94" s="186">
        <v>4.0</v>
      </c>
      <c r="T94" s="186">
        <v>5.0</v>
      </c>
      <c r="U94" s="186">
        <v>6.0</v>
      </c>
      <c r="V94" s="186">
        <v>5.0</v>
      </c>
      <c r="W94" s="186">
        <v>6.0</v>
      </c>
      <c r="X94" s="186">
        <v>3.0</v>
      </c>
      <c r="Y94" s="187">
        <v>4.0</v>
      </c>
      <c r="Z94" s="186">
        <v>5.0</v>
      </c>
      <c r="AA94" s="186">
        <v>4.0</v>
      </c>
      <c r="AB94" s="156">
        <f>IF(S94="","",SUM(S94:AA94))</f>
        <v>42</v>
      </c>
      <c r="AC94" s="156">
        <f>IFERROR(Q94+AB94,"")</f>
        <v>83</v>
      </c>
      <c r="AD94" s="12"/>
      <c r="AE94" s="1"/>
      <c r="AF94" s="1"/>
    </row>
    <row r="95" ht="11.25" customHeight="1">
      <c r="B95" s="181"/>
      <c r="C95" s="1"/>
      <c r="D95" s="1"/>
      <c r="E95" s="7"/>
      <c r="F95" s="149" t="s">
        <v>130</v>
      </c>
      <c r="G95" s="150">
        <f>IFERROR(VLOOKUP(F95,HANDICAPS!$B$8:$G$23,$D$3,FALSE),"")</f>
        <v>21</v>
      </c>
      <c r="H95" s="158" t="str">
        <f t="shared" ref="H95:P95" si="110">IFERROR(IF($G95&gt;18,IF(($G95-18)&gt;H$33,"**","*"),IF($G95&gt;=H$8,"*","")),"")</f>
        <v>*</v>
      </c>
      <c r="I95" s="158" t="str">
        <f t="shared" si="110"/>
        <v>*</v>
      </c>
      <c r="J95" s="158" t="str">
        <f t="shared" si="110"/>
        <v>*</v>
      </c>
      <c r="K95" s="159" t="str">
        <f t="shared" si="110"/>
        <v>*</v>
      </c>
      <c r="L95" s="158" t="str">
        <f t="shared" si="110"/>
        <v>*</v>
      </c>
      <c r="M95" s="158" t="str">
        <f t="shared" si="110"/>
        <v>**</v>
      </c>
      <c r="N95" s="158" t="str">
        <f t="shared" si="110"/>
        <v>*</v>
      </c>
      <c r="O95" s="158" t="str">
        <f t="shared" si="110"/>
        <v>*</v>
      </c>
      <c r="P95" s="158" t="str">
        <f t="shared" si="110"/>
        <v>*</v>
      </c>
      <c r="Q95" s="158"/>
      <c r="R95" s="158"/>
      <c r="S95" s="158" t="str">
        <f t="shared" ref="S95:AA95" si="111">IFERROR(IF($G95&gt;18,IF(($G95-18)&gt;S$33,"**","*"),IF($G95&gt;=S$8,"*","")),"")</f>
        <v>*</v>
      </c>
      <c r="T95" s="158" t="str">
        <f t="shared" si="111"/>
        <v>*</v>
      </c>
      <c r="U95" s="158" t="str">
        <f t="shared" si="111"/>
        <v>*</v>
      </c>
      <c r="V95" s="158" t="str">
        <f t="shared" si="111"/>
        <v>*</v>
      </c>
      <c r="W95" s="158" t="str">
        <f t="shared" si="111"/>
        <v>**</v>
      </c>
      <c r="X95" s="158" t="str">
        <f t="shared" si="111"/>
        <v>*</v>
      </c>
      <c r="Y95" s="159" t="str">
        <f t="shared" si="111"/>
        <v>*</v>
      </c>
      <c r="Z95" s="158" t="str">
        <f t="shared" si="111"/>
        <v>*</v>
      </c>
      <c r="AA95" s="158" t="str">
        <f t="shared" si="111"/>
        <v>*</v>
      </c>
      <c r="AB95" s="151"/>
      <c r="AC95" s="151" t="str">
        <f>IF(AB95="","",SUM(Q95,AB95))</f>
        <v/>
      </c>
      <c r="AD95" s="12"/>
      <c r="AE95" s="1"/>
      <c r="AF95" s="1"/>
    </row>
    <row r="96" ht="18.75" customHeight="1">
      <c r="B96" s="181" t="str">
        <f>F95</f>
        <v>SHEPP</v>
      </c>
      <c r="C96" s="1"/>
      <c r="D96" s="1"/>
      <c r="E96" s="7"/>
      <c r="F96" s="154"/>
      <c r="G96" s="155"/>
      <c r="H96" s="186">
        <v>8.0</v>
      </c>
      <c r="I96" s="186">
        <v>5.0</v>
      </c>
      <c r="J96" s="186">
        <v>6.0</v>
      </c>
      <c r="K96" s="187">
        <v>3.0</v>
      </c>
      <c r="L96" s="186">
        <v>6.0</v>
      </c>
      <c r="M96" s="186">
        <v>6.0</v>
      </c>
      <c r="N96" s="186">
        <v>8.0</v>
      </c>
      <c r="O96" s="186">
        <v>5.0</v>
      </c>
      <c r="P96" s="186">
        <v>8.0</v>
      </c>
      <c r="Q96" s="156">
        <f>IF(H96="","",SUM(H96:P96))</f>
        <v>55</v>
      </c>
      <c r="R96" s="160"/>
      <c r="S96" s="186">
        <v>7.0</v>
      </c>
      <c r="T96" s="186">
        <v>4.0</v>
      </c>
      <c r="U96" s="186">
        <v>5.0</v>
      </c>
      <c r="V96" s="186">
        <v>6.0</v>
      </c>
      <c r="W96" s="186">
        <v>7.0</v>
      </c>
      <c r="X96" s="186">
        <v>7.0</v>
      </c>
      <c r="Y96" s="187">
        <v>7.0</v>
      </c>
      <c r="Z96" s="186">
        <v>4.0</v>
      </c>
      <c r="AA96" s="186">
        <v>7.0</v>
      </c>
      <c r="AB96" s="156">
        <f>IF(S96="","",SUM(S96:AA96))</f>
        <v>54</v>
      </c>
      <c r="AC96" s="156">
        <f>IFERROR(Q96+AB96,"")</f>
        <v>109</v>
      </c>
      <c r="AD96" s="12"/>
      <c r="AE96" s="1"/>
      <c r="AF96" s="1"/>
    </row>
    <row r="97" ht="6.75" customHeight="1">
      <c r="B97" s="181"/>
      <c r="C97" s="1"/>
      <c r="D97" s="1"/>
      <c r="E97" s="7"/>
      <c r="F97" s="16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12"/>
      <c r="AE97" s="1"/>
      <c r="AF97" s="1"/>
    </row>
    <row r="98" ht="27.75" customHeight="1">
      <c r="B98" s="181"/>
      <c r="C98" s="1"/>
      <c r="D98" s="1"/>
      <c r="E98" s="7"/>
      <c r="F98" s="161" t="s">
        <v>143</v>
      </c>
      <c r="G98" s="142"/>
      <c r="H98" s="162">
        <f t="shared" ref="H98:P98" si="112">IF(H94="","",MIN(IF(H93="**",H94-2,IF(H93="*",H94-1,H94)),(IF(H95="**",H96-2,IF(H95="*",H96-1,H96)))))</f>
        <v>4</v>
      </c>
      <c r="I98" s="162">
        <f t="shared" si="112"/>
        <v>3</v>
      </c>
      <c r="J98" s="162">
        <f t="shared" si="112"/>
        <v>4</v>
      </c>
      <c r="K98" s="163">
        <f t="shared" si="112"/>
        <v>2</v>
      </c>
      <c r="L98" s="162">
        <f t="shared" si="112"/>
        <v>4</v>
      </c>
      <c r="M98" s="162">
        <f t="shared" si="112"/>
        <v>4</v>
      </c>
      <c r="N98" s="162">
        <f t="shared" si="112"/>
        <v>6</v>
      </c>
      <c r="O98" s="162">
        <f t="shared" si="112"/>
        <v>4</v>
      </c>
      <c r="P98" s="162">
        <f t="shared" si="112"/>
        <v>5</v>
      </c>
      <c r="Q98" s="162">
        <f t="shared" ref="Q98:Q99" si="115">IF(H98="","",SUM(H98:P98))</f>
        <v>36</v>
      </c>
      <c r="R98" s="23"/>
      <c r="S98" s="162">
        <f t="shared" ref="S98:AA98" si="113">IF(S94="","",MIN(IF(S93="**",S94-2,IF(S93="*",S94-1,S94)),(IF(S95="**",S96-2,IF(S95="*",S96-1,S96)))))</f>
        <v>4</v>
      </c>
      <c r="T98" s="162">
        <f t="shared" si="113"/>
        <v>3</v>
      </c>
      <c r="U98" s="162">
        <f t="shared" si="113"/>
        <v>4</v>
      </c>
      <c r="V98" s="162">
        <f t="shared" si="113"/>
        <v>5</v>
      </c>
      <c r="W98" s="162">
        <f t="shared" si="113"/>
        <v>5</v>
      </c>
      <c r="X98" s="162">
        <f t="shared" si="113"/>
        <v>3</v>
      </c>
      <c r="Y98" s="163">
        <f t="shared" si="113"/>
        <v>3</v>
      </c>
      <c r="Z98" s="162">
        <f t="shared" si="113"/>
        <v>3</v>
      </c>
      <c r="AA98" s="162">
        <f t="shared" si="113"/>
        <v>4</v>
      </c>
      <c r="AB98" s="162">
        <f t="shared" ref="AB98:AB99" si="117">IF(S98="","",SUM(S98:AA98))</f>
        <v>34</v>
      </c>
      <c r="AC98" s="162">
        <f t="shared" ref="AC98:AC99" si="118">IF(AB98="","",AB98+Q98)</f>
        <v>70</v>
      </c>
      <c r="AD98" s="12"/>
      <c r="AE98" s="1"/>
      <c r="AF98" s="1"/>
    </row>
    <row r="99" ht="27.75" customHeight="1">
      <c r="B99" s="181"/>
      <c r="C99" s="1"/>
      <c r="D99" s="1"/>
      <c r="E99" s="7"/>
      <c r="F99" s="161" t="s">
        <v>144</v>
      </c>
      <c r="G99" s="142"/>
      <c r="H99" s="164">
        <f t="shared" ref="H99:P99" si="114">IF(H98="","",IF(H98=H90,0.5,IF(H98&lt;H90,1,0)))</f>
        <v>0.5</v>
      </c>
      <c r="I99" s="164">
        <f t="shared" si="114"/>
        <v>0.5</v>
      </c>
      <c r="J99" s="164">
        <f t="shared" si="114"/>
        <v>0.5</v>
      </c>
      <c r="K99" s="165">
        <f t="shared" si="114"/>
        <v>0.5</v>
      </c>
      <c r="L99" s="164">
        <f t="shared" si="114"/>
        <v>0.5</v>
      </c>
      <c r="M99" s="164">
        <f t="shared" si="114"/>
        <v>0.5</v>
      </c>
      <c r="N99" s="164">
        <f t="shared" si="114"/>
        <v>0</v>
      </c>
      <c r="O99" s="164">
        <f t="shared" si="114"/>
        <v>0</v>
      </c>
      <c r="P99" s="164">
        <f t="shared" si="114"/>
        <v>0</v>
      </c>
      <c r="Q99" s="164">
        <f t="shared" si="115"/>
        <v>3</v>
      </c>
      <c r="R99" s="23"/>
      <c r="S99" s="164">
        <f t="shared" ref="S99:AA99" si="116">IF(S98="","",IF(S98=S90,0.5,IF(S98&lt;S90,1,0)))</f>
        <v>1</v>
      </c>
      <c r="T99" s="164">
        <f t="shared" si="116"/>
        <v>1</v>
      </c>
      <c r="U99" s="164">
        <f t="shared" si="116"/>
        <v>1</v>
      </c>
      <c r="V99" s="164">
        <f t="shared" si="116"/>
        <v>0</v>
      </c>
      <c r="W99" s="164">
        <f t="shared" si="116"/>
        <v>1</v>
      </c>
      <c r="X99" s="164">
        <f t="shared" si="116"/>
        <v>1</v>
      </c>
      <c r="Y99" s="165">
        <f t="shared" si="116"/>
        <v>0.5</v>
      </c>
      <c r="Z99" s="164">
        <f t="shared" si="116"/>
        <v>1</v>
      </c>
      <c r="AA99" s="164">
        <f t="shared" si="116"/>
        <v>0</v>
      </c>
      <c r="AB99" s="164">
        <f t="shared" si="117"/>
        <v>6.5</v>
      </c>
      <c r="AC99" s="164">
        <f t="shared" si="118"/>
        <v>9.5</v>
      </c>
      <c r="AD99" s="12"/>
      <c r="AE99" s="1"/>
      <c r="AF99" s="1"/>
    </row>
    <row r="100" ht="6.75" customHeight="1">
      <c r="B100" s="181"/>
      <c r="C100" s="1"/>
      <c r="D100" s="1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  <c r="AE100" s="1"/>
      <c r="AF100" s="1"/>
    </row>
    <row r="101" ht="6.75" customHeight="1">
      <c r="B101" s="18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6.75" customHeight="1">
      <c r="B102" s="18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6.75" customHeight="1">
      <c r="B103" s="18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6.75" customHeight="1">
      <c r="B104" s="18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6.75" customHeight="1">
      <c r="B105" s="18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6.75" customHeight="1">
      <c r="B106" s="18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6.75" customHeight="1">
      <c r="B107" s="18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6.75" customHeight="1">
      <c r="B108" s="18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6.75" customHeight="1">
      <c r="B109" s="18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6.75" customHeight="1">
      <c r="B110" s="18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6.75" customHeight="1">
      <c r="B111" s="18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6.75" customHeight="1">
      <c r="B112" s="18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6.75" customHeight="1">
      <c r="B113" s="18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6.75" customHeight="1">
      <c r="B114" s="18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6.75" customHeight="1">
      <c r="B115" s="18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6.75" customHeight="1">
      <c r="B116" s="18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6.75" customHeight="1">
      <c r="B117" s="18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6.75" customHeight="1">
      <c r="B118" s="18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6.75" customHeight="1">
      <c r="B119" s="18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6.75" customHeight="1">
      <c r="B120" s="18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6.75" customHeight="1">
      <c r="B121" s="18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4.25" customHeight="1">
      <c r="B122" s="18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4.25" customHeight="1">
      <c r="B123" s="181"/>
      <c r="C123" s="1"/>
      <c r="D123" s="1"/>
      <c r="E123" s="1"/>
      <c r="F123" s="39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4.25" customHeight="1">
      <c r="B124" s="181"/>
      <c r="C124" s="1"/>
      <c r="D124" s="1"/>
      <c r="E124" s="1"/>
      <c r="F124" s="1" t="str">
        <f>F10</f>
        <v>PAXTON</v>
      </c>
      <c r="G124" s="1"/>
      <c r="H124" s="40">
        <f t="shared" ref="H124:P124" si="119">H11</f>
        <v>6</v>
      </c>
      <c r="I124" s="40">
        <f t="shared" si="119"/>
        <v>4</v>
      </c>
      <c r="J124" s="40">
        <f t="shared" si="119"/>
        <v>4</v>
      </c>
      <c r="K124" s="40">
        <f t="shared" si="119"/>
        <v>4</v>
      </c>
      <c r="L124" s="40">
        <f t="shared" si="119"/>
        <v>5</v>
      </c>
      <c r="M124" s="40">
        <f t="shared" si="119"/>
        <v>5</v>
      </c>
      <c r="N124" s="40">
        <f t="shared" si="119"/>
        <v>6</v>
      </c>
      <c r="O124" s="40">
        <f t="shared" si="119"/>
        <v>4</v>
      </c>
      <c r="P124" s="40">
        <f t="shared" si="119"/>
        <v>4</v>
      </c>
      <c r="Q124" s="40"/>
      <c r="R124" s="40"/>
      <c r="S124" s="40">
        <f t="shared" ref="S124:AA124" si="120">S11</f>
        <v>5</v>
      </c>
      <c r="T124" s="40">
        <f t="shared" si="120"/>
        <v>4</v>
      </c>
      <c r="U124" s="40">
        <f t="shared" si="120"/>
        <v>5</v>
      </c>
      <c r="V124" s="40">
        <f t="shared" si="120"/>
        <v>5</v>
      </c>
      <c r="W124" s="40">
        <f t="shared" si="120"/>
        <v>5</v>
      </c>
      <c r="X124" s="40">
        <f t="shared" si="120"/>
        <v>3</v>
      </c>
      <c r="Y124" s="40">
        <f t="shared" si="120"/>
        <v>4</v>
      </c>
      <c r="Z124" s="40">
        <f t="shared" si="120"/>
        <v>4</v>
      </c>
      <c r="AA124" s="40">
        <f t="shared" si="120"/>
        <v>5</v>
      </c>
      <c r="AB124" s="1"/>
      <c r="AC124" s="1"/>
      <c r="AD124" s="1"/>
      <c r="AE124" s="1"/>
      <c r="AF124" s="1"/>
    </row>
    <row r="125" ht="14.25" customHeight="1">
      <c r="B125" s="181"/>
      <c r="C125" s="1"/>
      <c r="D125" s="1"/>
      <c r="E125" s="1"/>
      <c r="F125" s="1" t="str">
        <f>F12</f>
        <v>DYLAN</v>
      </c>
      <c r="G125" s="1"/>
      <c r="H125" s="40">
        <f t="shared" ref="H125:P125" si="121">H13</f>
        <v>4</v>
      </c>
      <c r="I125" s="40">
        <f t="shared" si="121"/>
        <v>4</v>
      </c>
      <c r="J125" s="40">
        <f t="shared" si="121"/>
        <v>4</v>
      </c>
      <c r="K125" s="40">
        <f t="shared" si="121"/>
        <v>4</v>
      </c>
      <c r="L125" s="40">
        <f t="shared" si="121"/>
        <v>5</v>
      </c>
      <c r="M125" s="40">
        <f t="shared" si="121"/>
        <v>6</v>
      </c>
      <c r="N125" s="40">
        <f t="shared" si="121"/>
        <v>5</v>
      </c>
      <c r="O125" s="40">
        <f t="shared" si="121"/>
        <v>4</v>
      </c>
      <c r="P125" s="40">
        <f t="shared" si="121"/>
        <v>7</v>
      </c>
      <c r="Q125" s="40"/>
      <c r="R125" s="40"/>
      <c r="S125" s="40">
        <f t="shared" ref="S125:AA125" si="122">S13</f>
        <v>6</v>
      </c>
      <c r="T125" s="40">
        <f t="shared" si="122"/>
        <v>3</v>
      </c>
      <c r="U125" s="40">
        <f t="shared" si="122"/>
        <v>5</v>
      </c>
      <c r="V125" s="40">
        <f t="shared" si="122"/>
        <v>4</v>
      </c>
      <c r="W125" s="40">
        <f t="shared" si="122"/>
        <v>6</v>
      </c>
      <c r="X125" s="40">
        <f t="shared" si="122"/>
        <v>5</v>
      </c>
      <c r="Y125" s="40">
        <f t="shared" si="122"/>
        <v>5</v>
      </c>
      <c r="Z125" s="40">
        <f t="shared" si="122"/>
        <v>4</v>
      </c>
      <c r="AA125" s="40">
        <f t="shared" si="122"/>
        <v>4</v>
      </c>
      <c r="AB125" s="1"/>
      <c r="AC125" s="1"/>
      <c r="AD125" s="1"/>
      <c r="AE125" s="1"/>
      <c r="AF125" s="1"/>
    </row>
    <row r="126" ht="14.25" customHeight="1">
      <c r="B126" s="181"/>
      <c r="C126" s="1"/>
      <c r="D126" s="1"/>
      <c r="E126" s="1"/>
      <c r="F126" s="1" t="str">
        <f>F18</f>
        <v>SLICK</v>
      </c>
      <c r="G126" s="1"/>
      <c r="H126" s="40">
        <f t="shared" ref="H126:P126" si="123">H19</f>
        <v>4</v>
      </c>
      <c r="I126" s="40">
        <f t="shared" si="123"/>
        <v>4</v>
      </c>
      <c r="J126" s="40">
        <f t="shared" si="123"/>
        <v>4</v>
      </c>
      <c r="K126" s="40">
        <f t="shared" si="123"/>
        <v>3</v>
      </c>
      <c r="L126" s="40">
        <f t="shared" si="123"/>
        <v>4</v>
      </c>
      <c r="M126" s="40">
        <f t="shared" si="123"/>
        <v>5</v>
      </c>
      <c r="N126" s="40">
        <f t="shared" si="123"/>
        <v>5</v>
      </c>
      <c r="O126" s="40">
        <f t="shared" si="123"/>
        <v>3</v>
      </c>
      <c r="P126" s="40">
        <f t="shared" si="123"/>
        <v>5</v>
      </c>
      <c r="Q126" s="40"/>
      <c r="R126" s="40"/>
      <c r="S126" s="40">
        <f t="shared" ref="S126:AA126" si="124">S19</f>
        <v>4</v>
      </c>
      <c r="T126" s="40">
        <f t="shared" si="124"/>
        <v>3</v>
      </c>
      <c r="U126" s="40">
        <f t="shared" si="124"/>
        <v>7</v>
      </c>
      <c r="V126" s="40">
        <f t="shared" si="124"/>
        <v>5</v>
      </c>
      <c r="W126" s="40">
        <f t="shared" si="124"/>
        <v>5</v>
      </c>
      <c r="X126" s="40">
        <f t="shared" si="124"/>
        <v>5</v>
      </c>
      <c r="Y126" s="40">
        <f t="shared" si="124"/>
        <v>4</v>
      </c>
      <c r="Z126" s="40">
        <f t="shared" si="124"/>
        <v>4</v>
      </c>
      <c r="AA126" s="40">
        <f t="shared" si="124"/>
        <v>5</v>
      </c>
      <c r="AB126" s="1"/>
      <c r="AC126" s="1"/>
      <c r="AD126" s="1"/>
      <c r="AE126" s="1"/>
      <c r="AF126" s="1"/>
    </row>
    <row r="127" ht="14.25" customHeight="1">
      <c r="B127" s="181"/>
      <c r="C127" s="1"/>
      <c r="D127" s="1"/>
      <c r="E127" s="1"/>
      <c r="F127" s="1" t="str">
        <f>F20</f>
        <v>TOM</v>
      </c>
      <c r="G127" s="1"/>
      <c r="H127" s="40">
        <f t="shared" ref="H127:P127" si="125">H21</f>
        <v>5</v>
      </c>
      <c r="I127" s="40">
        <f t="shared" si="125"/>
        <v>5</v>
      </c>
      <c r="J127" s="40">
        <f t="shared" si="125"/>
        <v>6</v>
      </c>
      <c r="K127" s="40">
        <f t="shared" si="125"/>
        <v>3</v>
      </c>
      <c r="L127" s="40">
        <f t="shared" si="125"/>
        <v>5</v>
      </c>
      <c r="M127" s="40">
        <f t="shared" si="125"/>
        <v>5</v>
      </c>
      <c r="N127" s="40">
        <f t="shared" si="125"/>
        <v>6</v>
      </c>
      <c r="O127" s="40">
        <f t="shared" si="125"/>
        <v>4</v>
      </c>
      <c r="P127" s="40">
        <f t="shared" si="125"/>
        <v>7</v>
      </c>
      <c r="Q127" s="40"/>
      <c r="R127" s="40"/>
      <c r="S127" s="40">
        <f t="shared" ref="S127:AA127" si="126">S21</f>
        <v>5</v>
      </c>
      <c r="T127" s="40">
        <f t="shared" si="126"/>
        <v>3</v>
      </c>
      <c r="U127" s="40">
        <f t="shared" si="126"/>
        <v>6</v>
      </c>
      <c r="V127" s="40">
        <f t="shared" si="126"/>
        <v>5</v>
      </c>
      <c r="W127" s="40">
        <f t="shared" si="126"/>
        <v>8</v>
      </c>
      <c r="X127" s="40">
        <f t="shared" si="126"/>
        <v>6</v>
      </c>
      <c r="Y127" s="40">
        <f t="shared" si="126"/>
        <v>5</v>
      </c>
      <c r="Z127" s="40">
        <f t="shared" si="126"/>
        <v>3</v>
      </c>
      <c r="AA127" s="40">
        <f t="shared" si="126"/>
        <v>5</v>
      </c>
      <c r="AB127" s="1"/>
      <c r="AC127" s="1"/>
      <c r="AD127" s="1"/>
      <c r="AE127" s="1"/>
      <c r="AF127" s="1"/>
    </row>
    <row r="128" ht="14.25" customHeight="1">
      <c r="B128" s="181"/>
      <c r="C128" s="1"/>
      <c r="D128" s="1"/>
      <c r="E128" s="1"/>
      <c r="F128" s="1" t="str">
        <f>F35</f>
        <v>DEREK</v>
      </c>
      <c r="G128" s="1"/>
      <c r="H128" s="40">
        <f t="shared" ref="H128:P128" si="127">H36</f>
        <v>4</v>
      </c>
      <c r="I128" s="40">
        <f t="shared" si="127"/>
        <v>4</v>
      </c>
      <c r="J128" s="40">
        <f t="shared" si="127"/>
        <v>4</v>
      </c>
      <c r="K128" s="40">
        <f t="shared" si="127"/>
        <v>4</v>
      </c>
      <c r="L128" s="40">
        <f t="shared" si="127"/>
        <v>4</v>
      </c>
      <c r="M128" s="40">
        <f t="shared" si="127"/>
        <v>4</v>
      </c>
      <c r="N128" s="40">
        <f t="shared" si="127"/>
        <v>5</v>
      </c>
      <c r="O128" s="40">
        <f t="shared" si="127"/>
        <v>4</v>
      </c>
      <c r="P128" s="40">
        <f t="shared" si="127"/>
        <v>7</v>
      </c>
      <c r="Q128" s="40"/>
      <c r="R128" s="40"/>
      <c r="S128" s="40">
        <f t="shared" ref="S128:AA128" si="128">S36</f>
        <v>4</v>
      </c>
      <c r="T128" s="40">
        <f t="shared" si="128"/>
        <v>5</v>
      </c>
      <c r="U128" s="40">
        <f t="shared" si="128"/>
        <v>4</v>
      </c>
      <c r="V128" s="40">
        <f t="shared" si="128"/>
        <v>4</v>
      </c>
      <c r="W128" s="40">
        <f t="shared" si="128"/>
        <v>6</v>
      </c>
      <c r="X128" s="40">
        <f t="shared" si="128"/>
        <v>3</v>
      </c>
      <c r="Y128" s="40">
        <f t="shared" si="128"/>
        <v>5</v>
      </c>
      <c r="Z128" s="40">
        <f t="shared" si="128"/>
        <v>5</v>
      </c>
      <c r="AA128" s="40">
        <f t="shared" si="128"/>
        <v>4</v>
      </c>
      <c r="AB128" s="1"/>
      <c r="AC128" s="1"/>
      <c r="AD128" s="1"/>
      <c r="AE128" s="1"/>
      <c r="AF128" s="1"/>
    </row>
    <row r="129" ht="14.25" customHeight="1">
      <c r="B129" s="181"/>
      <c r="C129" s="1"/>
      <c r="D129" s="1"/>
      <c r="E129" s="1"/>
      <c r="F129" s="1" t="str">
        <f>F37</f>
        <v>MAX</v>
      </c>
      <c r="G129" s="1"/>
      <c r="H129" s="40">
        <f t="shared" ref="H129:P129" si="129">H38</f>
        <v>5</v>
      </c>
      <c r="I129" s="40">
        <f t="shared" si="129"/>
        <v>5</v>
      </c>
      <c r="J129" s="40">
        <f t="shared" si="129"/>
        <v>5</v>
      </c>
      <c r="K129" s="40">
        <f t="shared" si="129"/>
        <v>4</v>
      </c>
      <c r="L129" s="40">
        <f t="shared" si="129"/>
        <v>5</v>
      </c>
      <c r="M129" s="40">
        <f t="shared" si="129"/>
        <v>7</v>
      </c>
      <c r="N129" s="40">
        <f t="shared" si="129"/>
        <v>5</v>
      </c>
      <c r="O129" s="40">
        <f t="shared" si="129"/>
        <v>4</v>
      </c>
      <c r="P129" s="40">
        <f t="shared" si="129"/>
        <v>8</v>
      </c>
      <c r="Q129" s="40"/>
      <c r="R129" s="40"/>
      <c r="S129" s="40">
        <f t="shared" ref="S129:AA129" si="130">S38</f>
        <v>5</v>
      </c>
      <c r="T129" s="40">
        <f t="shared" si="130"/>
        <v>5</v>
      </c>
      <c r="U129" s="40">
        <f t="shared" si="130"/>
        <v>7</v>
      </c>
      <c r="V129" s="40">
        <f t="shared" si="130"/>
        <v>4</v>
      </c>
      <c r="W129" s="40">
        <f t="shared" si="130"/>
        <v>5</v>
      </c>
      <c r="X129" s="40">
        <f t="shared" si="130"/>
        <v>5</v>
      </c>
      <c r="Y129" s="40">
        <f t="shared" si="130"/>
        <v>4</v>
      </c>
      <c r="Z129" s="40">
        <f t="shared" si="130"/>
        <v>5</v>
      </c>
      <c r="AA129" s="40">
        <f t="shared" si="130"/>
        <v>4</v>
      </c>
      <c r="AB129" s="1"/>
      <c r="AC129" s="1"/>
      <c r="AD129" s="1"/>
      <c r="AE129" s="1"/>
      <c r="AF129" s="1"/>
    </row>
    <row r="130" ht="14.25" customHeight="1">
      <c r="B130" s="181"/>
      <c r="C130" s="1"/>
      <c r="D130" s="1"/>
      <c r="E130" s="1"/>
      <c r="F130" s="1" t="str">
        <f>F43</f>
        <v>BEN</v>
      </c>
      <c r="G130" s="1"/>
      <c r="H130" s="40">
        <f t="shared" ref="H130:P130" si="131">H44</f>
        <v>4</v>
      </c>
      <c r="I130" s="40">
        <f t="shared" si="131"/>
        <v>3</v>
      </c>
      <c r="J130" s="40">
        <f t="shared" si="131"/>
        <v>4</v>
      </c>
      <c r="K130" s="40">
        <f t="shared" si="131"/>
        <v>3</v>
      </c>
      <c r="L130" s="40">
        <f t="shared" si="131"/>
        <v>4</v>
      </c>
      <c r="M130" s="40">
        <f t="shared" si="131"/>
        <v>3</v>
      </c>
      <c r="N130" s="40">
        <f t="shared" si="131"/>
        <v>5</v>
      </c>
      <c r="O130" s="40">
        <f t="shared" si="131"/>
        <v>4</v>
      </c>
      <c r="P130" s="40">
        <f t="shared" si="131"/>
        <v>4</v>
      </c>
      <c r="Q130" s="40"/>
      <c r="R130" s="40"/>
      <c r="S130" s="40">
        <f t="shared" ref="S130:AA130" si="132">S44</f>
        <v>6</v>
      </c>
      <c r="T130" s="40">
        <f t="shared" si="132"/>
        <v>3</v>
      </c>
      <c r="U130" s="40">
        <f t="shared" si="132"/>
        <v>5</v>
      </c>
      <c r="V130" s="40">
        <f t="shared" si="132"/>
        <v>6</v>
      </c>
      <c r="W130" s="40">
        <f t="shared" si="132"/>
        <v>6</v>
      </c>
      <c r="X130" s="40">
        <f t="shared" si="132"/>
        <v>5</v>
      </c>
      <c r="Y130" s="40">
        <f t="shared" si="132"/>
        <v>5</v>
      </c>
      <c r="Z130" s="40">
        <f t="shared" si="132"/>
        <v>3</v>
      </c>
      <c r="AA130" s="40">
        <f t="shared" si="132"/>
        <v>4</v>
      </c>
      <c r="AB130" s="1"/>
      <c r="AC130" s="1"/>
      <c r="AD130" s="1"/>
      <c r="AE130" s="1"/>
      <c r="AF130" s="1"/>
    </row>
    <row r="131" ht="14.25" customHeight="1">
      <c r="B131" s="181"/>
      <c r="C131" s="1"/>
      <c r="D131" s="1"/>
      <c r="E131" s="1"/>
      <c r="F131" s="1" t="str">
        <f>F45</f>
        <v>ZACH</v>
      </c>
      <c r="G131" s="1"/>
      <c r="H131" s="40">
        <f t="shared" ref="H131:P131" si="133">H46</f>
        <v>5</v>
      </c>
      <c r="I131" s="40">
        <f t="shared" si="133"/>
        <v>4</v>
      </c>
      <c r="J131" s="40">
        <f t="shared" si="133"/>
        <v>5</v>
      </c>
      <c r="K131" s="40">
        <f t="shared" si="133"/>
        <v>5</v>
      </c>
      <c r="L131" s="40">
        <f t="shared" si="133"/>
        <v>4</v>
      </c>
      <c r="M131" s="40">
        <f t="shared" si="133"/>
        <v>6</v>
      </c>
      <c r="N131" s="40">
        <f t="shared" si="133"/>
        <v>5</v>
      </c>
      <c r="O131" s="40">
        <f t="shared" si="133"/>
        <v>4</v>
      </c>
      <c r="P131" s="40">
        <f t="shared" si="133"/>
        <v>5</v>
      </c>
      <c r="Q131" s="40"/>
      <c r="R131" s="40"/>
      <c r="S131" s="40">
        <f t="shared" ref="S131:AA131" si="134">S46</f>
        <v>5</v>
      </c>
      <c r="T131" s="40">
        <f t="shared" si="134"/>
        <v>3</v>
      </c>
      <c r="U131" s="40">
        <f t="shared" si="134"/>
        <v>6</v>
      </c>
      <c r="V131" s="40">
        <f t="shared" si="134"/>
        <v>5</v>
      </c>
      <c r="W131" s="40">
        <f t="shared" si="134"/>
        <v>7</v>
      </c>
      <c r="X131" s="40">
        <f t="shared" si="134"/>
        <v>5</v>
      </c>
      <c r="Y131" s="40">
        <f t="shared" si="134"/>
        <v>4</v>
      </c>
      <c r="Z131" s="40">
        <f t="shared" si="134"/>
        <v>3</v>
      </c>
      <c r="AA131" s="40">
        <f t="shared" si="134"/>
        <v>5</v>
      </c>
      <c r="AB131" s="1"/>
      <c r="AC131" s="1"/>
      <c r="AD131" s="1"/>
      <c r="AE131" s="1"/>
      <c r="AF131" s="1"/>
    </row>
    <row r="132" ht="14.25" customHeight="1">
      <c r="B132" s="181"/>
      <c r="C132" s="1"/>
      <c r="D132" s="1"/>
      <c r="E132" s="1"/>
      <c r="F132" s="1" t="str">
        <f>F60</f>
        <v>SCOTT</v>
      </c>
      <c r="G132" s="1"/>
      <c r="H132" s="40">
        <f t="shared" ref="H132:P132" si="135">H61</f>
        <v>4</v>
      </c>
      <c r="I132" s="40">
        <f t="shared" si="135"/>
        <v>5</v>
      </c>
      <c r="J132" s="40">
        <f t="shared" si="135"/>
        <v>3</v>
      </c>
      <c r="K132" s="40">
        <f t="shared" si="135"/>
        <v>3</v>
      </c>
      <c r="L132" s="40">
        <f t="shared" si="135"/>
        <v>3</v>
      </c>
      <c r="M132" s="40">
        <f t="shared" si="135"/>
        <v>4</v>
      </c>
      <c r="N132" s="40">
        <f t="shared" si="135"/>
        <v>7</v>
      </c>
      <c r="O132" s="40">
        <f t="shared" si="135"/>
        <v>4</v>
      </c>
      <c r="P132" s="40">
        <f t="shared" si="135"/>
        <v>5</v>
      </c>
      <c r="Q132" s="40"/>
      <c r="R132" s="40"/>
      <c r="S132" s="40">
        <f t="shared" ref="S132:AA132" si="136">S61</f>
        <v>6</v>
      </c>
      <c r="T132" s="40">
        <f t="shared" si="136"/>
        <v>3</v>
      </c>
      <c r="U132" s="40">
        <f t="shared" si="136"/>
        <v>5</v>
      </c>
      <c r="V132" s="40">
        <f t="shared" si="136"/>
        <v>3</v>
      </c>
      <c r="W132" s="40">
        <f t="shared" si="136"/>
        <v>5</v>
      </c>
      <c r="X132" s="40">
        <f t="shared" si="136"/>
        <v>5</v>
      </c>
      <c r="Y132" s="40">
        <f t="shared" si="136"/>
        <v>5</v>
      </c>
      <c r="Z132" s="40">
        <f t="shared" si="136"/>
        <v>3</v>
      </c>
      <c r="AA132" s="40">
        <f t="shared" si="136"/>
        <v>4</v>
      </c>
      <c r="AB132" s="1"/>
      <c r="AC132" s="1"/>
      <c r="AD132" s="1"/>
      <c r="AE132" s="1"/>
      <c r="AF132" s="1"/>
    </row>
    <row r="133" ht="14.25" customHeight="1">
      <c r="B133" s="181"/>
      <c r="C133" s="1"/>
      <c r="D133" s="1"/>
      <c r="E133" s="1"/>
      <c r="F133" s="1" t="str">
        <f>F62</f>
        <v>RYAN</v>
      </c>
      <c r="G133" s="1"/>
      <c r="H133" s="40">
        <f t="shared" ref="H133:P133" si="137">H63</f>
        <v>7</v>
      </c>
      <c r="I133" s="40">
        <f t="shared" si="137"/>
        <v>5</v>
      </c>
      <c r="J133" s="40">
        <f t="shared" si="137"/>
        <v>7</v>
      </c>
      <c r="K133" s="40">
        <f t="shared" si="137"/>
        <v>4</v>
      </c>
      <c r="L133" s="40">
        <f t="shared" si="137"/>
        <v>7</v>
      </c>
      <c r="M133" s="40">
        <f t="shared" si="137"/>
        <v>6</v>
      </c>
      <c r="N133" s="40">
        <f t="shared" si="137"/>
        <v>5</v>
      </c>
      <c r="O133" s="40">
        <f t="shared" si="137"/>
        <v>6</v>
      </c>
      <c r="P133" s="40">
        <f t="shared" si="137"/>
        <v>8</v>
      </c>
      <c r="Q133" s="40"/>
      <c r="R133" s="40"/>
      <c r="S133" s="40">
        <f t="shared" ref="S133:AA133" si="138">S63</f>
        <v>7</v>
      </c>
      <c r="T133" s="40">
        <f t="shared" si="138"/>
        <v>4</v>
      </c>
      <c r="U133" s="40">
        <f t="shared" si="138"/>
        <v>8</v>
      </c>
      <c r="V133" s="40">
        <f t="shared" si="138"/>
        <v>4</v>
      </c>
      <c r="W133" s="40">
        <f t="shared" si="138"/>
        <v>5</v>
      </c>
      <c r="X133" s="40">
        <f t="shared" si="138"/>
        <v>5</v>
      </c>
      <c r="Y133" s="40">
        <f t="shared" si="138"/>
        <v>6</v>
      </c>
      <c r="Z133" s="40">
        <f t="shared" si="138"/>
        <v>6</v>
      </c>
      <c r="AA133" s="40">
        <f t="shared" si="138"/>
        <v>7</v>
      </c>
      <c r="AB133" s="1"/>
      <c r="AC133" s="1"/>
      <c r="AD133" s="1"/>
      <c r="AE133" s="1"/>
      <c r="AF133" s="1"/>
    </row>
    <row r="134" ht="14.25" customHeight="1">
      <c r="B134" s="181"/>
      <c r="C134" s="1"/>
      <c r="D134" s="1"/>
      <c r="E134" s="1"/>
      <c r="F134" s="1" t="str">
        <f>F68</f>
        <v>DANNY</v>
      </c>
      <c r="G134" s="1"/>
      <c r="H134" s="40">
        <f t="shared" ref="H134:P134" si="139">H69</f>
        <v>4</v>
      </c>
      <c r="I134" s="40">
        <f t="shared" si="139"/>
        <v>5</v>
      </c>
      <c r="J134" s="40">
        <f t="shared" si="139"/>
        <v>5</v>
      </c>
      <c r="K134" s="40">
        <f t="shared" si="139"/>
        <v>2</v>
      </c>
      <c r="L134" s="40">
        <f t="shared" si="139"/>
        <v>5</v>
      </c>
      <c r="M134" s="40">
        <f t="shared" si="139"/>
        <v>5</v>
      </c>
      <c r="N134" s="40">
        <f t="shared" si="139"/>
        <v>7</v>
      </c>
      <c r="O134" s="40">
        <f t="shared" si="139"/>
        <v>4</v>
      </c>
      <c r="P134" s="40">
        <f t="shared" si="139"/>
        <v>7</v>
      </c>
      <c r="Q134" s="40"/>
      <c r="R134" s="40"/>
      <c r="S134" s="40">
        <f t="shared" ref="S134:AA134" si="140">S69</f>
        <v>5</v>
      </c>
      <c r="T134" s="40">
        <f t="shared" si="140"/>
        <v>2</v>
      </c>
      <c r="U134" s="40">
        <f t="shared" si="140"/>
        <v>6</v>
      </c>
      <c r="V134" s="40">
        <f t="shared" si="140"/>
        <v>6</v>
      </c>
      <c r="W134" s="40">
        <f t="shared" si="140"/>
        <v>6</v>
      </c>
      <c r="X134" s="40">
        <f t="shared" si="140"/>
        <v>5</v>
      </c>
      <c r="Y134" s="40">
        <f t="shared" si="140"/>
        <v>4</v>
      </c>
      <c r="Z134" s="40">
        <f t="shared" si="140"/>
        <v>5</v>
      </c>
      <c r="AA134" s="40">
        <f t="shared" si="140"/>
        <v>6</v>
      </c>
      <c r="AB134" s="1"/>
      <c r="AC134" s="1"/>
      <c r="AD134" s="1"/>
      <c r="AE134" s="1"/>
      <c r="AF134" s="1"/>
    </row>
    <row r="135" ht="14.25" customHeight="1">
      <c r="B135" s="181"/>
      <c r="C135" s="1"/>
      <c r="D135" s="1"/>
      <c r="E135" s="1"/>
      <c r="F135" s="1" t="str">
        <f>F70</f>
        <v>SKYLAR</v>
      </c>
      <c r="G135" s="1"/>
      <c r="H135" s="40">
        <f t="shared" ref="H135:P135" si="141">H71</f>
        <v>7</v>
      </c>
      <c r="I135" s="40">
        <f t="shared" si="141"/>
        <v>6</v>
      </c>
      <c r="J135" s="40">
        <f t="shared" si="141"/>
        <v>5</v>
      </c>
      <c r="K135" s="40">
        <f t="shared" si="141"/>
        <v>4</v>
      </c>
      <c r="L135" s="40">
        <f t="shared" si="141"/>
        <v>6</v>
      </c>
      <c r="M135" s="40">
        <f t="shared" si="141"/>
        <v>6</v>
      </c>
      <c r="N135" s="40">
        <f t="shared" si="141"/>
        <v>6</v>
      </c>
      <c r="O135" s="40">
        <f t="shared" si="141"/>
        <v>4</v>
      </c>
      <c r="P135" s="40">
        <f t="shared" si="141"/>
        <v>6</v>
      </c>
      <c r="Q135" s="40"/>
      <c r="R135" s="40"/>
      <c r="S135" s="40">
        <f t="shared" ref="S135:AA135" si="142">S71</f>
        <v>5</v>
      </c>
      <c r="T135" s="40">
        <f t="shared" si="142"/>
        <v>3</v>
      </c>
      <c r="U135" s="40">
        <f t="shared" si="142"/>
        <v>9</v>
      </c>
      <c r="V135" s="40">
        <f t="shared" si="142"/>
        <v>8</v>
      </c>
      <c r="W135" s="40">
        <f t="shared" si="142"/>
        <v>8</v>
      </c>
      <c r="X135" s="40">
        <f t="shared" si="142"/>
        <v>8</v>
      </c>
      <c r="Y135" s="40">
        <f t="shared" si="142"/>
        <v>6</v>
      </c>
      <c r="Z135" s="40">
        <f t="shared" si="142"/>
        <v>6</v>
      </c>
      <c r="AA135" s="40">
        <f t="shared" si="142"/>
        <v>5</v>
      </c>
      <c r="AB135" s="1"/>
      <c r="AC135" s="1"/>
      <c r="AD135" s="1"/>
      <c r="AE135" s="1"/>
      <c r="AF135" s="1"/>
    </row>
    <row r="136" ht="14.25" customHeight="1">
      <c r="B136" s="181"/>
      <c r="C136" s="1"/>
      <c r="D136" s="1"/>
      <c r="E136" s="1"/>
      <c r="F136" s="1" t="str">
        <f>F85</f>
        <v>ERIC</v>
      </c>
      <c r="G136" s="1"/>
      <c r="H136" s="40">
        <f t="shared" ref="H136:P136" si="143">H86</f>
        <v>5</v>
      </c>
      <c r="I136" s="40">
        <f t="shared" si="143"/>
        <v>4</v>
      </c>
      <c r="J136" s="40">
        <f t="shared" si="143"/>
        <v>8</v>
      </c>
      <c r="K136" s="40">
        <f t="shared" si="143"/>
        <v>2</v>
      </c>
      <c r="L136" s="40">
        <f t="shared" si="143"/>
        <v>5</v>
      </c>
      <c r="M136" s="40">
        <f t="shared" si="143"/>
        <v>7</v>
      </c>
      <c r="N136" s="40">
        <f t="shared" si="143"/>
        <v>6</v>
      </c>
      <c r="O136" s="40">
        <f t="shared" si="143"/>
        <v>4</v>
      </c>
      <c r="P136" s="40">
        <f t="shared" si="143"/>
        <v>5</v>
      </c>
      <c r="Q136" s="40"/>
      <c r="R136" s="40"/>
      <c r="S136" s="40">
        <f t="shared" ref="S136:AA136" si="144">S86</f>
        <v>8</v>
      </c>
      <c r="T136" s="40">
        <f t="shared" si="144"/>
        <v>4</v>
      </c>
      <c r="U136" s="40">
        <f t="shared" si="144"/>
        <v>6</v>
      </c>
      <c r="V136" s="40">
        <f t="shared" si="144"/>
        <v>4</v>
      </c>
      <c r="W136" s="40">
        <f t="shared" si="144"/>
        <v>7</v>
      </c>
      <c r="X136" s="40">
        <f t="shared" si="144"/>
        <v>7</v>
      </c>
      <c r="Y136" s="40">
        <f t="shared" si="144"/>
        <v>4</v>
      </c>
      <c r="Z136" s="40">
        <f t="shared" si="144"/>
        <v>5</v>
      </c>
      <c r="AA136" s="40">
        <f t="shared" si="144"/>
        <v>4</v>
      </c>
      <c r="AB136" s="1"/>
      <c r="AC136" s="1"/>
      <c r="AD136" s="1"/>
      <c r="AE136" s="1"/>
      <c r="AF136" s="1"/>
    </row>
    <row r="137" ht="14.25" customHeight="1">
      <c r="B137" s="181"/>
      <c r="C137" s="1"/>
      <c r="D137" s="1"/>
      <c r="E137" s="1"/>
      <c r="F137" s="1" t="str">
        <f>F87</f>
        <v>KIP</v>
      </c>
      <c r="G137" s="1"/>
      <c r="H137" s="40">
        <f t="shared" ref="H137:P137" si="145">H88</f>
        <v>7</v>
      </c>
      <c r="I137" s="40">
        <f t="shared" si="145"/>
        <v>5</v>
      </c>
      <c r="J137" s="40">
        <f t="shared" si="145"/>
        <v>5</v>
      </c>
      <c r="K137" s="40">
        <f t="shared" si="145"/>
        <v>4</v>
      </c>
      <c r="L137" s="40">
        <f t="shared" si="145"/>
        <v>7</v>
      </c>
      <c r="M137" s="40">
        <f t="shared" si="145"/>
        <v>6</v>
      </c>
      <c r="N137" s="40">
        <f t="shared" si="145"/>
        <v>5</v>
      </c>
      <c r="O137" s="40">
        <f t="shared" si="145"/>
        <v>4</v>
      </c>
      <c r="P137" s="40">
        <f t="shared" si="145"/>
        <v>7</v>
      </c>
      <c r="Q137" s="40"/>
      <c r="R137" s="40"/>
      <c r="S137" s="40">
        <f t="shared" ref="S137:AA137" si="146">S88</f>
        <v>7</v>
      </c>
      <c r="T137" s="40">
        <f t="shared" si="146"/>
        <v>6</v>
      </c>
      <c r="U137" s="40">
        <f t="shared" si="146"/>
        <v>9</v>
      </c>
      <c r="V137" s="40">
        <f t="shared" si="146"/>
        <v>5</v>
      </c>
      <c r="W137" s="40">
        <f t="shared" si="146"/>
        <v>9</v>
      </c>
      <c r="X137" s="40">
        <f t="shared" si="146"/>
        <v>6</v>
      </c>
      <c r="Y137" s="40">
        <f t="shared" si="146"/>
        <v>4</v>
      </c>
      <c r="Z137" s="40">
        <f t="shared" si="146"/>
        <v>6</v>
      </c>
      <c r="AA137" s="40">
        <f t="shared" si="146"/>
        <v>7</v>
      </c>
      <c r="AB137" s="1"/>
      <c r="AC137" s="1"/>
      <c r="AD137" s="1"/>
      <c r="AE137" s="1"/>
      <c r="AF137" s="1"/>
    </row>
    <row r="138" ht="14.25" customHeight="1">
      <c r="B138" s="181"/>
      <c r="C138" s="1"/>
      <c r="D138" s="1"/>
      <c r="E138" s="1"/>
      <c r="F138" s="1" t="str">
        <f>F93</f>
        <v>WAYS</v>
      </c>
      <c r="G138" s="1"/>
      <c r="H138" s="40">
        <f t="shared" ref="H138:P138" si="147">H94</f>
        <v>5</v>
      </c>
      <c r="I138" s="40">
        <f t="shared" si="147"/>
        <v>3</v>
      </c>
      <c r="J138" s="40">
        <f t="shared" si="147"/>
        <v>5</v>
      </c>
      <c r="K138" s="40">
        <f t="shared" si="147"/>
        <v>3</v>
      </c>
      <c r="L138" s="40">
        <f t="shared" si="147"/>
        <v>4</v>
      </c>
      <c r="M138" s="40">
        <f t="shared" si="147"/>
        <v>5</v>
      </c>
      <c r="N138" s="40">
        <f t="shared" si="147"/>
        <v>6</v>
      </c>
      <c r="O138" s="40">
        <f t="shared" si="147"/>
        <v>4</v>
      </c>
      <c r="P138" s="40">
        <f t="shared" si="147"/>
        <v>6</v>
      </c>
      <c r="Q138" s="40"/>
      <c r="R138" s="40"/>
      <c r="S138" s="40">
        <f t="shared" ref="S138:AA138" si="148">S94</f>
        <v>4</v>
      </c>
      <c r="T138" s="40">
        <f t="shared" si="148"/>
        <v>5</v>
      </c>
      <c r="U138" s="40">
        <f t="shared" si="148"/>
        <v>6</v>
      </c>
      <c r="V138" s="40">
        <f t="shared" si="148"/>
        <v>5</v>
      </c>
      <c r="W138" s="40">
        <f t="shared" si="148"/>
        <v>6</v>
      </c>
      <c r="X138" s="40">
        <f t="shared" si="148"/>
        <v>3</v>
      </c>
      <c r="Y138" s="40">
        <f t="shared" si="148"/>
        <v>4</v>
      </c>
      <c r="Z138" s="40">
        <f t="shared" si="148"/>
        <v>5</v>
      </c>
      <c r="AA138" s="40">
        <f t="shared" si="148"/>
        <v>4</v>
      </c>
      <c r="AB138" s="1"/>
      <c r="AC138" s="1"/>
      <c r="AD138" s="1"/>
      <c r="AE138" s="1"/>
      <c r="AF138" s="1"/>
    </row>
    <row r="139" ht="14.25" customHeight="1">
      <c r="B139" s="181"/>
      <c r="C139" s="1"/>
      <c r="D139" s="1"/>
      <c r="E139" s="1"/>
      <c r="F139" s="1" t="str">
        <f>F95</f>
        <v>SHEPP</v>
      </c>
      <c r="G139" s="1"/>
      <c r="H139" s="40">
        <f t="shared" ref="H139:P139" si="149">H96</f>
        <v>8</v>
      </c>
      <c r="I139" s="40">
        <f t="shared" si="149"/>
        <v>5</v>
      </c>
      <c r="J139" s="40">
        <f t="shared" si="149"/>
        <v>6</v>
      </c>
      <c r="K139" s="40">
        <f t="shared" si="149"/>
        <v>3</v>
      </c>
      <c r="L139" s="40">
        <f t="shared" si="149"/>
        <v>6</v>
      </c>
      <c r="M139" s="40">
        <f t="shared" si="149"/>
        <v>6</v>
      </c>
      <c r="N139" s="40">
        <f t="shared" si="149"/>
        <v>8</v>
      </c>
      <c r="O139" s="40">
        <f t="shared" si="149"/>
        <v>5</v>
      </c>
      <c r="P139" s="40">
        <f t="shared" si="149"/>
        <v>8</v>
      </c>
      <c r="Q139" s="40"/>
      <c r="R139" s="40"/>
      <c r="S139" s="40">
        <f t="shared" ref="S139:AA139" si="150">S96</f>
        <v>7</v>
      </c>
      <c r="T139" s="40">
        <f t="shared" si="150"/>
        <v>4</v>
      </c>
      <c r="U139" s="40">
        <f t="shared" si="150"/>
        <v>5</v>
      </c>
      <c r="V139" s="40">
        <f t="shared" si="150"/>
        <v>6</v>
      </c>
      <c r="W139" s="40">
        <f t="shared" si="150"/>
        <v>7</v>
      </c>
      <c r="X139" s="40">
        <f t="shared" si="150"/>
        <v>7</v>
      </c>
      <c r="Y139" s="40">
        <f t="shared" si="150"/>
        <v>7</v>
      </c>
      <c r="Z139" s="40">
        <f t="shared" si="150"/>
        <v>4</v>
      </c>
      <c r="AA139" s="40">
        <f t="shared" si="150"/>
        <v>7</v>
      </c>
      <c r="AB139" s="1"/>
      <c r="AC139" s="1"/>
      <c r="AD139" s="1"/>
      <c r="AE139" s="1"/>
      <c r="AF139" s="1"/>
    </row>
    <row r="140" ht="14.25" customHeight="1">
      <c r="B140" s="181"/>
      <c r="C140" s="1"/>
      <c r="D140" s="1"/>
      <c r="E140" s="1"/>
      <c r="F140" s="1"/>
      <c r="G140" s="1"/>
      <c r="H140" s="40">
        <v>24.0</v>
      </c>
      <c r="I140" s="40">
        <f t="shared" ref="I140:P140" si="151">H140-1</f>
        <v>23</v>
      </c>
      <c r="J140" s="40">
        <f t="shared" si="151"/>
        <v>22</v>
      </c>
      <c r="K140" s="40">
        <f t="shared" si="151"/>
        <v>21</v>
      </c>
      <c r="L140" s="40">
        <f t="shared" si="151"/>
        <v>20</v>
      </c>
      <c r="M140" s="40">
        <f t="shared" si="151"/>
        <v>19</v>
      </c>
      <c r="N140" s="40">
        <f t="shared" si="151"/>
        <v>18</v>
      </c>
      <c r="O140" s="40">
        <f t="shared" si="151"/>
        <v>17</v>
      </c>
      <c r="P140" s="40">
        <f t="shared" si="151"/>
        <v>16</v>
      </c>
      <c r="Q140" s="40"/>
      <c r="R140" s="40"/>
      <c r="S140" s="40">
        <f>P140-3</f>
        <v>13</v>
      </c>
      <c r="T140" s="40">
        <f t="shared" ref="T140:AA140" si="152">S140-1</f>
        <v>12</v>
      </c>
      <c r="U140" s="40">
        <f t="shared" si="152"/>
        <v>11</v>
      </c>
      <c r="V140" s="40">
        <f t="shared" si="152"/>
        <v>10</v>
      </c>
      <c r="W140" s="40">
        <f t="shared" si="152"/>
        <v>9</v>
      </c>
      <c r="X140" s="40">
        <f t="shared" si="152"/>
        <v>8</v>
      </c>
      <c r="Y140" s="40">
        <f t="shared" si="152"/>
        <v>7</v>
      </c>
      <c r="Z140" s="40">
        <f t="shared" si="152"/>
        <v>6</v>
      </c>
      <c r="AA140" s="40">
        <f t="shared" si="152"/>
        <v>5</v>
      </c>
      <c r="AB140" s="1"/>
      <c r="AC140" s="1"/>
      <c r="AD140" s="1"/>
      <c r="AE140" s="1"/>
      <c r="AF140" s="1"/>
    </row>
    <row r="141" ht="14.25" customHeight="1">
      <c r="B141" s="181"/>
      <c r="C141" s="1"/>
      <c r="D141" s="1"/>
      <c r="E141" s="1"/>
      <c r="F141" s="41"/>
      <c r="G141" s="1"/>
      <c r="H141" s="42">
        <v>3.0</v>
      </c>
      <c r="I141" s="42">
        <f t="shared" ref="I141:P141" si="153">H141+1</f>
        <v>4</v>
      </c>
      <c r="J141" s="42">
        <f t="shared" si="153"/>
        <v>5</v>
      </c>
      <c r="K141" s="42">
        <f t="shared" si="153"/>
        <v>6</v>
      </c>
      <c r="L141" s="42">
        <f t="shared" si="153"/>
        <v>7</v>
      </c>
      <c r="M141" s="42">
        <f t="shared" si="153"/>
        <v>8</v>
      </c>
      <c r="N141" s="42">
        <f t="shared" si="153"/>
        <v>9</v>
      </c>
      <c r="O141" s="42">
        <f t="shared" si="153"/>
        <v>10</v>
      </c>
      <c r="P141" s="42">
        <f t="shared" si="153"/>
        <v>11</v>
      </c>
      <c r="Q141" s="42"/>
      <c r="R141" s="42"/>
      <c r="S141" s="42">
        <f>P141+3</f>
        <v>14</v>
      </c>
      <c r="T141" s="42">
        <f t="shared" ref="T141:AA141" si="154">S141+1</f>
        <v>15</v>
      </c>
      <c r="U141" s="42">
        <f t="shared" si="154"/>
        <v>16</v>
      </c>
      <c r="V141" s="42">
        <f t="shared" si="154"/>
        <v>17</v>
      </c>
      <c r="W141" s="42">
        <f t="shared" si="154"/>
        <v>18</v>
      </c>
      <c r="X141" s="42">
        <f t="shared" si="154"/>
        <v>19</v>
      </c>
      <c r="Y141" s="42">
        <f t="shared" si="154"/>
        <v>20</v>
      </c>
      <c r="Z141" s="42">
        <f t="shared" si="154"/>
        <v>21</v>
      </c>
      <c r="AA141" s="42">
        <f t="shared" si="154"/>
        <v>22</v>
      </c>
      <c r="AB141" s="1"/>
      <c r="AC141" s="1"/>
      <c r="AD141" s="1"/>
      <c r="AE141" s="1"/>
      <c r="AF141" s="1"/>
    </row>
    <row r="142" ht="27.75" customHeight="1">
      <c r="B142" s="181"/>
      <c r="C142" s="1"/>
      <c r="D142" s="1"/>
      <c r="E142" s="1"/>
      <c r="F142" s="66" t="s">
        <v>145</v>
      </c>
      <c r="G142" s="66" t="s">
        <v>113</v>
      </c>
      <c r="H142" s="66">
        <f t="shared" ref="H142:P142" si="155">H7</f>
        <v>4</v>
      </c>
      <c r="I142" s="66">
        <f t="shared" si="155"/>
        <v>4</v>
      </c>
      <c r="J142" s="66">
        <f t="shared" si="155"/>
        <v>4</v>
      </c>
      <c r="K142" s="66">
        <f t="shared" si="155"/>
        <v>3</v>
      </c>
      <c r="L142" s="66">
        <f t="shared" si="155"/>
        <v>4</v>
      </c>
      <c r="M142" s="66">
        <f t="shared" si="155"/>
        <v>4</v>
      </c>
      <c r="N142" s="66">
        <f t="shared" si="155"/>
        <v>5</v>
      </c>
      <c r="O142" s="66">
        <f t="shared" si="155"/>
        <v>3</v>
      </c>
      <c r="P142" s="66">
        <f t="shared" si="155"/>
        <v>5</v>
      </c>
      <c r="Q142" s="10"/>
      <c r="R142" s="10"/>
      <c r="S142" s="66">
        <f t="shared" ref="S142:AA142" si="156">S7</f>
        <v>4</v>
      </c>
      <c r="T142" s="66">
        <f t="shared" si="156"/>
        <v>3</v>
      </c>
      <c r="U142" s="66">
        <f t="shared" si="156"/>
        <v>5</v>
      </c>
      <c r="V142" s="66">
        <f t="shared" si="156"/>
        <v>4</v>
      </c>
      <c r="W142" s="66">
        <f t="shared" si="156"/>
        <v>5</v>
      </c>
      <c r="X142" s="66">
        <f t="shared" si="156"/>
        <v>4</v>
      </c>
      <c r="Y142" s="66">
        <f t="shared" si="156"/>
        <v>4</v>
      </c>
      <c r="Z142" s="66">
        <f t="shared" si="156"/>
        <v>3</v>
      </c>
      <c r="AA142" s="66">
        <f t="shared" si="156"/>
        <v>4</v>
      </c>
      <c r="AB142" s="1"/>
      <c r="AC142" s="1"/>
      <c r="AD142" s="1"/>
      <c r="AE142" s="1"/>
      <c r="AF142" s="1"/>
    </row>
    <row r="143" ht="27.75" customHeight="1">
      <c r="B143" s="181"/>
      <c r="C143" s="1"/>
      <c r="D143" s="1"/>
      <c r="E143" s="1"/>
      <c r="F143" s="66" t="s">
        <v>146</v>
      </c>
      <c r="G143" s="166" t="s">
        <v>147</v>
      </c>
      <c r="H143" s="66">
        <v>1.0</v>
      </c>
      <c r="I143" s="66">
        <v>2.0</v>
      </c>
      <c r="J143" s="66">
        <v>3.0</v>
      </c>
      <c r="K143" s="66">
        <v>4.0</v>
      </c>
      <c r="L143" s="66">
        <v>5.0</v>
      </c>
      <c r="M143" s="66">
        <v>6.0</v>
      </c>
      <c r="N143" s="66">
        <v>7.0</v>
      </c>
      <c r="O143" s="66">
        <v>8.0</v>
      </c>
      <c r="P143" s="66">
        <v>9.0</v>
      </c>
      <c r="Q143" s="10"/>
      <c r="R143" s="10"/>
      <c r="S143" s="66">
        <v>10.0</v>
      </c>
      <c r="T143" s="66">
        <v>11.0</v>
      </c>
      <c r="U143" s="66">
        <v>12.0</v>
      </c>
      <c r="V143" s="66">
        <v>13.0</v>
      </c>
      <c r="W143" s="66">
        <v>14.0</v>
      </c>
      <c r="X143" s="66">
        <v>15.0</v>
      </c>
      <c r="Y143" s="66">
        <v>16.0</v>
      </c>
      <c r="Z143" s="66">
        <v>17.0</v>
      </c>
      <c r="AA143" s="66">
        <v>18.0</v>
      </c>
      <c r="AB143" s="39"/>
      <c r="AC143" s="39"/>
      <c r="AD143" s="39"/>
      <c r="AE143" s="66" t="s">
        <v>148</v>
      </c>
      <c r="AF143" s="189">
        <f>COUNTIF(G144:G159,"Y")*SKINS</f>
        <v>280</v>
      </c>
    </row>
    <row r="144" ht="27.75" customHeight="1">
      <c r="B144" s="181"/>
      <c r="C144" s="1"/>
      <c r="D144" s="11" t="s">
        <v>17</v>
      </c>
      <c r="E144" s="1"/>
      <c r="F144" s="168" t="str">
        <f>HANDICAPS!B8</f>
        <v>DEREK</v>
      </c>
      <c r="G144" s="75" t="s">
        <v>17</v>
      </c>
      <c r="H144" s="169">
        <f t="shared" ref="H144:P144" si="157">IFERROR(IF(VLOOKUP($F144,$F$124:$AA$139,H$141,FALSE)=0,"",VLOOKUP($F144,$F$124:$AA$139,H$141,FALSE)-IF(VLOOKUP($F144,$F$10:$AA$100,H$141,FALSE)="**",2,IF(VLOOKUP($F144,$F$10:$AA$100,H$141,FALSE)="*",1,0))),"")</f>
        <v>4</v>
      </c>
      <c r="I144" s="169">
        <f t="shared" si="157"/>
        <v>4</v>
      </c>
      <c r="J144" s="169">
        <f t="shared" si="157"/>
        <v>4</v>
      </c>
      <c r="K144" s="169">
        <f t="shared" si="157"/>
        <v>4</v>
      </c>
      <c r="L144" s="169">
        <f t="shared" si="157"/>
        <v>4</v>
      </c>
      <c r="M144" s="169">
        <f t="shared" si="157"/>
        <v>4</v>
      </c>
      <c r="N144" s="169">
        <f t="shared" si="157"/>
        <v>5</v>
      </c>
      <c r="O144" s="169">
        <f t="shared" si="157"/>
        <v>4</v>
      </c>
      <c r="P144" s="169">
        <f t="shared" si="157"/>
        <v>7</v>
      </c>
      <c r="Q144" s="51"/>
      <c r="R144" s="51"/>
      <c r="S144" s="169">
        <f t="shared" ref="S144:AA144" si="158">IFERROR(IF(VLOOKUP($F144,$F$124:$AA$139,S$141,FALSE)=0,"",VLOOKUP($F144,$F$124:$AA$139,S$141,FALSE)-IF(VLOOKUP($F144,$F$10:$AA$100,S$141,FALSE)="**",2,IF(VLOOKUP($F144,$F$10:$AA$100,S$141,FALSE)="*",1,0))),"")</f>
        <v>4</v>
      </c>
      <c r="T144" s="169">
        <f t="shared" si="158"/>
        <v>5</v>
      </c>
      <c r="U144" s="169">
        <f t="shared" si="158"/>
        <v>4</v>
      </c>
      <c r="V144" s="169">
        <f t="shared" si="158"/>
        <v>4</v>
      </c>
      <c r="W144" s="169">
        <f t="shared" si="158"/>
        <v>6</v>
      </c>
      <c r="X144" s="169">
        <f t="shared" si="158"/>
        <v>3</v>
      </c>
      <c r="Y144" s="169">
        <f t="shared" si="158"/>
        <v>5</v>
      </c>
      <c r="Z144" s="169">
        <f t="shared" si="158"/>
        <v>5</v>
      </c>
      <c r="AA144" s="169">
        <f t="shared" si="158"/>
        <v>4</v>
      </c>
      <c r="AB144" s="39"/>
      <c r="AC144" s="39"/>
      <c r="AD144" s="1"/>
      <c r="AE144" s="75" t="str">
        <f t="shared" ref="AE144:AE159" si="161">F144</f>
        <v>DEREK</v>
      </c>
      <c r="AF144" s="170">
        <f t="shared" ref="AF144:AF159" si="162">IFERROR(($AF$143/$AB$163)*COUNTIF($H$164:$AA$164,AE144),0)</f>
        <v>0</v>
      </c>
    </row>
    <row r="145" ht="27.75" customHeight="1">
      <c r="B145" s="181"/>
      <c r="C145" s="1"/>
      <c r="D145" s="11" t="s">
        <v>18</v>
      </c>
      <c r="E145" s="1"/>
      <c r="F145" s="168" t="str">
        <f>HANDICAPS!B9</f>
        <v>SCOTT</v>
      </c>
      <c r="G145" s="75" t="s">
        <v>17</v>
      </c>
      <c r="H145" s="169">
        <f t="shared" ref="H145:P145" si="159">IFERROR(IF(VLOOKUP($F145,$F$124:$AA$139,H$141,FALSE)=0,"",VLOOKUP($F145,$F$124:$AA$139,H$141,FALSE)-IF(VLOOKUP($F145,$F$10:$AA$100,H$141,FALSE)="**",2,IF(VLOOKUP($F145,$F$10:$AA$100,H$141,FALSE)="*",1,0))),"")</f>
        <v>4</v>
      </c>
      <c r="I145" s="169">
        <f t="shared" si="159"/>
        <v>5</v>
      </c>
      <c r="J145" s="169">
        <f t="shared" si="159"/>
        <v>3</v>
      </c>
      <c r="K145" s="169">
        <f t="shared" si="159"/>
        <v>3</v>
      </c>
      <c r="L145" s="169">
        <f t="shared" si="159"/>
        <v>3</v>
      </c>
      <c r="M145" s="169">
        <f t="shared" si="159"/>
        <v>3</v>
      </c>
      <c r="N145" s="169">
        <f t="shared" si="159"/>
        <v>7</v>
      </c>
      <c r="O145" s="169">
        <f t="shared" si="159"/>
        <v>4</v>
      </c>
      <c r="P145" s="169">
        <f t="shared" si="159"/>
        <v>5</v>
      </c>
      <c r="Q145" s="51"/>
      <c r="R145" s="51"/>
      <c r="S145" s="169">
        <f t="shared" ref="S145:AA145" si="160">IFERROR(IF(VLOOKUP($F145,$F$124:$AA$139,S$141,FALSE)=0,"",VLOOKUP($F145,$F$124:$AA$139,S$141,FALSE)-IF(VLOOKUP($F145,$F$10:$AA$100,S$141,FALSE)="**",2,IF(VLOOKUP($F145,$F$10:$AA$100,S$141,FALSE)="*",1,0))),"")</f>
        <v>6</v>
      </c>
      <c r="T145" s="169">
        <f t="shared" si="160"/>
        <v>3</v>
      </c>
      <c r="U145" s="169">
        <f t="shared" si="160"/>
        <v>5</v>
      </c>
      <c r="V145" s="169">
        <f t="shared" si="160"/>
        <v>3</v>
      </c>
      <c r="W145" s="169">
        <f t="shared" si="160"/>
        <v>5</v>
      </c>
      <c r="X145" s="169">
        <f t="shared" si="160"/>
        <v>5</v>
      </c>
      <c r="Y145" s="169">
        <f t="shared" si="160"/>
        <v>5</v>
      </c>
      <c r="Z145" s="169">
        <f t="shared" si="160"/>
        <v>3</v>
      </c>
      <c r="AA145" s="169">
        <f t="shared" si="160"/>
        <v>4</v>
      </c>
      <c r="AB145" s="39"/>
      <c r="AC145" s="39"/>
      <c r="AD145" s="1"/>
      <c r="AE145" s="171" t="str">
        <f t="shared" si="161"/>
        <v>SCOTT</v>
      </c>
      <c r="AF145" s="172">
        <f t="shared" si="162"/>
        <v>70</v>
      </c>
    </row>
    <row r="146" ht="27.75" customHeight="1">
      <c r="B146" s="181"/>
      <c r="C146" s="1"/>
      <c r="D146" s="1"/>
      <c r="E146" s="1"/>
      <c r="F146" s="168" t="str">
        <f>HANDICAPS!B10</f>
        <v>WAYS</v>
      </c>
      <c r="G146" s="75" t="s">
        <v>17</v>
      </c>
      <c r="H146" s="169">
        <f t="shared" ref="H146:P146" si="163">IFERROR(IF(VLOOKUP($F146,$F$124:$AA$139,H$141,FALSE)=0,"",VLOOKUP($F146,$F$124:$AA$139,H$141,FALSE)-IF(VLOOKUP($F146,$F$10:$AA$100,H$141,FALSE)="**",2,IF(VLOOKUP($F146,$F$10:$AA$100,H$141,FALSE)="*",1,0))),"")</f>
        <v>4</v>
      </c>
      <c r="I146" s="169">
        <f t="shared" si="163"/>
        <v>3</v>
      </c>
      <c r="J146" s="169">
        <f t="shared" si="163"/>
        <v>4</v>
      </c>
      <c r="K146" s="169">
        <f t="shared" si="163"/>
        <v>3</v>
      </c>
      <c r="L146" s="169">
        <f t="shared" si="163"/>
        <v>4</v>
      </c>
      <c r="M146" s="169">
        <f t="shared" si="163"/>
        <v>4</v>
      </c>
      <c r="N146" s="169">
        <f t="shared" si="163"/>
        <v>6</v>
      </c>
      <c r="O146" s="169">
        <f t="shared" si="163"/>
        <v>4</v>
      </c>
      <c r="P146" s="169">
        <f t="shared" si="163"/>
        <v>5</v>
      </c>
      <c r="Q146" s="51"/>
      <c r="R146" s="51"/>
      <c r="S146" s="169">
        <f t="shared" ref="S146:AA146" si="164">IFERROR(IF(VLOOKUP($F146,$F$124:$AA$139,S$141,FALSE)=0,"",VLOOKUP($F146,$F$124:$AA$139,S$141,FALSE)-IF(VLOOKUP($F146,$F$10:$AA$100,S$141,FALSE)="**",2,IF(VLOOKUP($F146,$F$10:$AA$100,S$141,FALSE)="*",1,0))),"")</f>
        <v>4</v>
      </c>
      <c r="T146" s="169">
        <f t="shared" si="164"/>
        <v>5</v>
      </c>
      <c r="U146" s="169">
        <f t="shared" si="164"/>
        <v>5</v>
      </c>
      <c r="V146" s="169">
        <f t="shared" si="164"/>
        <v>5</v>
      </c>
      <c r="W146" s="169">
        <f t="shared" si="164"/>
        <v>5</v>
      </c>
      <c r="X146" s="169">
        <f t="shared" si="164"/>
        <v>3</v>
      </c>
      <c r="Y146" s="169">
        <f t="shared" si="164"/>
        <v>3</v>
      </c>
      <c r="Z146" s="169">
        <f t="shared" si="164"/>
        <v>5</v>
      </c>
      <c r="AA146" s="169">
        <f t="shared" si="164"/>
        <v>4</v>
      </c>
      <c r="AB146" s="39"/>
      <c r="AC146" s="39"/>
      <c r="AD146" s="1"/>
      <c r="AE146" s="173" t="str">
        <f t="shared" si="161"/>
        <v>WAYS</v>
      </c>
      <c r="AF146" s="170">
        <f t="shared" si="162"/>
        <v>0</v>
      </c>
    </row>
    <row r="147" ht="27.75" customHeight="1">
      <c r="B147" s="181"/>
      <c r="C147" s="1"/>
      <c r="D147" s="1"/>
      <c r="E147" s="1"/>
      <c r="F147" s="168" t="str">
        <f>HANDICAPS!B11</f>
        <v>BEN</v>
      </c>
      <c r="G147" s="75" t="s">
        <v>17</v>
      </c>
      <c r="H147" s="169">
        <f t="shared" ref="H147:P147" si="165">IFERROR(IF(VLOOKUP($F147,$F$124:$AA$139,H$141,FALSE)=0,"",VLOOKUP($F147,$F$124:$AA$139,H$141,FALSE)-IF(VLOOKUP($F147,$F$10:$AA$100,H$141,FALSE)="**",2,IF(VLOOKUP($F147,$F$10:$AA$100,H$141,FALSE)="*",1,0))),"")</f>
        <v>3</v>
      </c>
      <c r="I147" s="169">
        <f t="shared" si="165"/>
        <v>3</v>
      </c>
      <c r="J147" s="169">
        <f t="shared" si="165"/>
        <v>3</v>
      </c>
      <c r="K147" s="169">
        <f t="shared" si="165"/>
        <v>3</v>
      </c>
      <c r="L147" s="169">
        <f t="shared" si="165"/>
        <v>4</v>
      </c>
      <c r="M147" s="169">
        <f t="shared" si="165"/>
        <v>2</v>
      </c>
      <c r="N147" s="169">
        <f t="shared" si="165"/>
        <v>5</v>
      </c>
      <c r="O147" s="169">
        <f t="shared" si="165"/>
        <v>4</v>
      </c>
      <c r="P147" s="169">
        <f t="shared" si="165"/>
        <v>3</v>
      </c>
      <c r="Q147" s="51"/>
      <c r="R147" s="51"/>
      <c r="S147" s="169">
        <f t="shared" ref="S147:AA147" si="166">IFERROR(IF(VLOOKUP($F147,$F$124:$AA$139,S$141,FALSE)=0,"",VLOOKUP($F147,$F$124:$AA$139,S$141,FALSE)-IF(VLOOKUP($F147,$F$10:$AA$100,S$141,FALSE)="**",2,IF(VLOOKUP($F147,$F$10:$AA$100,S$141,FALSE)="*",1,0))),"")</f>
        <v>6</v>
      </c>
      <c r="T147" s="169">
        <f t="shared" si="166"/>
        <v>3</v>
      </c>
      <c r="U147" s="169">
        <f t="shared" si="166"/>
        <v>4</v>
      </c>
      <c r="V147" s="169">
        <f t="shared" si="166"/>
        <v>6</v>
      </c>
      <c r="W147" s="169">
        <f t="shared" si="166"/>
        <v>5</v>
      </c>
      <c r="X147" s="169">
        <f t="shared" si="166"/>
        <v>5</v>
      </c>
      <c r="Y147" s="169">
        <f t="shared" si="166"/>
        <v>4</v>
      </c>
      <c r="Z147" s="169">
        <f t="shared" si="166"/>
        <v>3</v>
      </c>
      <c r="AA147" s="169">
        <f t="shared" si="166"/>
        <v>4</v>
      </c>
      <c r="AB147" s="39"/>
      <c r="AC147" s="39"/>
      <c r="AD147" s="1"/>
      <c r="AE147" s="173" t="str">
        <f t="shared" si="161"/>
        <v>BEN</v>
      </c>
      <c r="AF147" s="170">
        <f t="shared" si="162"/>
        <v>70</v>
      </c>
    </row>
    <row r="148" ht="27.75" customHeight="1">
      <c r="B148" s="181"/>
      <c r="C148" s="1"/>
      <c r="D148" s="1"/>
      <c r="E148" s="1"/>
      <c r="F148" s="168" t="str">
        <f>HANDICAPS!B12</f>
        <v>DANNY</v>
      </c>
      <c r="G148" s="75" t="s">
        <v>17</v>
      </c>
      <c r="H148" s="169">
        <f t="shared" ref="H148:P148" si="167">IFERROR(IF(VLOOKUP($F148,$F$124:$AA$139,H$141,FALSE)=0,"",VLOOKUP($F148,$F$124:$AA$139,H$141,FALSE)-IF(VLOOKUP($F148,$F$10:$AA$100,H$141,FALSE)="**",2,IF(VLOOKUP($F148,$F$10:$AA$100,H$141,FALSE)="*",1,0))),"")</f>
        <v>3</v>
      </c>
      <c r="I148" s="169">
        <f t="shared" si="167"/>
        <v>5</v>
      </c>
      <c r="J148" s="169">
        <f t="shared" si="167"/>
        <v>4</v>
      </c>
      <c r="K148" s="169">
        <f t="shared" si="167"/>
        <v>2</v>
      </c>
      <c r="L148" s="169">
        <f t="shared" si="167"/>
        <v>5</v>
      </c>
      <c r="M148" s="169">
        <f t="shared" si="167"/>
        <v>4</v>
      </c>
      <c r="N148" s="169">
        <f t="shared" si="167"/>
        <v>7</v>
      </c>
      <c r="O148" s="169">
        <f t="shared" si="167"/>
        <v>4</v>
      </c>
      <c r="P148" s="169">
        <f t="shared" si="167"/>
        <v>6</v>
      </c>
      <c r="Q148" s="51"/>
      <c r="R148" s="51"/>
      <c r="S148" s="169">
        <f t="shared" ref="S148:AA148" si="168">IFERROR(IF(VLOOKUP($F148,$F$124:$AA$139,S$141,FALSE)=0,"",VLOOKUP($F148,$F$124:$AA$139,S$141,FALSE)-IF(VLOOKUP($F148,$F$10:$AA$100,S$141,FALSE)="**",2,IF(VLOOKUP($F148,$F$10:$AA$100,S$141,FALSE)="*",1,0))),"")</f>
        <v>5</v>
      </c>
      <c r="T148" s="169">
        <f t="shared" si="168"/>
        <v>2</v>
      </c>
      <c r="U148" s="169">
        <f t="shared" si="168"/>
        <v>5</v>
      </c>
      <c r="V148" s="169">
        <f t="shared" si="168"/>
        <v>6</v>
      </c>
      <c r="W148" s="169">
        <f t="shared" si="168"/>
        <v>5</v>
      </c>
      <c r="X148" s="169">
        <f t="shared" si="168"/>
        <v>5</v>
      </c>
      <c r="Y148" s="169">
        <f t="shared" si="168"/>
        <v>3</v>
      </c>
      <c r="Z148" s="169">
        <f t="shared" si="168"/>
        <v>5</v>
      </c>
      <c r="AA148" s="169">
        <f t="shared" si="168"/>
        <v>6</v>
      </c>
      <c r="AB148" s="39"/>
      <c r="AC148" s="39"/>
      <c r="AD148" s="1"/>
      <c r="AE148" s="173" t="str">
        <f t="shared" si="161"/>
        <v>DANNY</v>
      </c>
      <c r="AF148" s="170">
        <f t="shared" si="162"/>
        <v>70</v>
      </c>
    </row>
    <row r="149" ht="27.75" customHeight="1">
      <c r="B149" s="181"/>
      <c r="C149" s="1"/>
      <c r="D149" s="1"/>
      <c r="E149" s="1"/>
      <c r="F149" s="168" t="str">
        <f>HANDICAPS!B13</f>
        <v>ZACH</v>
      </c>
      <c r="G149" s="75" t="s">
        <v>17</v>
      </c>
      <c r="H149" s="169">
        <f t="shared" ref="H149:P149" si="169">IFERROR(IF(VLOOKUP($F149,$F$124:$AA$139,H$141,FALSE)=0,"",VLOOKUP($F149,$F$124:$AA$139,H$141,FALSE)-IF(VLOOKUP($F149,$F$10:$AA$100,H$141,FALSE)="**",2,IF(VLOOKUP($F149,$F$10:$AA$100,H$141,FALSE)="*",1,0))),"")</f>
        <v>4</v>
      </c>
      <c r="I149" s="169">
        <f t="shared" si="169"/>
        <v>4</v>
      </c>
      <c r="J149" s="169">
        <f t="shared" si="169"/>
        <v>4</v>
      </c>
      <c r="K149" s="169">
        <f t="shared" si="169"/>
        <v>5</v>
      </c>
      <c r="L149" s="169">
        <f t="shared" si="169"/>
        <v>4</v>
      </c>
      <c r="M149" s="169">
        <f t="shared" si="169"/>
        <v>5</v>
      </c>
      <c r="N149" s="169">
        <f t="shared" si="169"/>
        <v>5</v>
      </c>
      <c r="O149" s="169">
        <f t="shared" si="169"/>
        <v>4</v>
      </c>
      <c r="P149" s="169">
        <f t="shared" si="169"/>
        <v>4</v>
      </c>
      <c r="Q149" s="51"/>
      <c r="R149" s="51"/>
      <c r="S149" s="169">
        <f t="shared" ref="S149:AA149" si="170">IFERROR(IF(VLOOKUP($F149,$F$124:$AA$139,S$141,FALSE)=0,"",VLOOKUP($F149,$F$124:$AA$139,S$141,FALSE)-IF(VLOOKUP($F149,$F$10:$AA$100,S$141,FALSE)="**",2,IF(VLOOKUP($F149,$F$10:$AA$100,S$141,FALSE)="*",1,0))),"")</f>
        <v>5</v>
      </c>
      <c r="T149" s="169">
        <f t="shared" si="170"/>
        <v>3</v>
      </c>
      <c r="U149" s="169">
        <f t="shared" si="170"/>
        <v>5</v>
      </c>
      <c r="V149" s="169">
        <f t="shared" si="170"/>
        <v>5</v>
      </c>
      <c r="W149" s="169">
        <f t="shared" si="170"/>
        <v>6</v>
      </c>
      <c r="X149" s="169">
        <f t="shared" si="170"/>
        <v>5</v>
      </c>
      <c r="Y149" s="169">
        <f t="shared" si="170"/>
        <v>3</v>
      </c>
      <c r="Z149" s="169">
        <f t="shared" si="170"/>
        <v>3</v>
      </c>
      <c r="AA149" s="169">
        <f t="shared" si="170"/>
        <v>5</v>
      </c>
      <c r="AB149" s="39"/>
      <c r="AC149" s="39"/>
      <c r="AD149" s="1"/>
      <c r="AE149" s="173" t="str">
        <f t="shared" si="161"/>
        <v>ZACH</v>
      </c>
      <c r="AF149" s="170">
        <f t="shared" si="162"/>
        <v>0</v>
      </c>
    </row>
    <row r="150" ht="27.75" customHeight="1">
      <c r="B150" s="181"/>
      <c r="C150" s="1"/>
      <c r="D150" s="1"/>
      <c r="E150" s="1"/>
      <c r="F150" s="168" t="str">
        <f>HANDICAPS!B14</f>
        <v>SLICK</v>
      </c>
      <c r="G150" s="75" t="s">
        <v>17</v>
      </c>
      <c r="H150" s="169">
        <f t="shared" ref="H150:P150" si="171">IFERROR(IF(VLOOKUP($F150,$F$124:$AA$139,H$141,FALSE)=0,"",VLOOKUP($F150,$F$124:$AA$139,H$141,FALSE)-IF(VLOOKUP($F150,$F$10:$AA$100,H$141,FALSE)="**",2,IF(VLOOKUP($F150,$F$10:$AA$100,H$141,FALSE)="*",1,0))),"")</f>
        <v>3</v>
      </c>
      <c r="I150" s="169">
        <f t="shared" si="171"/>
        <v>3</v>
      </c>
      <c r="J150" s="169">
        <f t="shared" si="171"/>
        <v>3</v>
      </c>
      <c r="K150" s="169">
        <f t="shared" si="171"/>
        <v>3</v>
      </c>
      <c r="L150" s="169">
        <f t="shared" si="171"/>
        <v>4</v>
      </c>
      <c r="M150" s="169">
        <f t="shared" si="171"/>
        <v>4</v>
      </c>
      <c r="N150" s="169">
        <f t="shared" si="171"/>
        <v>5</v>
      </c>
      <c r="O150" s="169">
        <f t="shared" si="171"/>
        <v>3</v>
      </c>
      <c r="P150" s="169">
        <f t="shared" si="171"/>
        <v>4</v>
      </c>
      <c r="Q150" s="190">
        <v>5.0</v>
      </c>
      <c r="R150" s="51"/>
      <c r="S150" s="169">
        <f t="shared" ref="S150:AA150" si="172">IFERROR(IF(VLOOKUP($F150,$F$124:$AA$139,S$141,FALSE)=0,"",VLOOKUP($F150,$F$124:$AA$139,S$141,FALSE)-IF(VLOOKUP($F150,$F$10:$AA$100,S$141,FALSE)="**",2,IF(VLOOKUP($F150,$F$10:$AA$100,S$141,FALSE)="*",1,0))),"")</f>
        <v>4</v>
      </c>
      <c r="T150" s="169">
        <f t="shared" si="172"/>
        <v>3</v>
      </c>
      <c r="U150" s="169">
        <f t="shared" si="172"/>
        <v>6</v>
      </c>
      <c r="V150" s="169">
        <f t="shared" si="172"/>
        <v>5</v>
      </c>
      <c r="W150" s="169">
        <f t="shared" si="172"/>
        <v>4</v>
      </c>
      <c r="X150" s="169">
        <f t="shared" si="172"/>
        <v>5</v>
      </c>
      <c r="Y150" s="169">
        <f t="shared" si="172"/>
        <v>3</v>
      </c>
      <c r="Z150" s="169">
        <f t="shared" si="172"/>
        <v>4</v>
      </c>
      <c r="AA150" s="169">
        <f t="shared" si="172"/>
        <v>4</v>
      </c>
      <c r="AB150" s="39"/>
      <c r="AC150" s="39"/>
      <c r="AD150" s="1"/>
      <c r="AE150" s="173" t="str">
        <f t="shared" si="161"/>
        <v>SLICK</v>
      </c>
      <c r="AF150" s="170">
        <f t="shared" si="162"/>
        <v>0</v>
      </c>
    </row>
    <row r="151" ht="27.75" customHeight="1">
      <c r="B151" s="181"/>
      <c r="C151" s="1"/>
      <c r="D151" s="1"/>
      <c r="E151" s="1"/>
      <c r="F151" s="168" t="str">
        <f>HANDICAPS!B15</f>
        <v>PAXTON</v>
      </c>
      <c r="G151" s="75" t="s">
        <v>17</v>
      </c>
      <c r="H151" s="169">
        <f t="shared" ref="H151:P151" si="173">IFERROR(IF(VLOOKUP($F151,$F$124:$AA$139,H$141,FALSE)=0,"",VLOOKUP($F151,$F$124:$AA$139,H$141,FALSE)-IF(VLOOKUP($F151,$F$10:$AA$100,H$141,FALSE)="**",2,IF(VLOOKUP($F151,$F$10:$AA$100,H$141,FALSE)="*",1,0))),"")</f>
        <v>5</v>
      </c>
      <c r="I151" s="169">
        <f t="shared" si="173"/>
        <v>3</v>
      </c>
      <c r="J151" s="169">
        <f t="shared" si="173"/>
        <v>3</v>
      </c>
      <c r="K151" s="169">
        <f t="shared" si="173"/>
        <v>4</v>
      </c>
      <c r="L151" s="169">
        <f t="shared" si="173"/>
        <v>4</v>
      </c>
      <c r="M151" s="169">
        <f t="shared" si="173"/>
        <v>4</v>
      </c>
      <c r="N151" s="169">
        <f t="shared" si="173"/>
        <v>6</v>
      </c>
      <c r="O151" s="169">
        <f t="shared" si="173"/>
        <v>4</v>
      </c>
      <c r="P151" s="169">
        <f t="shared" si="173"/>
        <v>3</v>
      </c>
      <c r="Q151" s="51"/>
      <c r="R151" s="51"/>
      <c r="S151" s="169">
        <f t="shared" ref="S151:AA151" si="174">IFERROR(IF(VLOOKUP($F151,$F$124:$AA$139,S$141,FALSE)=0,"",VLOOKUP($F151,$F$124:$AA$139,S$141,FALSE)-IF(VLOOKUP($F151,$F$10:$AA$100,S$141,FALSE)="**",2,IF(VLOOKUP($F151,$F$10:$AA$100,S$141,FALSE)="*",1,0))),"")</f>
        <v>5</v>
      </c>
      <c r="T151" s="169">
        <f t="shared" si="174"/>
        <v>4</v>
      </c>
      <c r="U151" s="169">
        <f t="shared" si="174"/>
        <v>4</v>
      </c>
      <c r="V151" s="169">
        <f t="shared" si="174"/>
        <v>4</v>
      </c>
      <c r="W151" s="169">
        <f t="shared" si="174"/>
        <v>4</v>
      </c>
      <c r="X151" s="169">
        <f t="shared" si="174"/>
        <v>3</v>
      </c>
      <c r="Y151" s="169">
        <f t="shared" si="174"/>
        <v>3</v>
      </c>
      <c r="Z151" s="169">
        <f t="shared" si="174"/>
        <v>4</v>
      </c>
      <c r="AA151" s="169">
        <f t="shared" si="174"/>
        <v>4</v>
      </c>
      <c r="AB151" s="39"/>
      <c r="AC151" s="39"/>
      <c r="AD151" s="1"/>
      <c r="AE151" s="173" t="str">
        <f t="shared" si="161"/>
        <v>PAXTON</v>
      </c>
      <c r="AF151" s="170">
        <f t="shared" si="162"/>
        <v>0</v>
      </c>
    </row>
    <row r="152" ht="27.75" customHeight="1">
      <c r="B152" s="181"/>
      <c r="C152" s="1"/>
      <c r="D152" s="1"/>
      <c r="E152" s="1"/>
      <c r="F152" s="168" t="str">
        <f>HANDICAPS!B16</f>
        <v>DYLAN</v>
      </c>
      <c r="G152" s="75" t="s">
        <v>17</v>
      </c>
      <c r="H152" s="169">
        <f t="shared" ref="H152:P152" si="175">IFERROR(IF(VLOOKUP($F152,$F$124:$AA$139,H$141,FALSE)=0,"",VLOOKUP($F152,$F$124:$AA$139,H$141,FALSE)-IF(VLOOKUP($F152,$F$10:$AA$100,H$141,FALSE)="**",2,IF(VLOOKUP($F152,$F$10:$AA$100,H$141,FALSE)="*",1,0))),"")</f>
        <v>3</v>
      </c>
      <c r="I152" s="169">
        <f t="shared" si="175"/>
        <v>3</v>
      </c>
      <c r="J152" s="169">
        <f t="shared" si="175"/>
        <v>3</v>
      </c>
      <c r="K152" s="169">
        <f t="shared" si="175"/>
        <v>4</v>
      </c>
      <c r="L152" s="169">
        <f t="shared" si="175"/>
        <v>4</v>
      </c>
      <c r="M152" s="169">
        <f t="shared" si="175"/>
        <v>5</v>
      </c>
      <c r="N152" s="169">
        <f t="shared" si="175"/>
        <v>4</v>
      </c>
      <c r="O152" s="169">
        <f t="shared" si="175"/>
        <v>4</v>
      </c>
      <c r="P152" s="169">
        <f t="shared" si="175"/>
        <v>6</v>
      </c>
      <c r="Q152" s="51"/>
      <c r="R152" s="51"/>
      <c r="S152" s="169">
        <f t="shared" ref="S152:AA152" si="176">IFERROR(IF(VLOOKUP($F152,$F$124:$AA$139,S$141,FALSE)=0,"",VLOOKUP($F152,$F$124:$AA$139,S$141,FALSE)-IF(VLOOKUP($F152,$F$10:$AA$100,S$141,FALSE)="**",2,IF(VLOOKUP($F152,$F$10:$AA$100,S$141,FALSE)="*",1,0))),"")</f>
        <v>6</v>
      </c>
      <c r="T152" s="169">
        <f t="shared" si="176"/>
        <v>3</v>
      </c>
      <c r="U152" s="169">
        <f t="shared" si="176"/>
        <v>4</v>
      </c>
      <c r="V152" s="169">
        <f t="shared" si="176"/>
        <v>3</v>
      </c>
      <c r="W152" s="169">
        <f t="shared" si="176"/>
        <v>5</v>
      </c>
      <c r="X152" s="169">
        <f t="shared" si="176"/>
        <v>4</v>
      </c>
      <c r="Y152" s="169">
        <f t="shared" si="176"/>
        <v>4</v>
      </c>
      <c r="Z152" s="169">
        <f t="shared" si="176"/>
        <v>4</v>
      </c>
      <c r="AA152" s="169">
        <f t="shared" si="176"/>
        <v>3</v>
      </c>
      <c r="AB152" s="39"/>
      <c r="AC152" s="39"/>
      <c r="AD152" s="1"/>
      <c r="AE152" s="173" t="str">
        <f t="shared" si="161"/>
        <v>DYLAN</v>
      </c>
      <c r="AF152" s="170">
        <f t="shared" si="162"/>
        <v>0</v>
      </c>
    </row>
    <row r="153" ht="27.75" customHeight="1">
      <c r="B153" s="181"/>
      <c r="C153" s="1"/>
      <c r="D153" s="1"/>
      <c r="E153" s="1"/>
      <c r="F153" s="168" t="str">
        <f>HANDICAPS!B17</f>
        <v>TOM</v>
      </c>
      <c r="G153" s="75" t="s">
        <v>17</v>
      </c>
      <c r="H153" s="169">
        <f t="shared" ref="H153:P153" si="177">IFERROR(IF(VLOOKUP($F153,$F$124:$AA$139,H$141,FALSE)=0,"",VLOOKUP($F153,$F$124:$AA$139,H$141,FALSE)-IF(VLOOKUP($F153,$F$10:$AA$100,H$141,FALSE)="**",2,IF(VLOOKUP($F153,$F$10:$AA$100,H$141,FALSE)="*",1,0))),"")</f>
        <v>4</v>
      </c>
      <c r="I153" s="169">
        <f t="shared" si="177"/>
        <v>4</v>
      </c>
      <c r="J153" s="169">
        <f t="shared" si="177"/>
        <v>5</v>
      </c>
      <c r="K153" s="169">
        <f t="shared" si="177"/>
        <v>3</v>
      </c>
      <c r="L153" s="169">
        <f t="shared" si="177"/>
        <v>4</v>
      </c>
      <c r="M153" s="169">
        <f t="shared" si="177"/>
        <v>4</v>
      </c>
      <c r="N153" s="169">
        <f t="shared" si="177"/>
        <v>5</v>
      </c>
      <c r="O153" s="169">
        <f t="shared" si="177"/>
        <v>4</v>
      </c>
      <c r="P153" s="169">
        <f t="shared" si="177"/>
        <v>6</v>
      </c>
      <c r="Q153" s="51"/>
      <c r="R153" s="51"/>
      <c r="S153" s="169">
        <f t="shared" ref="S153:AA153" si="178">IFERROR(IF(VLOOKUP($F153,$F$124:$AA$139,S$141,FALSE)=0,"",VLOOKUP($F153,$F$124:$AA$139,S$141,FALSE)-IF(VLOOKUP($F153,$F$10:$AA$100,S$141,FALSE)="**",2,IF(VLOOKUP($F153,$F$10:$AA$100,S$141,FALSE)="*",1,0))),"")</f>
        <v>4</v>
      </c>
      <c r="T153" s="169">
        <f t="shared" si="178"/>
        <v>3</v>
      </c>
      <c r="U153" s="169">
        <f t="shared" si="178"/>
        <v>5</v>
      </c>
      <c r="V153" s="169">
        <f t="shared" si="178"/>
        <v>4</v>
      </c>
      <c r="W153" s="169">
        <f t="shared" si="178"/>
        <v>7</v>
      </c>
      <c r="X153" s="169">
        <f t="shared" si="178"/>
        <v>5</v>
      </c>
      <c r="Y153" s="169">
        <f t="shared" si="178"/>
        <v>4</v>
      </c>
      <c r="Z153" s="169">
        <f t="shared" si="178"/>
        <v>3</v>
      </c>
      <c r="AA153" s="169">
        <f t="shared" si="178"/>
        <v>4</v>
      </c>
      <c r="AB153" s="39"/>
      <c r="AC153" s="39"/>
      <c r="AD153" s="1"/>
      <c r="AE153" s="173" t="str">
        <f t="shared" si="161"/>
        <v>TOM</v>
      </c>
      <c r="AF153" s="170">
        <f t="shared" si="162"/>
        <v>0</v>
      </c>
    </row>
    <row r="154" ht="27.75" customHeight="1">
      <c r="B154" s="181"/>
      <c r="C154" s="1"/>
      <c r="D154" s="1"/>
      <c r="E154" s="1"/>
      <c r="F154" s="168" t="str">
        <f>HANDICAPS!B18</f>
        <v>ERIC</v>
      </c>
      <c r="G154" s="174" t="s">
        <v>18</v>
      </c>
      <c r="H154" s="169"/>
      <c r="I154" s="169"/>
      <c r="J154" s="169"/>
      <c r="K154" s="169"/>
      <c r="L154" s="169"/>
      <c r="M154" s="169"/>
      <c r="N154" s="169"/>
      <c r="O154" s="169"/>
      <c r="P154" s="169"/>
      <c r="Q154" s="51"/>
      <c r="R154" s="51"/>
      <c r="S154" s="169"/>
      <c r="T154" s="169"/>
      <c r="U154" s="169"/>
      <c r="V154" s="169"/>
      <c r="W154" s="169"/>
      <c r="X154" s="169"/>
      <c r="Y154" s="169"/>
      <c r="Z154" s="169"/>
      <c r="AA154" s="169"/>
      <c r="AB154" s="39"/>
      <c r="AC154" s="39"/>
      <c r="AD154" s="1"/>
      <c r="AE154" s="173" t="str">
        <f t="shared" si="161"/>
        <v>ERIC</v>
      </c>
      <c r="AF154" s="170">
        <f t="shared" si="162"/>
        <v>0</v>
      </c>
    </row>
    <row r="155" ht="27.75" customHeight="1">
      <c r="B155" s="181"/>
      <c r="C155" s="1"/>
      <c r="D155" s="1"/>
      <c r="E155" s="1"/>
      <c r="F155" s="168" t="str">
        <f>HANDICAPS!B19</f>
        <v>MAX</v>
      </c>
      <c r="G155" s="75" t="s">
        <v>17</v>
      </c>
      <c r="H155" s="169">
        <f t="shared" ref="H155:P155" si="179">IFERROR(IF(VLOOKUP($F155,$F$124:$AA$139,H$141,FALSE)=0,"",VLOOKUP($F155,$F$124:$AA$139,H$141,FALSE)-IF(VLOOKUP($F155,$F$10:$AA$100,H$141,FALSE)="**",2,IF(VLOOKUP($F155,$F$10:$AA$100,H$141,FALSE)="*",1,0))),"")</f>
        <v>4</v>
      </c>
      <c r="I155" s="169">
        <f t="shared" si="179"/>
        <v>4</v>
      </c>
      <c r="J155" s="169">
        <f t="shared" si="179"/>
        <v>4</v>
      </c>
      <c r="K155" s="169">
        <f t="shared" si="179"/>
        <v>4</v>
      </c>
      <c r="L155" s="169">
        <f t="shared" si="179"/>
        <v>4</v>
      </c>
      <c r="M155" s="169">
        <f t="shared" si="179"/>
        <v>6</v>
      </c>
      <c r="N155" s="169">
        <f t="shared" si="179"/>
        <v>4</v>
      </c>
      <c r="O155" s="169">
        <f t="shared" si="179"/>
        <v>4</v>
      </c>
      <c r="P155" s="169">
        <f t="shared" si="179"/>
        <v>7</v>
      </c>
      <c r="Q155" s="51"/>
      <c r="R155" s="51"/>
      <c r="S155" s="169">
        <f t="shared" ref="S155:AA155" si="180">IFERROR(IF(VLOOKUP($F155,$F$124:$AA$139,S$141,FALSE)=0,"",VLOOKUP($F155,$F$124:$AA$139,S$141,FALSE)-IF(VLOOKUP($F155,$F$10:$AA$100,S$141,FALSE)="**",2,IF(VLOOKUP($F155,$F$10:$AA$100,S$141,FALSE)="*",1,0))),"")</f>
        <v>4</v>
      </c>
      <c r="T155" s="169">
        <f t="shared" si="180"/>
        <v>5</v>
      </c>
      <c r="U155" s="169">
        <f t="shared" si="180"/>
        <v>6</v>
      </c>
      <c r="V155" s="169">
        <f t="shared" si="180"/>
        <v>3</v>
      </c>
      <c r="W155" s="169">
        <f t="shared" si="180"/>
        <v>4</v>
      </c>
      <c r="X155" s="169">
        <f t="shared" si="180"/>
        <v>4</v>
      </c>
      <c r="Y155" s="169">
        <f t="shared" si="180"/>
        <v>3</v>
      </c>
      <c r="Z155" s="169">
        <f t="shared" si="180"/>
        <v>5</v>
      </c>
      <c r="AA155" s="169">
        <f t="shared" si="180"/>
        <v>3</v>
      </c>
      <c r="AB155" s="39"/>
      <c r="AC155" s="39"/>
      <c r="AD155" s="1"/>
      <c r="AE155" s="173" t="str">
        <f t="shared" si="161"/>
        <v>MAX</v>
      </c>
      <c r="AF155" s="170">
        <f t="shared" si="162"/>
        <v>0</v>
      </c>
    </row>
    <row r="156" ht="27.75" customHeight="1">
      <c r="B156" s="181"/>
      <c r="C156" s="1"/>
      <c r="D156" s="1"/>
      <c r="E156" s="1"/>
      <c r="F156" s="168" t="str">
        <f>HANDICAPS!B20</f>
        <v>KIP</v>
      </c>
      <c r="G156" s="75" t="s">
        <v>17</v>
      </c>
      <c r="H156" s="169">
        <f t="shared" ref="H156:P156" si="181">IFERROR(IF(VLOOKUP($F156,$F$124:$AA$139,H$141,FALSE)=0,"",VLOOKUP($F156,$F$124:$AA$139,H$141,FALSE)-IF(VLOOKUP($F156,$F$10:$AA$100,H$141,FALSE)="**",2,IF(VLOOKUP($F156,$F$10:$AA$100,H$141,FALSE)="*",1,0))),"")</f>
        <v>6</v>
      </c>
      <c r="I156" s="169">
        <f t="shared" si="181"/>
        <v>4</v>
      </c>
      <c r="J156" s="169">
        <f t="shared" si="181"/>
        <v>4</v>
      </c>
      <c r="K156" s="169">
        <f t="shared" si="181"/>
        <v>3</v>
      </c>
      <c r="L156" s="169">
        <f t="shared" si="181"/>
        <v>6</v>
      </c>
      <c r="M156" s="169">
        <f t="shared" si="181"/>
        <v>4</v>
      </c>
      <c r="N156" s="169">
        <f t="shared" si="181"/>
        <v>4</v>
      </c>
      <c r="O156" s="169">
        <f t="shared" si="181"/>
        <v>3</v>
      </c>
      <c r="P156" s="169">
        <f t="shared" si="181"/>
        <v>6</v>
      </c>
      <c r="Q156" s="51"/>
      <c r="R156" s="51"/>
      <c r="S156" s="169">
        <f t="shared" ref="S156:AA156" si="182">IFERROR(IF(VLOOKUP($F156,$F$124:$AA$139,S$141,FALSE)=0,"",VLOOKUP($F156,$F$124:$AA$139,S$141,FALSE)-IF(VLOOKUP($F156,$F$10:$AA$100,S$141,FALSE)="**",2,IF(VLOOKUP($F156,$F$10:$AA$100,S$141,FALSE)="*",1,0))),"")</f>
        <v>6</v>
      </c>
      <c r="T156" s="169">
        <f t="shared" si="182"/>
        <v>5</v>
      </c>
      <c r="U156" s="169">
        <f t="shared" si="182"/>
        <v>8</v>
      </c>
      <c r="V156" s="169">
        <f t="shared" si="182"/>
        <v>4</v>
      </c>
      <c r="W156" s="169">
        <f t="shared" si="182"/>
        <v>7</v>
      </c>
      <c r="X156" s="169">
        <f t="shared" si="182"/>
        <v>5</v>
      </c>
      <c r="Y156" s="169">
        <f t="shared" si="182"/>
        <v>3</v>
      </c>
      <c r="Z156" s="169">
        <f t="shared" si="182"/>
        <v>5</v>
      </c>
      <c r="AA156" s="169">
        <f t="shared" si="182"/>
        <v>6</v>
      </c>
      <c r="AB156" s="39"/>
      <c r="AC156" s="39"/>
      <c r="AD156" s="1"/>
      <c r="AE156" s="173" t="str">
        <f t="shared" si="161"/>
        <v>KIP</v>
      </c>
      <c r="AF156" s="170">
        <f t="shared" si="162"/>
        <v>0</v>
      </c>
    </row>
    <row r="157" ht="27.75" customHeight="1">
      <c r="B157" s="181"/>
      <c r="C157" s="1"/>
      <c r="D157" s="1"/>
      <c r="E157" s="1"/>
      <c r="F157" s="168" t="str">
        <f>HANDICAPS!B21</f>
        <v>SHEPP</v>
      </c>
      <c r="G157" s="75" t="s">
        <v>17</v>
      </c>
      <c r="H157" s="169">
        <f t="shared" ref="H157:P157" si="183">IFERROR(IF(VLOOKUP($F157,$F$124:$AA$139,H$141,FALSE)=0,"",VLOOKUP($F157,$F$124:$AA$139,H$141,FALSE)-IF(VLOOKUP($F157,$F$10:$AA$100,H$141,FALSE)="**",2,IF(VLOOKUP($F157,$F$10:$AA$100,H$141,FALSE)="*",1,0))),"")</f>
        <v>7</v>
      </c>
      <c r="I157" s="169">
        <f t="shared" si="183"/>
        <v>4</v>
      </c>
      <c r="J157" s="169">
        <f t="shared" si="183"/>
        <v>5</v>
      </c>
      <c r="K157" s="169">
        <f t="shared" si="183"/>
        <v>2</v>
      </c>
      <c r="L157" s="169">
        <f t="shared" si="183"/>
        <v>5</v>
      </c>
      <c r="M157" s="169">
        <f t="shared" si="183"/>
        <v>4</v>
      </c>
      <c r="N157" s="169">
        <f t="shared" si="183"/>
        <v>7</v>
      </c>
      <c r="O157" s="169">
        <f t="shared" si="183"/>
        <v>4</v>
      </c>
      <c r="P157" s="169">
        <f t="shared" si="183"/>
        <v>7</v>
      </c>
      <c r="Q157" s="51"/>
      <c r="R157" s="51"/>
      <c r="S157" s="169">
        <f t="shared" ref="S157:AA157" si="184">IFERROR(IF(VLOOKUP($F157,$F$124:$AA$139,S$141,FALSE)=0,"",VLOOKUP($F157,$F$124:$AA$139,S$141,FALSE)-IF(VLOOKUP($F157,$F$10:$AA$100,S$141,FALSE)="**",2,IF(VLOOKUP($F157,$F$10:$AA$100,S$141,FALSE)="*",1,0))),"")</f>
        <v>6</v>
      </c>
      <c r="T157" s="169">
        <f t="shared" si="184"/>
        <v>3</v>
      </c>
      <c r="U157" s="169">
        <f t="shared" si="184"/>
        <v>4</v>
      </c>
      <c r="V157" s="169">
        <f t="shared" si="184"/>
        <v>5</v>
      </c>
      <c r="W157" s="169">
        <f t="shared" si="184"/>
        <v>5</v>
      </c>
      <c r="X157" s="169">
        <f t="shared" si="184"/>
        <v>6</v>
      </c>
      <c r="Y157" s="169">
        <f t="shared" si="184"/>
        <v>6</v>
      </c>
      <c r="Z157" s="169">
        <f t="shared" si="184"/>
        <v>3</v>
      </c>
      <c r="AA157" s="169">
        <f t="shared" si="184"/>
        <v>6</v>
      </c>
      <c r="AB157" s="39"/>
      <c r="AC157" s="39"/>
      <c r="AD157" s="1"/>
      <c r="AE157" s="173" t="str">
        <f t="shared" si="161"/>
        <v>SHEPP</v>
      </c>
      <c r="AF157" s="170">
        <f t="shared" si="162"/>
        <v>0</v>
      </c>
    </row>
    <row r="158" ht="27.75" customHeight="1">
      <c r="B158" s="181"/>
      <c r="C158" s="1"/>
      <c r="D158" s="1"/>
      <c r="E158" s="1"/>
      <c r="F158" s="168" t="str">
        <f>HANDICAPS!B22</f>
        <v>SKYLAR</v>
      </c>
      <c r="G158" s="174" t="s">
        <v>18</v>
      </c>
      <c r="H158" s="169"/>
      <c r="I158" s="169"/>
      <c r="J158" s="169"/>
      <c r="K158" s="169"/>
      <c r="L158" s="169"/>
      <c r="M158" s="169"/>
      <c r="N158" s="169"/>
      <c r="O158" s="169"/>
      <c r="P158" s="169"/>
      <c r="Q158" s="51"/>
      <c r="R158" s="51"/>
      <c r="S158" s="169"/>
      <c r="T158" s="169"/>
      <c r="U158" s="169"/>
      <c r="V158" s="169"/>
      <c r="W158" s="169"/>
      <c r="X158" s="169"/>
      <c r="Y158" s="169"/>
      <c r="Z158" s="169"/>
      <c r="AA158" s="169"/>
      <c r="AB158" s="39"/>
      <c r="AC158" s="39"/>
      <c r="AD158" s="1"/>
      <c r="AE158" s="173" t="str">
        <f t="shared" si="161"/>
        <v>SKYLAR</v>
      </c>
      <c r="AF158" s="170">
        <f t="shared" si="162"/>
        <v>0</v>
      </c>
    </row>
    <row r="159" ht="27.75" customHeight="1">
      <c r="B159" s="181"/>
      <c r="C159" s="1"/>
      <c r="D159" s="1"/>
      <c r="E159" s="1"/>
      <c r="F159" s="168" t="str">
        <f>HANDICAPS!B23</f>
        <v>RYAN</v>
      </c>
      <c r="G159" s="75" t="s">
        <v>17</v>
      </c>
      <c r="H159" s="169">
        <f t="shared" ref="H159:P159" si="185">IFERROR(IF(VLOOKUP($F159,$F$124:$AA$139,H$141,FALSE)=0,"",VLOOKUP($F159,$F$124:$AA$139,H$141,FALSE)-IF(VLOOKUP($F159,$F$10:$AA$100,H$141,FALSE)="**",2,IF(VLOOKUP($F159,$F$10:$AA$100,H$141,FALSE)="*",1,0))),"")</f>
        <v>5</v>
      </c>
      <c r="I159" s="169">
        <f t="shared" si="185"/>
        <v>4</v>
      </c>
      <c r="J159" s="169">
        <f t="shared" si="185"/>
        <v>6</v>
      </c>
      <c r="K159" s="169">
        <f t="shared" si="185"/>
        <v>3</v>
      </c>
      <c r="L159" s="169">
        <f t="shared" si="185"/>
        <v>6</v>
      </c>
      <c r="M159" s="169">
        <f t="shared" si="185"/>
        <v>4</v>
      </c>
      <c r="N159" s="169">
        <f t="shared" si="185"/>
        <v>4</v>
      </c>
      <c r="O159" s="169">
        <f t="shared" si="185"/>
        <v>5</v>
      </c>
      <c r="P159" s="169">
        <f t="shared" si="185"/>
        <v>6</v>
      </c>
      <c r="Q159" s="51"/>
      <c r="R159" s="51"/>
      <c r="S159" s="169">
        <f t="shared" ref="S159:AA159" si="186">IFERROR(IF(VLOOKUP($F159,$F$124:$AA$139,S$141,FALSE)=0,"",VLOOKUP($F159,$F$124:$AA$139,S$141,FALSE)-IF(VLOOKUP($F159,$F$10:$AA$100,S$141,FALSE)="**",2,IF(VLOOKUP($F159,$F$10:$AA$100,S$141,FALSE)="*",1,0))),"")</f>
        <v>6</v>
      </c>
      <c r="T159" s="169">
        <f t="shared" si="186"/>
        <v>3</v>
      </c>
      <c r="U159" s="169">
        <f t="shared" si="186"/>
        <v>7</v>
      </c>
      <c r="V159" s="169">
        <f t="shared" si="186"/>
        <v>3</v>
      </c>
      <c r="W159" s="169">
        <f t="shared" si="186"/>
        <v>3</v>
      </c>
      <c r="X159" s="169">
        <f t="shared" si="186"/>
        <v>4</v>
      </c>
      <c r="Y159" s="169">
        <f t="shared" si="186"/>
        <v>4</v>
      </c>
      <c r="Z159" s="169">
        <f t="shared" si="186"/>
        <v>5</v>
      </c>
      <c r="AA159" s="169">
        <f t="shared" si="186"/>
        <v>6</v>
      </c>
      <c r="AB159" s="39"/>
      <c r="AC159" s="39"/>
      <c r="AD159" s="1"/>
      <c r="AE159" s="175" t="str">
        <f t="shared" si="161"/>
        <v>RYAN</v>
      </c>
      <c r="AF159" s="176">
        <f t="shared" si="162"/>
        <v>70</v>
      </c>
    </row>
    <row r="160" ht="6.75" customHeight="1">
      <c r="B160" s="181"/>
      <c r="C160" s="1"/>
      <c r="D160" s="1"/>
      <c r="E160" s="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39"/>
      <c r="AC160" s="39"/>
      <c r="AD160" s="1"/>
      <c r="AE160" s="1"/>
      <c r="AF160" s="1"/>
    </row>
    <row r="161" ht="27.75" customHeight="1">
      <c r="B161" s="181"/>
      <c r="C161" s="1"/>
      <c r="D161" s="1"/>
      <c r="E161" s="1"/>
      <c r="F161" s="177" t="s">
        <v>149</v>
      </c>
      <c r="G161" s="178"/>
      <c r="H161" s="179">
        <f t="shared" ref="H161:P161" si="187">IFERROR(MINIFS(H$144:H$159,H$144:H$159,"&gt;0"),"0")</f>
        <v>3</v>
      </c>
      <c r="I161" s="179">
        <f t="shared" si="187"/>
        <v>3</v>
      </c>
      <c r="J161" s="179">
        <f t="shared" si="187"/>
        <v>3</v>
      </c>
      <c r="K161" s="179">
        <f t="shared" si="187"/>
        <v>2</v>
      </c>
      <c r="L161" s="179">
        <f t="shared" si="187"/>
        <v>3</v>
      </c>
      <c r="M161" s="179">
        <f t="shared" si="187"/>
        <v>2</v>
      </c>
      <c r="N161" s="179">
        <f t="shared" si="187"/>
        <v>4</v>
      </c>
      <c r="O161" s="179">
        <f t="shared" si="187"/>
        <v>3</v>
      </c>
      <c r="P161" s="179">
        <f t="shared" si="187"/>
        <v>3</v>
      </c>
      <c r="Q161" s="51"/>
      <c r="R161" s="51"/>
      <c r="S161" s="179">
        <f t="shared" ref="S161:AA161" si="188">IFERROR(MINIFS(S$144:S$159,S$144:S$159,"&gt;0"),"0")</f>
        <v>4</v>
      </c>
      <c r="T161" s="179">
        <f t="shared" si="188"/>
        <v>2</v>
      </c>
      <c r="U161" s="179">
        <f t="shared" si="188"/>
        <v>4</v>
      </c>
      <c r="V161" s="179">
        <f t="shared" si="188"/>
        <v>3</v>
      </c>
      <c r="W161" s="179">
        <f t="shared" si="188"/>
        <v>3</v>
      </c>
      <c r="X161" s="179">
        <f t="shared" si="188"/>
        <v>3</v>
      </c>
      <c r="Y161" s="179">
        <f t="shared" si="188"/>
        <v>3</v>
      </c>
      <c r="Z161" s="179">
        <f t="shared" si="188"/>
        <v>3</v>
      </c>
      <c r="AA161" s="179">
        <f t="shared" si="188"/>
        <v>3</v>
      </c>
      <c r="AB161" s="1"/>
      <c r="AC161" s="1"/>
      <c r="AD161" s="1"/>
      <c r="AE161" s="1"/>
      <c r="AF161" s="1"/>
    </row>
    <row r="162" ht="14.25" customHeight="1">
      <c r="B162" s="181"/>
      <c r="C162" s="1"/>
      <c r="D162" s="1"/>
      <c r="E162" s="1"/>
      <c r="F162" s="1" t="s">
        <v>20</v>
      </c>
      <c r="G162" s="1"/>
      <c r="H162" s="40">
        <f t="shared" ref="H162:P162" si="189">COUNTIF(H$144:H$159,H$161)</f>
        <v>4</v>
      </c>
      <c r="I162" s="40">
        <f t="shared" si="189"/>
        <v>5</v>
      </c>
      <c r="J162" s="40">
        <f t="shared" si="189"/>
        <v>5</v>
      </c>
      <c r="K162" s="40">
        <f t="shared" si="189"/>
        <v>2</v>
      </c>
      <c r="L162" s="40">
        <f t="shared" si="189"/>
        <v>1</v>
      </c>
      <c r="M162" s="40">
        <f t="shared" si="189"/>
        <v>1</v>
      </c>
      <c r="N162" s="40">
        <f t="shared" si="189"/>
        <v>4</v>
      </c>
      <c r="O162" s="40">
        <f t="shared" si="189"/>
        <v>2</v>
      </c>
      <c r="P162" s="40">
        <f t="shared" si="189"/>
        <v>2</v>
      </c>
      <c r="Q162" s="40"/>
      <c r="R162" s="40"/>
      <c r="S162" s="40">
        <f t="shared" ref="S162:AA162" si="190">COUNTIF(S$144:S$159,S$161)</f>
        <v>5</v>
      </c>
      <c r="T162" s="40">
        <f t="shared" si="190"/>
        <v>1</v>
      </c>
      <c r="U162" s="40">
        <f t="shared" si="190"/>
        <v>5</v>
      </c>
      <c r="V162" s="40">
        <f t="shared" si="190"/>
        <v>4</v>
      </c>
      <c r="W162" s="40">
        <f t="shared" si="190"/>
        <v>1</v>
      </c>
      <c r="X162" s="40">
        <f t="shared" si="190"/>
        <v>3</v>
      </c>
      <c r="Y162" s="40">
        <f t="shared" si="190"/>
        <v>7</v>
      </c>
      <c r="Z162" s="40">
        <f t="shared" si="190"/>
        <v>5</v>
      </c>
      <c r="AA162" s="40">
        <f t="shared" si="190"/>
        <v>2</v>
      </c>
      <c r="AB162" s="1"/>
      <c r="AC162" s="1"/>
      <c r="AD162" s="1"/>
      <c r="AE162" s="1"/>
      <c r="AF162" s="1"/>
    </row>
    <row r="163" ht="14.25" customHeight="1">
      <c r="B163" s="181"/>
      <c r="C163" s="1"/>
      <c r="D163" s="1"/>
      <c r="E163" s="1"/>
      <c r="F163" s="1" t="s">
        <v>21</v>
      </c>
      <c r="G163" s="1"/>
      <c r="H163" s="40" t="str">
        <f t="shared" ref="H163:P163" si="191">IF(H162=1,"1","")</f>
        <v/>
      </c>
      <c r="I163" s="40" t="str">
        <f t="shared" si="191"/>
        <v/>
      </c>
      <c r="J163" s="40" t="str">
        <f t="shared" si="191"/>
        <v/>
      </c>
      <c r="K163" s="40" t="str">
        <f t="shared" si="191"/>
        <v/>
      </c>
      <c r="L163" s="40" t="str">
        <f t="shared" si="191"/>
        <v>1</v>
      </c>
      <c r="M163" s="40" t="str">
        <f t="shared" si="191"/>
        <v>1</v>
      </c>
      <c r="N163" s="40" t="str">
        <f t="shared" si="191"/>
        <v/>
      </c>
      <c r="O163" s="40" t="str">
        <f t="shared" si="191"/>
        <v/>
      </c>
      <c r="P163" s="40" t="str">
        <f t="shared" si="191"/>
        <v/>
      </c>
      <c r="Q163" s="40"/>
      <c r="R163" s="40"/>
      <c r="S163" s="40" t="str">
        <f t="shared" ref="S163:AA163" si="192">IF(S162=1,"1","")</f>
        <v/>
      </c>
      <c r="T163" s="40" t="str">
        <f t="shared" si="192"/>
        <v>1</v>
      </c>
      <c r="U163" s="40" t="str">
        <f t="shared" si="192"/>
        <v/>
      </c>
      <c r="V163" s="40" t="str">
        <f t="shared" si="192"/>
        <v/>
      </c>
      <c r="W163" s="40" t="str">
        <f t="shared" si="192"/>
        <v>1</v>
      </c>
      <c r="X163" s="40" t="str">
        <f t="shared" si="192"/>
        <v/>
      </c>
      <c r="Y163" s="40" t="str">
        <f t="shared" si="192"/>
        <v/>
      </c>
      <c r="Z163" s="40" t="str">
        <f t="shared" si="192"/>
        <v/>
      </c>
      <c r="AA163" s="40" t="str">
        <f t="shared" si="192"/>
        <v/>
      </c>
      <c r="AB163" s="1">
        <f>COUNTIF($H$163:$AA$163,"1")</f>
        <v>4</v>
      </c>
      <c r="AC163" s="1"/>
      <c r="AD163" s="1"/>
      <c r="AE163" s="1"/>
      <c r="AF163" s="1"/>
    </row>
    <row r="164" ht="14.25" customHeight="1">
      <c r="B164" s="181"/>
      <c r="C164" s="1"/>
      <c r="D164" s="1"/>
      <c r="E164" s="1"/>
      <c r="F164" s="1" t="s">
        <v>22</v>
      </c>
      <c r="G164" s="1"/>
      <c r="H164" s="1" t="str">
        <f t="shared" ref="H164:P164" si="193">IFERROR(IF(H163="1",VLOOKUP(H161,H$144:$AE$159,H$140,FALSE),""),"")</f>
        <v/>
      </c>
      <c r="I164" s="1" t="str">
        <f t="shared" si="193"/>
        <v/>
      </c>
      <c r="J164" s="1" t="str">
        <f t="shared" si="193"/>
        <v/>
      </c>
      <c r="K164" s="1" t="str">
        <f t="shared" si="193"/>
        <v/>
      </c>
      <c r="L164" s="1" t="str">
        <f t="shared" si="193"/>
        <v>SCOTT</v>
      </c>
      <c r="M164" s="1" t="str">
        <f t="shared" si="193"/>
        <v>BEN</v>
      </c>
      <c r="N164" s="1" t="str">
        <f t="shared" si="193"/>
        <v/>
      </c>
      <c r="O164" s="1" t="str">
        <f t="shared" si="193"/>
        <v/>
      </c>
      <c r="P164" s="1" t="str">
        <f t="shared" si="193"/>
        <v/>
      </c>
      <c r="Q164" s="1"/>
      <c r="R164" s="1"/>
      <c r="S164" s="1" t="str">
        <f t="shared" ref="S164:AA164" si="194">IFERROR(IF(S163="1",VLOOKUP(S161,S$144:$AE$159,S$140,FALSE),""),"")</f>
        <v/>
      </c>
      <c r="T164" s="1" t="str">
        <f t="shared" si="194"/>
        <v>DANNY</v>
      </c>
      <c r="U164" s="1" t="str">
        <f t="shared" si="194"/>
        <v/>
      </c>
      <c r="V164" s="1" t="str">
        <f t="shared" si="194"/>
        <v/>
      </c>
      <c r="W164" s="1" t="str">
        <f t="shared" si="194"/>
        <v>RYAN</v>
      </c>
      <c r="X164" s="1" t="str">
        <f t="shared" si="194"/>
        <v/>
      </c>
      <c r="Y164" s="1" t="str">
        <f t="shared" si="194"/>
        <v/>
      </c>
      <c r="Z164" s="1" t="str">
        <f t="shared" si="194"/>
        <v/>
      </c>
      <c r="AA164" s="1" t="str">
        <f t="shared" si="194"/>
        <v/>
      </c>
      <c r="AB164" s="1"/>
      <c r="AC164" s="1"/>
      <c r="AD164" s="1"/>
      <c r="AE164" s="1"/>
      <c r="AF164" s="1"/>
    </row>
    <row r="165" ht="14.25" customHeight="1">
      <c r="B165" s="18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B166" s="181"/>
      <c r="C166" s="1"/>
      <c r="D166" s="1"/>
      <c r="E166" s="1"/>
      <c r="F166" s="66" t="s">
        <v>36</v>
      </c>
      <c r="G166" s="66" t="s">
        <v>113</v>
      </c>
      <c r="H166" s="66">
        <f t="shared" ref="H166:P166" si="195">H7</f>
        <v>4</v>
      </c>
      <c r="I166" s="66">
        <f t="shared" si="195"/>
        <v>4</v>
      </c>
      <c r="J166" s="66">
        <f t="shared" si="195"/>
        <v>4</v>
      </c>
      <c r="K166" s="66">
        <f t="shared" si="195"/>
        <v>3</v>
      </c>
      <c r="L166" s="66">
        <f t="shared" si="195"/>
        <v>4</v>
      </c>
      <c r="M166" s="66">
        <f t="shared" si="195"/>
        <v>4</v>
      </c>
      <c r="N166" s="66">
        <f t="shared" si="195"/>
        <v>5</v>
      </c>
      <c r="O166" s="66">
        <f t="shared" si="195"/>
        <v>3</v>
      </c>
      <c r="P166" s="66">
        <f t="shared" si="195"/>
        <v>5</v>
      </c>
      <c r="Q166" s="10"/>
      <c r="R166" s="10"/>
      <c r="S166" s="66">
        <f t="shared" ref="S166:AA166" si="196">S7</f>
        <v>4</v>
      </c>
      <c r="T166" s="66">
        <f t="shared" si="196"/>
        <v>3</v>
      </c>
      <c r="U166" s="66">
        <f t="shared" si="196"/>
        <v>5</v>
      </c>
      <c r="V166" s="66">
        <f t="shared" si="196"/>
        <v>4</v>
      </c>
      <c r="W166" s="66">
        <f t="shared" si="196"/>
        <v>5</v>
      </c>
      <c r="X166" s="66">
        <f t="shared" si="196"/>
        <v>4</v>
      </c>
      <c r="Y166" s="66">
        <f t="shared" si="196"/>
        <v>4</v>
      </c>
      <c r="Z166" s="66">
        <f t="shared" si="196"/>
        <v>3</v>
      </c>
      <c r="AA166" s="66">
        <f t="shared" si="196"/>
        <v>4</v>
      </c>
      <c r="AB166" s="66"/>
      <c r="AC166" s="39"/>
      <c r="AD166" s="39"/>
      <c r="AE166" s="39"/>
      <c r="AF166" s="39"/>
    </row>
    <row r="167" ht="15.75" customHeight="1">
      <c r="B167" s="181"/>
      <c r="C167" s="1"/>
      <c r="D167" s="1"/>
      <c r="E167" s="1"/>
      <c r="F167" s="66" t="s">
        <v>146</v>
      </c>
      <c r="G167" s="166" t="s">
        <v>137</v>
      </c>
      <c r="H167" s="66">
        <f t="shared" ref="H167:P167" si="197">H143</f>
        <v>1</v>
      </c>
      <c r="I167" s="66">
        <f t="shared" si="197"/>
        <v>2</v>
      </c>
      <c r="J167" s="66">
        <f t="shared" si="197"/>
        <v>3</v>
      </c>
      <c r="K167" s="66">
        <f t="shared" si="197"/>
        <v>4</v>
      </c>
      <c r="L167" s="66">
        <f t="shared" si="197"/>
        <v>5</v>
      </c>
      <c r="M167" s="66">
        <f t="shared" si="197"/>
        <v>6</v>
      </c>
      <c r="N167" s="66">
        <f t="shared" si="197"/>
        <v>7</v>
      </c>
      <c r="O167" s="66">
        <f t="shared" si="197"/>
        <v>8</v>
      </c>
      <c r="P167" s="66">
        <f t="shared" si="197"/>
        <v>9</v>
      </c>
      <c r="Q167" s="10"/>
      <c r="R167" s="10"/>
      <c r="S167" s="66">
        <f t="shared" ref="S167:AA167" si="198">S143</f>
        <v>10</v>
      </c>
      <c r="T167" s="66">
        <f t="shared" si="198"/>
        <v>11</v>
      </c>
      <c r="U167" s="66">
        <f t="shared" si="198"/>
        <v>12</v>
      </c>
      <c r="V167" s="66">
        <f t="shared" si="198"/>
        <v>13</v>
      </c>
      <c r="W167" s="66">
        <f t="shared" si="198"/>
        <v>14</v>
      </c>
      <c r="X167" s="66">
        <f t="shared" si="198"/>
        <v>15</v>
      </c>
      <c r="Y167" s="66">
        <f t="shared" si="198"/>
        <v>16</v>
      </c>
      <c r="Z167" s="66">
        <f t="shared" si="198"/>
        <v>17</v>
      </c>
      <c r="AA167" s="66">
        <f t="shared" si="198"/>
        <v>18</v>
      </c>
      <c r="AB167" s="66" t="s">
        <v>24</v>
      </c>
      <c r="AC167" s="39"/>
      <c r="AD167" s="39"/>
      <c r="AE167" s="39"/>
      <c r="AF167" s="39"/>
    </row>
    <row r="168" ht="15.75" customHeight="1">
      <c r="B168" s="181"/>
      <c r="C168" s="1"/>
      <c r="D168" s="1"/>
      <c r="E168" s="1"/>
      <c r="F168" s="73" t="str">
        <f t="shared" ref="F168:F183" si="201">F144</f>
        <v>DEREK</v>
      </c>
      <c r="G168" s="142"/>
      <c r="H168" s="169">
        <f t="shared" ref="H168:P168" si="199">IFERROR(IF(VLOOKUP($F168,$F$124:$AA$139,H$141,FALSE)=0,"",IF(VLOOKUP($F168,$F$124:$AA$139,H$141,FALSE)&lt;H$166,1,0)),"")</f>
        <v>0</v>
      </c>
      <c r="I168" s="169">
        <f t="shared" si="199"/>
        <v>0</v>
      </c>
      <c r="J168" s="169">
        <f t="shared" si="199"/>
        <v>0</v>
      </c>
      <c r="K168" s="169">
        <f t="shared" si="199"/>
        <v>0</v>
      </c>
      <c r="L168" s="169">
        <f t="shared" si="199"/>
        <v>0</v>
      </c>
      <c r="M168" s="169">
        <f t="shared" si="199"/>
        <v>0</v>
      </c>
      <c r="N168" s="169">
        <f t="shared" si="199"/>
        <v>0</v>
      </c>
      <c r="O168" s="169">
        <f t="shared" si="199"/>
        <v>0</v>
      </c>
      <c r="P168" s="169">
        <f t="shared" si="199"/>
        <v>0</v>
      </c>
      <c r="Q168" s="51"/>
      <c r="R168" s="51"/>
      <c r="S168" s="169">
        <f t="shared" ref="S168:AA168" si="200">IFERROR(IF(VLOOKUP($F168,$F$124:$AA$139,S$141,FALSE)=0,"",IF(VLOOKUP($F168,$F$124:$AA$139,S$141,FALSE)&lt;S$166,1,0)),"")</f>
        <v>0</v>
      </c>
      <c r="T168" s="169">
        <f t="shared" si="200"/>
        <v>0</v>
      </c>
      <c r="U168" s="169">
        <f t="shared" si="200"/>
        <v>1</v>
      </c>
      <c r="V168" s="169">
        <f t="shared" si="200"/>
        <v>0</v>
      </c>
      <c r="W168" s="169">
        <f t="shared" si="200"/>
        <v>0</v>
      </c>
      <c r="X168" s="169">
        <f t="shared" si="200"/>
        <v>1</v>
      </c>
      <c r="Y168" s="169">
        <f t="shared" si="200"/>
        <v>0</v>
      </c>
      <c r="Z168" s="169">
        <f t="shared" si="200"/>
        <v>0</v>
      </c>
      <c r="AA168" s="169">
        <f t="shared" si="200"/>
        <v>0</v>
      </c>
      <c r="AB168" s="75">
        <f t="shared" ref="AB168:AB183" si="204">SUM(H168:AA168)</f>
        <v>2</v>
      </c>
      <c r="AC168" s="39"/>
      <c r="AD168" s="1"/>
      <c r="AE168" s="1"/>
      <c r="AF168" s="1"/>
    </row>
    <row r="169" ht="15.75" customHeight="1">
      <c r="B169" s="181"/>
      <c r="C169" s="1"/>
      <c r="D169" s="1"/>
      <c r="E169" s="1"/>
      <c r="F169" s="73" t="str">
        <f t="shared" si="201"/>
        <v>SCOTT</v>
      </c>
      <c r="G169" s="142"/>
      <c r="H169" s="169">
        <f t="shared" ref="H169:P169" si="202">IFERROR(IF(VLOOKUP($F169,$F$124:$AA$139,H$141,FALSE)=0,"",IF(VLOOKUP($F169,$F$124:$AA$139,H$141,FALSE)&lt;H$166,1,0)),"")</f>
        <v>0</v>
      </c>
      <c r="I169" s="169">
        <f t="shared" si="202"/>
        <v>0</v>
      </c>
      <c r="J169" s="169">
        <f t="shared" si="202"/>
        <v>1</v>
      </c>
      <c r="K169" s="169">
        <f t="shared" si="202"/>
        <v>0</v>
      </c>
      <c r="L169" s="169">
        <f t="shared" si="202"/>
        <v>1</v>
      </c>
      <c r="M169" s="169">
        <f t="shared" si="202"/>
        <v>0</v>
      </c>
      <c r="N169" s="169">
        <f t="shared" si="202"/>
        <v>0</v>
      </c>
      <c r="O169" s="169">
        <f t="shared" si="202"/>
        <v>0</v>
      </c>
      <c r="P169" s="169">
        <f t="shared" si="202"/>
        <v>0</v>
      </c>
      <c r="Q169" s="51"/>
      <c r="R169" s="51"/>
      <c r="S169" s="169">
        <f t="shared" ref="S169:AA169" si="203">IFERROR(IF(VLOOKUP($F169,$F$124:$AA$139,S$141,FALSE)=0,"",IF(VLOOKUP($F169,$F$124:$AA$139,S$141,FALSE)&lt;S$166,1,0)),"")</f>
        <v>0</v>
      </c>
      <c r="T169" s="169">
        <f t="shared" si="203"/>
        <v>0</v>
      </c>
      <c r="U169" s="169">
        <f t="shared" si="203"/>
        <v>0</v>
      </c>
      <c r="V169" s="169">
        <f t="shared" si="203"/>
        <v>1</v>
      </c>
      <c r="W169" s="169">
        <f t="shared" si="203"/>
        <v>0</v>
      </c>
      <c r="X169" s="169">
        <f t="shared" si="203"/>
        <v>0</v>
      </c>
      <c r="Y169" s="169">
        <f t="shared" si="203"/>
        <v>0</v>
      </c>
      <c r="Z169" s="169">
        <f t="shared" si="203"/>
        <v>0</v>
      </c>
      <c r="AA169" s="169">
        <f t="shared" si="203"/>
        <v>0</v>
      </c>
      <c r="AB169" s="75">
        <f t="shared" si="204"/>
        <v>3</v>
      </c>
      <c r="AC169" s="39" t="s">
        <v>150</v>
      </c>
      <c r="AD169" s="1"/>
      <c r="AE169" s="1"/>
      <c r="AF169" s="1"/>
    </row>
    <row r="170" ht="15.75" customHeight="1">
      <c r="B170" s="181"/>
      <c r="C170" s="1"/>
      <c r="D170" s="1"/>
      <c r="E170" s="1"/>
      <c r="F170" s="73" t="str">
        <f t="shared" si="201"/>
        <v>WAYS</v>
      </c>
      <c r="G170" s="142"/>
      <c r="H170" s="169">
        <f t="shared" ref="H170:P170" si="205">IFERROR(IF(VLOOKUP($F170,$F$124:$AA$139,H$141,FALSE)=0,"",IF(VLOOKUP($F170,$F$124:$AA$139,H$141,FALSE)&lt;H$166,1,0)),"")</f>
        <v>0</v>
      </c>
      <c r="I170" s="169">
        <f t="shared" si="205"/>
        <v>1</v>
      </c>
      <c r="J170" s="169">
        <f t="shared" si="205"/>
        <v>0</v>
      </c>
      <c r="K170" s="169">
        <f t="shared" si="205"/>
        <v>0</v>
      </c>
      <c r="L170" s="169">
        <f t="shared" si="205"/>
        <v>0</v>
      </c>
      <c r="M170" s="169">
        <f t="shared" si="205"/>
        <v>0</v>
      </c>
      <c r="N170" s="169">
        <f t="shared" si="205"/>
        <v>0</v>
      </c>
      <c r="O170" s="169">
        <f t="shared" si="205"/>
        <v>0</v>
      </c>
      <c r="P170" s="169">
        <f t="shared" si="205"/>
        <v>0</v>
      </c>
      <c r="Q170" s="51"/>
      <c r="R170" s="51"/>
      <c r="S170" s="169">
        <f t="shared" ref="S170:AA170" si="206">IFERROR(IF(VLOOKUP($F170,$F$124:$AA$139,S$141,FALSE)=0,"",IF(VLOOKUP($F170,$F$124:$AA$139,S$141,FALSE)&lt;S$166,1,0)),"")</f>
        <v>0</v>
      </c>
      <c r="T170" s="169">
        <f t="shared" si="206"/>
        <v>0</v>
      </c>
      <c r="U170" s="169">
        <f t="shared" si="206"/>
        <v>0</v>
      </c>
      <c r="V170" s="169">
        <f t="shared" si="206"/>
        <v>0</v>
      </c>
      <c r="W170" s="169">
        <f t="shared" si="206"/>
        <v>0</v>
      </c>
      <c r="X170" s="169">
        <f t="shared" si="206"/>
        <v>1</v>
      </c>
      <c r="Y170" s="169">
        <f t="shared" si="206"/>
        <v>0</v>
      </c>
      <c r="Z170" s="169">
        <f t="shared" si="206"/>
        <v>0</v>
      </c>
      <c r="AA170" s="169">
        <f t="shared" si="206"/>
        <v>0</v>
      </c>
      <c r="AB170" s="75">
        <f t="shared" si="204"/>
        <v>2</v>
      </c>
      <c r="AC170" s="39"/>
      <c r="AD170" s="1"/>
      <c r="AE170" s="1"/>
      <c r="AF170" s="1"/>
    </row>
    <row r="171" ht="15.75" customHeight="1">
      <c r="B171" s="181"/>
      <c r="C171" s="1"/>
      <c r="D171" s="1"/>
      <c r="E171" s="1"/>
      <c r="F171" s="73" t="str">
        <f t="shared" si="201"/>
        <v>BEN</v>
      </c>
      <c r="G171" s="142"/>
      <c r="H171" s="169">
        <f t="shared" ref="H171:P171" si="207">IFERROR(IF(VLOOKUP($F171,$F$124:$AA$139,H$141,FALSE)=0,"",IF(VLOOKUP($F171,$F$124:$AA$139,H$141,FALSE)&lt;H$166,1,0)),"")</f>
        <v>0</v>
      </c>
      <c r="I171" s="169">
        <f t="shared" si="207"/>
        <v>1</v>
      </c>
      <c r="J171" s="169">
        <f t="shared" si="207"/>
        <v>0</v>
      </c>
      <c r="K171" s="169">
        <f t="shared" si="207"/>
        <v>0</v>
      </c>
      <c r="L171" s="169">
        <f t="shared" si="207"/>
        <v>0</v>
      </c>
      <c r="M171" s="169">
        <f t="shared" si="207"/>
        <v>1</v>
      </c>
      <c r="N171" s="169">
        <f t="shared" si="207"/>
        <v>0</v>
      </c>
      <c r="O171" s="169">
        <f t="shared" si="207"/>
        <v>0</v>
      </c>
      <c r="P171" s="169">
        <f t="shared" si="207"/>
        <v>1</v>
      </c>
      <c r="Q171" s="51"/>
      <c r="R171" s="51"/>
      <c r="S171" s="169">
        <f t="shared" ref="S171:AA171" si="208">IFERROR(IF(VLOOKUP($F171,$F$124:$AA$139,S$141,FALSE)=0,"",IF(VLOOKUP($F171,$F$124:$AA$139,S$141,FALSE)&lt;S$166,1,0)),"")</f>
        <v>0</v>
      </c>
      <c r="T171" s="169">
        <f t="shared" si="208"/>
        <v>0</v>
      </c>
      <c r="U171" s="169">
        <f t="shared" si="208"/>
        <v>0</v>
      </c>
      <c r="V171" s="169">
        <f t="shared" si="208"/>
        <v>0</v>
      </c>
      <c r="W171" s="169">
        <f t="shared" si="208"/>
        <v>0</v>
      </c>
      <c r="X171" s="169">
        <f t="shared" si="208"/>
        <v>0</v>
      </c>
      <c r="Y171" s="169">
        <f t="shared" si="208"/>
        <v>0</v>
      </c>
      <c r="Z171" s="169">
        <f t="shared" si="208"/>
        <v>0</v>
      </c>
      <c r="AA171" s="169">
        <f t="shared" si="208"/>
        <v>0</v>
      </c>
      <c r="AB171" s="75">
        <f t="shared" si="204"/>
        <v>3</v>
      </c>
      <c r="AC171" s="39"/>
      <c r="AD171" s="1"/>
      <c r="AE171" s="1"/>
      <c r="AF171" s="1"/>
    </row>
    <row r="172" ht="15.75" customHeight="1">
      <c r="B172" s="181"/>
      <c r="C172" s="1"/>
      <c r="D172" s="1"/>
      <c r="E172" s="1"/>
      <c r="F172" s="73" t="str">
        <f t="shared" si="201"/>
        <v>DANNY</v>
      </c>
      <c r="G172" s="142"/>
      <c r="H172" s="169">
        <f t="shared" ref="H172:P172" si="209">IFERROR(IF(VLOOKUP($F172,$F$124:$AA$139,H$141,FALSE)=0,"",IF(VLOOKUP($F172,$F$124:$AA$139,H$141,FALSE)&lt;H$166,1,0)),"")</f>
        <v>0</v>
      </c>
      <c r="I172" s="169">
        <f t="shared" si="209"/>
        <v>0</v>
      </c>
      <c r="J172" s="169">
        <f t="shared" si="209"/>
        <v>0</v>
      </c>
      <c r="K172" s="169">
        <f t="shared" si="209"/>
        <v>1</v>
      </c>
      <c r="L172" s="169">
        <f t="shared" si="209"/>
        <v>0</v>
      </c>
      <c r="M172" s="169">
        <f t="shared" si="209"/>
        <v>0</v>
      </c>
      <c r="N172" s="169">
        <f t="shared" si="209"/>
        <v>0</v>
      </c>
      <c r="O172" s="169">
        <f t="shared" si="209"/>
        <v>0</v>
      </c>
      <c r="P172" s="169">
        <f t="shared" si="209"/>
        <v>0</v>
      </c>
      <c r="Q172" s="51"/>
      <c r="R172" s="51"/>
      <c r="S172" s="169">
        <f t="shared" ref="S172:AA172" si="210">IFERROR(IF(VLOOKUP($F172,$F$124:$AA$139,S$141,FALSE)=0,"",IF(VLOOKUP($F172,$F$124:$AA$139,S$141,FALSE)&lt;S$166,1,0)),"")</f>
        <v>0</v>
      </c>
      <c r="T172" s="169">
        <f t="shared" si="210"/>
        <v>1</v>
      </c>
      <c r="U172" s="169">
        <f t="shared" si="210"/>
        <v>0</v>
      </c>
      <c r="V172" s="169">
        <f t="shared" si="210"/>
        <v>0</v>
      </c>
      <c r="W172" s="169">
        <f t="shared" si="210"/>
        <v>0</v>
      </c>
      <c r="X172" s="169">
        <f t="shared" si="210"/>
        <v>0</v>
      </c>
      <c r="Y172" s="169">
        <f t="shared" si="210"/>
        <v>0</v>
      </c>
      <c r="Z172" s="169">
        <f t="shared" si="210"/>
        <v>0</v>
      </c>
      <c r="AA172" s="169">
        <f t="shared" si="210"/>
        <v>0</v>
      </c>
      <c r="AB172" s="75">
        <f t="shared" si="204"/>
        <v>2</v>
      </c>
      <c r="AC172" s="39"/>
      <c r="AD172" s="1"/>
      <c r="AE172" s="1"/>
      <c r="AF172" s="1"/>
    </row>
    <row r="173" ht="15.75" customHeight="1">
      <c r="B173" s="181"/>
      <c r="C173" s="1"/>
      <c r="D173" s="1"/>
      <c r="E173" s="1"/>
      <c r="F173" s="73" t="str">
        <f t="shared" si="201"/>
        <v>ZACH</v>
      </c>
      <c r="G173" s="142"/>
      <c r="H173" s="169">
        <f t="shared" ref="H173:P173" si="211">IFERROR(IF(VLOOKUP($F173,$F$124:$AA$139,H$141,FALSE)=0,"",IF(VLOOKUP($F173,$F$124:$AA$139,H$141,FALSE)&lt;H$166,1,0)),"")</f>
        <v>0</v>
      </c>
      <c r="I173" s="169">
        <f t="shared" si="211"/>
        <v>0</v>
      </c>
      <c r="J173" s="169">
        <f t="shared" si="211"/>
        <v>0</v>
      </c>
      <c r="K173" s="169">
        <f t="shared" si="211"/>
        <v>0</v>
      </c>
      <c r="L173" s="169">
        <f t="shared" si="211"/>
        <v>0</v>
      </c>
      <c r="M173" s="169">
        <f t="shared" si="211"/>
        <v>0</v>
      </c>
      <c r="N173" s="169">
        <f t="shared" si="211"/>
        <v>0</v>
      </c>
      <c r="O173" s="169">
        <f t="shared" si="211"/>
        <v>0</v>
      </c>
      <c r="P173" s="169">
        <f t="shared" si="211"/>
        <v>0</v>
      </c>
      <c r="Q173" s="51"/>
      <c r="R173" s="51"/>
      <c r="S173" s="169">
        <f t="shared" ref="S173:AA173" si="212">IFERROR(IF(VLOOKUP($F173,$F$124:$AA$139,S$141,FALSE)=0,"",IF(VLOOKUP($F173,$F$124:$AA$139,S$141,FALSE)&lt;S$166,1,0)),"")</f>
        <v>0</v>
      </c>
      <c r="T173" s="169">
        <f t="shared" si="212"/>
        <v>0</v>
      </c>
      <c r="U173" s="169">
        <f t="shared" si="212"/>
        <v>0</v>
      </c>
      <c r="V173" s="169">
        <f t="shared" si="212"/>
        <v>0</v>
      </c>
      <c r="W173" s="169">
        <f t="shared" si="212"/>
        <v>0</v>
      </c>
      <c r="X173" s="169">
        <f t="shared" si="212"/>
        <v>0</v>
      </c>
      <c r="Y173" s="169">
        <f t="shared" si="212"/>
        <v>0</v>
      </c>
      <c r="Z173" s="169">
        <f t="shared" si="212"/>
        <v>0</v>
      </c>
      <c r="AA173" s="169">
        <f t="shared" si="212"/>
        <v>0</v>
      </c>
      <c r="AB173" s="75">
        <f t="shared" si="204"/>
        <v>0</v>
      </c>
      <c r="AC173" s="39"/>
      <c r="AD173" s="1"/>
      <c r="AE173" s="1"/>
      <c r="AF173" s="1"/>
    </row>
    <row r="174" ht="15.75" customHeight="1">
      <c r="B174" s="181"/>
      <c r="C174" s="1"/>
      <c r="D174" s="1"/>
      <c r="E174" s="1"/>
      <c r="F174" s="73" t="str">
        <f t="shared" si="201"/>
        <v>SLICK</v>
      </c>
      <c r="G174" s="142"/>
      <c r="H174" s="169">
        <f t="shared" ref="H174:P174" si="213">IFERROR(IF(VLOOKUP($F174,$F$124:$AA$139,H$141,FALSE)=0,"",IF(VLOOKUP($F174,$F$124:$AA$139,H$141,FALSE)&lt;H$166,1,0)),"")</f>
        <v>0</v>
      </c>
      <c r="I174" s="169">
        <f t="shared" si="213"/>
        <v>0</v>
      </c>
      <c r="J174" s="169">
        <f t="shared" si="213"/>
        <v>0</v>
      </c>
      <c r="K174" s="169">
        <f t="shared" si="213"/>
        <v>0</v>
      </c>
      <c r="L174" s="169">
        <f t="shared" si="213"/>
        <v>0</v>
      </c>
      <c r="M174" s="169">
        <f t="shared" si="213"/>
        <v>0</v>
      </c>
      <c r="N174" s="169">
        <f t="shared" si="213"/>
        <v>0</v>
      </c>
      <c r="O174" s="169">
        <f t="shared" si="213"/>
        <v>0</v>
      </c>
      <c r="P174" s="169">
        <f t="shared" si="213"/>
        <v>0</v>
      </c>
      <c r="Q174" s="51"/>
      <c r="R174" s="51"/>
      <c r="S174" s="169">
        <f t="shared" ref="S174:AA174" si="214">IFERROR(IF(VLOOKUP($F174,$F$124:$AA$139,S$141,FALSE)=0,"",IF(VLOOKUP($F174,$F$124:$AA$139,S$141,FALSE)&lt;S$166,1,0)),"")</f>
        <v>0</v>
      </c>
      <c r="T174" s="169">
        <f t="shared" si="214"/>
        <v>0</v>
      </c>
      <c r="U174" s="169">
        <f t="shared" si="214"/>
        <v>0</v>
      </c>
      <c r="V174" s="169">
        <f t="shared" si="214"/>
        <v>0</v>
      </c>
      <c r="W174" s="169">
        <f t="shared" si="214"/>
        <v>0</v>
      </c>
      <c r="X174" s="169">
        <f t="shared" si="214"/>
        <v>0</v>
      </c>
      <c r="Y174" s="169">
        <f t="shared" si="214"/>
        <v>0</v>
      </c>
      <c r="Z174" s="169">
        <f t="shared" si="214"/>
        <v>0</v>
      </c>
      <c r="AA174" s="169">
        <f t="shared" si="214"/>
        <v>0</v>
      </c>
      <c r="AB174" s="75">
        <f t="shared" si="204"/>
        <v>0</v>
      </c>
      <c r="AC174" s="39"/>
      <c r="AD174" s="1"/>
      <c r="AE174" s="1"/>
      <c r="AF174" s="1"/>
    </row>
    <row r="175" ht="15.75" customHeight="1">
      <c r="B175" s="181"/>
      <c r="C175" s="1"/>
      <c r="D175" s="1"/>
      <c r="E175" s="1"/>
      <c r="F175" s="73" t="str">
        <f t="shared" si="201"/>
        <v>PAXTON</v>
      </c>
      <c r="G175" s="142"/>
      <c r="H175" s="169">
        <f t="shared" ref="H175:P175" si="215">IFERROR(IF(VLOOKUP($F175,$F$124:$AA$139,H$141,FALSE)=0,"",IF(VLOOKUP($F175,$F$124:$AA$139,H$141,FALSE)&lt;H$166,1,0)),"")</f>
        <v>0</v>
      </c>
      <c r="I175" s="169">
        <f t="shared" si="215"/>
        <v>0</v>
      </c>
      <c r="J175" s="169">
        <f t="shared" si="215"/>
        <v>0</v>
      </c>
      <c r="K175" s="169">
        <f t="shared" si="215"/>
        <v>0</v>
      </c>
      <c r="L175" s="169">
        <f t="shared" si="215"/>
        <v>0</v>
      </c>
      <c r="M175" s="169">
        <f t="shared" si="215"/>
        <v>0</v>
      </c>
      <c r="N175" s="169">
        <f t="shared" si="215"/>
        <v>0</v>
      </c>
      <c r="O175" s="169">
        <f t="shared" si="215"/>
        <v>0</v>
      </c>
      <c r="P175" s="169">
        <f t="shared" si="215"/>
        <v>1</v>
      </c>
      <c r="Q175" s="51"/>
      <c r="R175" s="51"/>
      <c r="S175" s="169">
        <f t="shared" ref="S175:AA175" si="216">IFERROR(IF(VLOOKUP($F175,$F$124:$AA$139,S$141,FALSE)=0,"",IF(VLOOKUP($F175,$F$124:$AA$139,S$141,FALSE)&lt;S$166,1,0)),"")</f>
        <v>0</v>
      </c>
      <c r="T175" s="169">
        <f t="shared" si="216"/>
        <v>0</v>
      </c>
      <c r="U175" s="169">
        <f t="shared" si="216"/>
        <v>0</v>
      </c>
      <c r="V175" s="169">
        <f t="shared" si="216"/>
        <v>0</v>
      </c>
      <c r="W175" s="169">
        <f t="shared" si="216"/>
        <v>0</v>
      </c>
      <c r="X175" s="169">
        <f t="shared" si="216"/>
        <v>1</v>
      </c>
      <c r="Y175" s="169">
        <f t="shared" si="216"/>
        <v>0</v>
      </c>
      <c r="Z175" s="169">
        <f t="shared" si="216"/>
        <v>0</v>
      </c>
      <c r="AA175" s="169">
        <f t="shared" si="216"/>
        <v>0</v>
      </c>
      <c r="AB175" s="75">
        <f t="shared" si="204"/>
        <v>2</v>
      </c>
      <c r="AC175" s="39"/>
      <c r="AD175" s="1"/>
      <c r="AE175" s="1"/>
      <c r="AF175" s="1"/>
    </row>
    <row r="176" ht="15.75" customHeight="1">
      <c r="B176" s="181"/>
      <c r="C176" s="1"/>
      <c r="D176" s="1"/>
      <c r="E176" s="1"/>
      <c r="F176" s="73" t="str">
        <f t="shared" si="201"/>
        <v>DYLAN</v>
      </c>
      <c r="G176" s="142"/>
      <c r="H176" s="169">
        <f t="shared" ref="H176:P176" si="217">IFERROR(IF(VLOOKUP($F176,$F$124:$AA$139,H$141,FALSE)=0,"",IF(VLOOKUP($F176,$F$124:$AA$139,H$141,FALSE)&lt;H$166,1,0)),"")</f>
        <v>0</v>
      </c>
      <c r="I176" s="169">
        <f t="shared" si="217"/>
        <v>0</v>
      </c>
      <c r="J176" s="169">
        <f t="shared" si="217"/>
        <v>0</v>
      </c>
      <c r="K176" s="169">
        <f t="shared" si="217"/>
        <v>0</v>
      </c>
      <c r="L176" s="169">
        <f t="shared" si="217"/>
        <v>0</v>
      </c>
      <c r="M176" s="169">
        <f t="shared" si="217"/>
        <v>0</v>
      </c>
      <c r="N176" s="169">
        <f t="shared" si="217"/>
        <v>0</v>
      </c>
      <c r="O176" s="169">
        <f t="shared" si="217"/>
        <v>0</v>
      </c>
      <c r="P176" s="169">
        <f t="shared" si="217"/>
        <v>0</v>
      </c>
      <c r="Q176" s="51"/>
      <c r="R176" s="51"/>
      <c r="S176" s="169">
        <f t="shared" ref="S176:AA176" si="218">IFERROR(IF(VLOOKUP($F176,$F$124:$AA$139,S$141,FALSE)=0,"",IF(VLOOKUP($F176,$F$124:$AA$139,S$141,FALSE)&lt;S$166,1,0)),"")</f>
        <v>0</v>
      </c>
      <c r="T176" s="169">
        <f t="shared" si="218"/>
        <v>0</v>
      </c>
      <c r="U176" s="169">
        <f t="shared" si="218"/>
        <v>0</v>
      </c>
      <c r="V176" s="169">
        <f t="shared" si="218"/>
        <v>0</v>
      </c>
      <c r="W176" s="169">
        <f t="shared" si="218"/>
        <v>0</v>
      </c>
      <c r="X176" s="169">
        <f t="shared" si="218"/>
        <v>0</v>
      </c>
      <c r="Y176" s="169">
        <f t="shared" si="218"/>
        <v>0</v>
      </c>
      <c r="Z176" s="169">
        <f t="shared" si="218"/>
        <v>0</v>
      </c>
      <c r="AA176" s="169">
        <f t="shared" si="218"/>
        <v>0</v>
      </c>
      <c r="AB176" s="75">
        <f t="shared" si="204"/>
        <v>0</v>
      </c>
      <c r="AC176" s="39"/>
      <c r="AD176" s="1"/>
      <c r="AE176" s="1"/>
      <c r="AF176" s="1"/>
    </row>
    <row r="177" ht="15.75" customHeight="1">
      <c r="B177" s="181"/>
      <c r="C177" s="1"/>
      <c r="D177" s="1"/>
      <c r="E177" s="1"/>
      <c r="F177" s="73" t="str">
        <f t="shared" si="201"/>
        <v>TOM</v>
      </c>
      <c r="G177" s="142"/>
      <c r="H177" s="169">
        <f t="shared" ref="H177:P177" si="219">IFERROR(IF(VLOOKUP($F177,$F$124:$AA$139,H$141,FALSE)=0,"",IF(VLOOKUP($F177,$F$124:$AA$139,H$141,FALSE)&lt;H$166,1,0)),"")</f>
        <v>0</v>
      </c>
      <c r="I177" s="169">
        <f t="shared" si="219"/>
        <v>0</v>
      </c>
      <c r="J177" s="169">
        <f t="shared" si="219"/>
        <v>0</v>
      </c>
      <c r="K177" s="169">
        <f t="shared" si="219"/>
        <v>0</v>
      </c>
      <c r="L177" s="169">
        <f t="shared" si="219"/>
        <v>0</v>
      </c>
      <c r="M177" s="169">
        <f t="shared" si="219"/>
        <v>0</v>
      </c>
      <c r="N177" s="169">
        <f t="shared" si="219"/>
        <v>0</v>
      </c>
      <c r="O177" s="169">
        <f t="shared" si="219"/>
        <v>0</v>
      </c>
      <c r="P177" s="169">
        <f t="shared" si="219"/>
        <v>0</v>
      </c>
      <c r="Q177" s="51"/>
      <c r="R177" s="51"/>
      <c r="S177" s="169">
        <f t="shared" ref="S177:AA177" si="220">IFERROR(IF(VLOOKUP($F177,$F$124:$AA$139,S$141,FALSE)=0,"",IF(VLOOKUP($F177,$F$124:$AA$139,S$141,FALSE)&lt;S$166,1,0)),"")</f>
        <v>0</v>
      </c>
      <c r="T177" s="169">
        <f t="shared" si="220"/>
        <v>0</v>
      </c>
      <c r="U177" s="169">
        <f t="shared" si="220"/>
        <v>0</v>
      </c>
      <c r="V177" s="169">
        <f t="shared" si="220"/>
        <v>0</v>
      </c>
      <c r="W177" s="169">
        <f t="shared" si="220"/>
        <v>0</v>
      </c>
      <c r="X177" s="169">
        <f t="shared" si="220"/>
        <v>0</v>
      </c>
      <c r="Y177" s="169">
        <f t="shared" si="220"/>
        <v>0</v>
      </c>
      <c r="Z177" s="169">
        <f t="shared" si="220"/>
        <v>0</v>
      </c>
      <c r="AA177" s="169">
        <f t="shared" si="220"/>
        <v>0</v>
      </c>
      <c r="AB177" s="75">
        <f t="shared" si="204"/>
        <v>0</v>
      </c>
      <c r="AC177" s="39"/>
      <c r="AD177" s="1"/>
      <c r="AE177" s="1"/>
      <c r="AF177" s="1"/>
    </row>
    <row r="178" ht="15.75" customHeight="1">
      <c r="B178" s="181"/>
      <c r="C178" s="1"/>
      <c r="D178" s="1"/>
      <c r="E178" s="1"/>
      <c r="F178" s="73" t="str">
        <f t="shared" si="201"/>
        <v>ERIC</v>
      </c>
      <c r="G178" s="142"/>
      <c r="H178" s="169">
        <f t="shared" ref="H178:P178" si="221">IFERROR(IF(VLOOKUP($F178,$F$124:$AA$139,H$141,FALSE)=0,"",IF(VLOOKUP($F178,$F$124:$AA$139,H$141,FALSE)&lt;H$166,1,0)),"")</f>
        <v>0</v>
      </c>
      <c r="I178" s="169">
        <f t="shared" si="221"/>
        <v>0</v>
      </c>
      <c r="J178" s="169">
        <f t="shared" si="221"/>
        <v>0</v>
      </c>
      <c r="K178" s="169">
        <f t="shared" si="221"/>
        <v>1</v>
      </c>
      <c r="L178" s="169">
        <f t="shared" si="221"/>
        <v>0</v>
      </c>
      <c r="M178" s="169">
        <f t="shared" si="221"/>
        <v>0</v>
      </c>
      <c r="N178" s="169">
        <f t="shared" si="221"/>
        <v>0</v>
      </c>
      <c r="O178" s="169">
        <f t="shared" si="221"/>
        <v>0</v>
      </c>
      <c r="P178" s="169">
        <f t="shared" si="221"/>
        <v>0</v>
      </c>
      <c r="Q178" s="51"/>
      <c r="R178" s="51"/>
      <c r="S178" s="169">
        <f t="shared" ref="S178:AA178" si="222">IFERROR(IF(VLOOKUP($F178,$F$124:$AA$139,S$141,FALSE)=0,"",IF(VLOOKUP($F178,$F$124:$AA$139,S$141,FALSE)&lt;S$166,1,0)),"")</f>
        <v>0</v>
      </c>
      <c r="T178" s="169">
        <f t="shared" si="222"/>
        <v>0</v>
      </c>
      <c r="U178" s="169">
        <f t="shared" si="222"/>
        <v>0</v>
      </c>
      <c r="V178" s="169">
        <f t="shared" si="222"/>
        <v>0</v>
      </c>
      <c r="W178" s="169">
        <f t="shared" si="222"/>
        <v>0</v>
      </c>
      <c r="X178" s="169">
        <f t="shared" si="222"/>
        <v>0</v>
      </c>
      <c r="Y178" s="169">
        <f t="shared" si="222"/>
        <v>0</v>
      </c>
      <c r="Z178" s="169">
        <f t="shared" si="222"/>
        <v>0</v>
      </c>
      <c r="AA178" s="169">
        <f t="shared" si="222"/>
        <v>0</v>
      </c>
      <c r="AB178" s="75">
        <f t="shared" si="204"/>
        <v>1</v>
      </c>
      <c r="AC178" s="39"/>
      <c r="AD178" s="1"/>
      <c r="AE178" s="1"/>
      <c r="AF178" s="1"/>
    </row>
    <row r="179" ht="15.75" customHeight="1">
      <c r="B179" s="181"/>
      <c r="C179" s="1"/>
      <c r="D179" s="1"/>
      <c r="E179" s="1"/>
      <c r="F179" s="73" t="str">
        <f t="shared" si="201"/>
        <v>MAX</v>
      </c>
      <c r="G179" s="142"/>
      <c r="H179" s="169">
        <f t="shared" ref="H179:P179" si="223">IFERROR(IF(VLOOKUP($F179,$F$124:$AA$139,H$141,FALSE)=0,"",IF(VLOOKUP($F179,$F$124:$AA$139,H$141,FALSE)&lt;H$166,1,0)),"")</f>
        <v>0</v>
      </c>
      <c r="I179" s="169">
        <f t="shared" si="223"/>
        <v>0</v>
      </c>
      <c r="J179" s="169">
        <f t="shared" si="223"/>
        <v>0</v>
      </c>
      <c r="K179" s="169">
        <f t="shared" si="223"/>
        <v>0</v>
      </c>
      <c r="L179" s="169">
        <f t="shared" si="223"/>
        <v>0</v>
      </c>
      <c r="M179" s="169">
        <f t="shared" si="223"/>
        <v>0</v>
      </c>
      <c r="N179" s="169">
        <f t="shared" si="223"/>
        <v>0</v>
      </c>
      <c r="O179" s="169">
        <f t="shared" si="223"/>
        <v>0</v>
      </c>
      <c r="P179" s="169">
        <f t="shared" si="223"/>
        <v>0</v>
      </c>
      <c r="Q179" s="51"/>
      <c r="R179" s="51"/>
      <c r="S179" s="169">
        <f t="shared" ref="S179:AA179" si="224">IFERROR(IF(VLOOKUP($F179,$F$124:$AA$139,S$141,FALSE)=0,"",IF(VLOOKUP($F179,$F$124:$AA$139,S$141,FALSE)&lt;S$166,1,0)),"")</f>
        <v>0</v>
      </c>
      <c r="T179" s="169">
        <f t="shared" si="224"/>
        <v>0</v>
      </c>
      <c r="U179" s="169">
        <f t="shared" si="224"/>
        <v>0</v>
      </c>
      <c r="V179" s="169">
        <f t="shared" si="224"/>
        <v>0</v>
      </c>
      <c r="W179" s="169">
        <f t="shared" si="224"/>
        <v>0</v>
      </c>
      <c r="X179" s="169">
        <f t="shared" si="224"/>
        <v>0</v>
      </c>
      <c r="Y179" s="169">
        <f t="shared" si="224"/>
        <v>0</v>
      </c>
      <c r="Z179" s="169">
        <f t="shared" si="224"/>
        <v>0</v>
      </c>
      <c r="AA179" s="169">
        <f t="shared" si="224"/>
        <v>0</v>
      </c>
      <c r="AB179" s="75">
        <f t="shared" si="204"/>
        <v>0</v>
      </c>
      <c r="AC179" s="39"/>
      <c r="AD179" s="1"/>
      <c r="AE179" s="1"/>
      <c r="AF179" s="1"/>
    </row>
    <row r="180" ht="15.75" customHeight="1">
      <c r="B180" s="181"/>
      <c r="C180" s="1"/>
      <c r="D180" s="1"/>
      <c r="E180" s="1"/>
      <c r="F180" s="73" t="str">
        <f t="shared" si="201"/>
        <v>KIP</v>
      </c>
      <c r="G180" s="142"/>
      <c r="H180" s="169">
        <f t="shared" ref="H180:P180" si="225">IFERROR(IF(VLOOKUP($F180,$F$124:$AA$139,H$141,FALSE)=0,"",IF(VLOOKUP($F180,$F$124:$AA$139,H$141,FALSE)&lt;H$166,1,0)),"")</f>
        <v>0</v>
      </c>
      <c r="I180" s="169">
        <f t="shared" si="225"/>
        <v>0</v>
      </c>
      <c r="J180" s="169">
        <f t="shared" si="225"/>
        <v>0</v>
      </c>
      <c r="K180" s="169">
        <f t="shared" si="225"/>
        <v>0</v>
      </c>
      <c r="L180" s="169">
        <f t="shared" si="225"/>
        <v>0</v>
      </c>
      <c r="M180" s="169">
        <f t="shared" si="225"/>
        <v>0</v>
      </c>
      <c r="N180" s="169">
        <f t="shared" si="225"/>
        <v>0</v>
      </c>
      <c r="O180" s="169">
        <f t="shared" si="225"/>
        <v>0</v>
      </c>
      <c r="P180" s="169">
        <f t="shared" si="225"/>
        <v>0</v>
      </c>
      <c r="Q180" s="51"/>
      <c r="R180" s="51"/>
      <c r="S180" s="169">
        <f t="shared" ref="S180:AA180" si="226">IFERROR(IF(VLOOKUP($F180,$F$124:$AA$139,S$141,FALSE)=0,"",IF(VLOOKUP($F180,$F$124:$AA$139,S$141,FALSE)&lt;S$166,1,0)),"")</f>
        <v>0</v>
      </c>
      <c r="T180" s="169">
        <f t="shared" si="226"/>
        <v>0</v>
      </c>
      <c r="U180" s="169">
        <f t="shared" si="226"/>
        <v>0</v>
      </c>
      <c r="V180" s="169">
        <f t="shared" si="226"/>
        <v>0</v>
      </c>
      <c r="W180" s="169">
        <f t="shared" si="226"/>
        <v>0</v>
      </c>
      <c r="X180" s="169">
        <f t="shared" si="226"/>
        <v>0</v>
      </c>
      <c r="Y180" s="169">
        <f t="shared" si="226"/>
        <v>0</v>
      </c>
      <c r="Z180" s="169">
        <f t="shared" si="226"/>
        <v>0</v>
      </c>
      <c r="AA180" s="169">
        <f t="shared" si="226"/>
        <v>0</v>
      </c>
      <c r="AB180" s="75">
        <f t="shared" si="204"/>
        <v>0</v>
      </c>
      <c r="AC180" s="39"/>
      <c r="AD180" s="1"/>
      <c r="AE180" s="1"/>
      <c r="AF180" s="1"/>
    </row>
    <row r="181" ht="15.75" customHeight="1">
      <c r="B181" s="181"/>
      <c r="C181" s="1"/>
      <c r="D181" s="1"/>
      <c r="E181" s="1"/>
      <c r="F181" s="73" t="str">
        <f t="shared" si="201"/>
        <v>SHEPP</v>
      </c>
      <c r="G181" s="142"/>
      <c r="H181" s="169">
        <f t="shared" ref="H181:P181" si="227">IFERROR(IF(VLOOKUP($F181,$F$124:$AA$139,H$141,FALSE)=0,"",IF(VLOOKUP($F181,$F$124:$AA$139,H$141,FALSE)&lt;H$166,1,0)),"")</f>
        <v>0</v>
      </c>
      <c r="I181" s="169">
        <f t="shared" si="227"/>
        <v>0</v>
      </c>
      <c r="J181" s="169">
        <f t="shared" si="227"/>
        <v>0</v>
      </c>
      <c r="K181" s="169">
        <f t="shared" si="227"/>
        <v>0</v>
      </c>
      <c r="L181" s="169">
        <f t="shared" si="227"/>
        <v>0</v>
      </c>
      <c r="M181" s="169">
        <f t="shared" si="227"/>
        <v>0</v>
      </c>
      <c r="N181" s="169">
        <f t="shared" si="227"/>
        <v>0</v>
      </c>
      <c r="O181" s="169">
        <f t="shared" si="227"/>
        <v>0</v>
      </c>
      <c r="P181" s="169">
        <f t="shared" si="227"/>
        <v>0</v>
      </c>
      <c r="Q181" s="51"/>
      <c r="R181" s="51"/>
      <c r="S181" s="169">
        <f t="shared" ref="S181:AA181" si="228">IFERROR(IF(VLOOKUP($F181,$F$124:$AA$139,S$141,FALSE)=0,"",IF(VLOOKUP($F181,$F$124:$AA$139,S$141,FALSE)&lt;S$166,1,0)),"")</f>
        <v>0</v>
      </c>
      <c r="T181" s="169">
        <f t="shared" si="228"/>
        <v>0</v>
      </c>
      <c r="U181" s="169">
        <f t="shared" si="228"/>
        <v>0</v>
      </c>
      <c r="V181" s="169">
        <f t="shared" si="228"/>
        <v>0</v>
      </c>
      <c r="W181" s="169">
        <f t="shared" si="228"/>
        <v>0</v>
      </c>
      <c r="X181" s="169">
        <f t="shared" si="228"/>
        <v>0</v>
      </c>
      <c r="Y181" s="169">
        <f t="shared" si="228"/>
        <v>0</v>
      </c>
      <c r="Z181" s="169">
        <f t="shared" si="228"/>
        <v>0</v>
      </c>
      <c r="AA181" s="169">
        <f t="shared" si="228"/>
        <v>0</v>
      </c>
      <c r="AB181" s="75">
        <f t="shared" si="204"/>
        <v>0</v>
      </c>
      <c r="AC181" s="39"/>
      <c r="AD181" s="1"/>
      <c r="AE181" s="1"/>
      <c r="AF181" s="1"/>
    </row>
    <row r="182" ht="15.75" customHeight="1">
      <c r="B182" s="181"/>
      <c r="C182" s="1"/>
      <c r="D182" s="1"/>
      <c r="E182" s="1"/>
      <c r="F182" s="73" t="str">
        <f t="shared" si="201"/>
        <v>SKYLAR</v>
      </c>
      <c r="G182" s="142"/>
      <c r="H182" s="169">
        <f t="shared" ref="H182:P182" si="229">IFERROR(IF(VLOOKUP($F182,$F$124:$AA$139,H$141,FALSE)=0,"",IF(VLOOKUP($F182,$F$124:$AA$139,H$141,FALSE)&lt;H$166,1,0)),"")</f>
        <v>0</v>
      </c>
      <c r="I182" s="169">
        <f t="shared" si="229"/>
        <v>0</v>
      </c>
      <c r="J182" s="169">
        <f t="shared" si="229"/>
        <v>0</v>
      </c>
      <c r="K182" s="169">
        <f t="shared" si="229"/>
        <v>0</v>
      </c>
      <c r="L182" s="169">
        <f t="shared" si="229"/>
        <v>0</v>
      </c>
      <c r="M182" s="169">
        <f t="shared" si="229"/>
        <v>0</v>
      </c>
      <c r="N182" s="169">
        <f t="shared" si="229"/>
        <v>0</v>
      </c>
      <c r="O182" s="169">
        <f t="shared" si="229"/>
        <v>0</v>
      </c>
      <c r="P182" s="169">
        <f t="shared" si="229"/>
        <v>0</v>
      </c>
      <c r="Q182" s="51"/>
      <c r="R182" s="51"/>
      <c r="S182" s="169">
        <f t="shared" ref="S182:AA182" si="230">IFERROR(IF(VLOOKUP($F182,$F$124:$AA$139,S$141,FALSE)=0,"",IF(VLOOKUP($F182,$F$124:$AA$139,S$141,FALSE)&lt;S$166,1,0)),"")</f>
        <v>0</v>
      </c>
      <c r="T182" s="169">
        <f t="shared" si="230"/>
        <v>0</v>
      </c>
      <c r="U182" s="169">
        <f t="shared" si="230"/>
        <v>0</v>
      </c>
      <c r="V182" s="169">
        <f t="shared" si="230"/>
        <v>0</v>
      </c>
      <c r="W182" s="169">
        <f t="shared" si="230"/>
        <v>0</v>
      </c>
      <c r="X182" s="169">
        <f t="shared" si="230"/>
        <v>0</v>
      </c>
      <c r="Y182" s="169">
        <f t="shared" si="230"/>
        <v>0</v>
      </c>
      <c r="Z182" s="169">
        <f t="shared" si="230"/>
        <v>0</v>
      </c>
      <c r="AA182" s="169">
        <f t="shared" si="230"/>
        <v>0</v>
      </c>
      <c r="AB182" s="75">
        <f t="shared" si="204"/>
        <v>0</v>
      </c>
      <c r="AC182" s="39"/>
      <c r="AD182" s="1"/>
      <c r="AE182" s="1"/>
      <c r="AF182" s="1"/>
    </row>
    <row r="183" ht="15.75" customHeight="1">
      <c r="B183" s="181"/>
      <c r="C183" s="1"/>
      <c r="D183" s="1"/>
      <c r="E183" s="1"/>
      <c r="F183" s="73" t="str">
        <f t="shared" si="201"/>
        <v>RYAN</v>
      </c>
      <c r="G183" s="142"/>
      <c r="H183" s="169">
        <f t="shared" ref="H183:P183" si="231">IFERROR(IF(VLOOKUP($F183,$F$124:$AA$139,H$141,FALSE)=0,"",IF(VLOOKUP($F183,$F$124:$AA$139,H$141,FALSE)&lt;H$166,1,0)),"")</f>
        <v>0</v>
      </c>
      <c r="I183" s="169">
        <f t="shared" si="231"/>
        <v>0</v>
      </c>
      <c r="J183" s="169">
        <f t="shared" si="231"/>
        <v>0</v>
      </c>
      <c r="K183" s="169">
        <f t="shared" si="231"/>
        <v>0</v>
      </c>
      <c r="L183" s="169">
        <f t="shared" si="231"/>
        <v>0</v>
      </c>
      <c r="M183" s="169">
        <f t="shared" si="231"/>
        <v>0</v>
      </c>
      <c r="N183" s="169">
        <f t="shared" si="231"/>
        <v>0</v>
      </c>
      <c r="O183" s="169">
        <f t="shared" si="231"/>
        <v>0</v>
      </c>
      <c r="P183" s="169">
        <f t="shared" si="231"/>
        <v>0</v>
      </c>
      <c r="Q183" s="51"/>
      <c r="R183" s="51"/>
      <c r="S183" s="169">
        <f t="shared" ref="S183:AA183" si="232">IFERROR(IF(VLOOKUP($F183,$F$124:$AA$139,S$141,FALSE)=0,"",IF(VLOOKUP($F183,$F$124:$AA$139,S$141,FALSE)&lt;S$166,1,0)),"")</f>
        <v>0</v>
      </c>
      <c r="T183" s="169">
        <f t="shared" si="232"/>
        <v>0</v>
      </c>
      <c r="U183" s="169">
        <f t="shared" si="232"/>
        <v>0</v>
      </c>
      <c r="V183" s="169">
        <f t="shared" si="232"/>
        <v>0</v>
      </c>
      <c r="W183" s="169">
        <f t="shared" si="232"/>
        <v>0</v>
      </c>
      <c r="X183" s="169">
        <f t="shared" si="232"/>
        <v>0</v>
      </c>
      <c r="Y183" s="169">
        <f t="shared" si="232"/>
        <v>0</v>
      </c>
      <c r="Z183" s="169">
        <f t="shared" si="232"/>
        <v>0</v>
      </c>
      <c r="AA183" s="169">
        <f t="shared" si="232"/>
        <v>0</v>
      </c>
      <c r="AB183" s="75">
        <f t="shared" si="204"/>
        <v>0</v>
      </c>
      <c r="AC183" s="39"/>
      <c r="AD183" s="1"/>
      <c r="AE183" s="1"/>
      <c r="AF183" s="1"/>
    </row>
    <row r="184" ht="7.5" customHeight="1">
      <c r="B184" s="181"/>
      <c r="C184" s="1"/>
      <c r="D184" s="1"/>
      <c r="E184" s="1"/>
      <c r="F184" s="9"/>
      <c r="G184" s="9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10"/>
      <c r="AC184" s="39"/>
      <c r="AD184" s="1"/>
      <c r="AE184" s="1"/>
      <c r="AF184" s="1"/>
    </row>
    <row r="185" ht="24.75" customHeight="1">
      <c r="B185" s="181"/>
      <c r="C185" s="1"/>
      <c r="D185" s="1"/>
      <c r="E185" s="1"/>
      <c r="F185" s="180" t="s">
        <v>31</v>
      </c>
      <c r="G185" s="142"/>
      <c r="H185" s="66">
        <f t="shared" ref="H185:P185" si="233">SUM(H168:H183)</f>
        <v>0</v>
      </c>
      <c r="I185" s="66">
        <f t="shared" si="233"/>
        <v>2</v>
      </c>
      <c r="J185" s="66">
        <f t="shared" si="233"/>
        <v>1</v>
      </c>
      <c r="K185" s="66">
        <f t="shared" si="233"/>
        <v>2</v>
      </c>
      <c r="L185" s="66">
        <f t="shared" si="233"/>
        <v>1</v>
      </c>
      <c r="M185" s="66">
        <f t="shared" si="233"/>
        <v>1</v>
      </c>
      <c r="N185" s="66">
        <f t="shared" si="233"/>
        <v>0</v>
      </c>
      <c r="O185" s="66">
        <f t="shared" si="233"/>
        <v>0</v>
      </c>
      <c r="P185" s="66">
        <f t="shared" si="233"/>
        <v>2</v>
      </c>
      <c r="Q185" s="1"/>
      <c r="R185" s="1"/>
      <c r="S185" s="66">
        <f t="shared" ref="S185:AB185" si="234">SUM(S168:S183)</f>
        <v>0</v>
      </c>
      <c r="T185" s="66">
        <f t="shared" si="234"/>
        <v>1</v>
      </c>
      <c r="U185" s="66">
        <f t="shared" si="234"/>
        <v>1</v>
      </c>
      <c r="V185" s="66">
        <f t="shared" si="234"/>
        <v>1</v>
      </c>
      <c r="W185" s="66">
        <f t="shared" si="234"/>
        <v>0</v>
      </c>
      <c r="X185" s="66">
        <f t="shared" si="234"/>
        <v>3</v>
      </c>
      <c r="Y185" s="66">
        <f t="shared" si="234"/>
        <v>0</v>
      </c>
      <c r="Z185" s="66">
        <f t="shared" si="234"/>
        <v>0</v>
      </c>
      <c r="AA185" s="66">
        <f t="shared" si="234"/>
        <v>0</v>
      </c>
      <c r="AB185" s="66">
        <f t="shared" si="234"/>
        <v>15</v>
      </c>
      <c r="AC185" s="1"/>
      <c r="AD185" s="1"/>
      <c r="AE185" s="1"/>
      <c r="AF185" s="1"/>
    </row>
    <row r="186" ht="14.25" customHeight="1">
      <c r="B186" s="18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4.25" customHeight="1">
      <c r="B187" s="18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4.25" customHeight="1">
      <c r="B188" s="18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4.25" customHeight="1">
      <c r="B189" s="18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4.25" customHeight="1">
      <c r="B190" s="18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4.25" customHeight="1">
      <c r="B191" s="18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4.25" customHeight="1">
      <c r="B192" s="18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4.25" customHeight="1">
      <c r="B193" s="18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4.25" customHeight="1">
      <c r="B194" s="18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4.25" customHeight="1">
      <c r="B195" s="18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4.25" customHeight="1">
      <c r="B196" s="18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4.25" customHeight="1">
      <c r="B197" s="18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4.25" customHeight="1">
      <c r="B198" s="18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4.25" customHeight="1">
      <c r="B199" s="18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4.25" customHeight="1">
      <c r="B200" s="18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4.25" customHeight="1">
      <c r="B201" s="18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4.25" customHeight="1">
      <c r="B202" s="18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4.25" customHeight="1">
      <c r="B203" s="18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4.25" customHeight="1">
      <c r="B204" s="18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4.25" customHeight="1">
      <c r="B205" s="18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4.25" customHeight="1">
      <c r="B206" s="18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4.25" customHeight="1">
      <c r="B207" s="18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4.25" customHeight="1">
      <c r="B208" s="18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4.25" customHeight="1">
      <c r="B209" s="18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4.25" customHeight="1">
      <c r="B210" s="18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4.25" customHeight="1">
      <c r="B211" s="18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4.25" customHeight="1">
      <c r="B212" s="18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4.25" customHeight="1">
      <c r="B213" s="18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4.25" customHeight="1">
      <c r="B214" s="18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4.25" customHeight="1">
      <c r="B215" s="18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4.25" customHeight="1">
      <c r="B216" s="18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4.25" customHeight="1">
      <c r="B217" s="18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4.25" customHeight="1">
      <c r="B218" s="18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4.25" customHeight="1">
      <c r="B219" s="18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4.25" customHeight="1">
      <c r="B220" s="18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4.25" customHeight="1">
      <c r="B221" s="18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4.25" customHeight="1">
      <c r="B222" s="18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4.25" customHeight="1">
      <c r="B223" s="18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4.25" customHeight="1">
      <c r="B224" s="18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4.25" customHeight="1">
      <c r="B225" s="18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4.25" customHeight="1">
      <c r="B226" s="18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4.25" customHeight="1">
      <c r="B227" s="18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4.25" customHeight="1">
      <c r="B228" s="18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4.25" customHeight="1">
      <c r="B229" s="18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4.25" customHeight="1">
      <c r="B230" s="18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4.25" customHeight="1">
      <c r="B231" s="18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4.25" customHeight="1">
      <c r="B232" s="18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4.25" customHeight="1">
      <c r="B233" s="18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4.25" customHeight="1">
      <c r="B234" s="18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4.25" customHeight="1">
      <c r="B235" s="18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4.25" customHeight="1">
      <c r="B236" s="18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4.25" customHeight="1">
      <c r="B237" s="18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4.25" customHeight="1">
      <c r="B238" s="18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4.25" customHeight="1">
      <c r="B239" s="18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4.25" customHeight="1">
      <c r="B240" s="18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4.25" customHeight="1">
      <c r="B241" s="18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4.25" customHeight="1">
      <c r="B242" s="18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4.25" customHeight="1">
      <c r="B243" s="18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4.25" customHeight="1">
      <c r="B244" s="18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4.25" customHeight="1">
      <c r="B245" s="18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4.25" customHeight="1">
      <c r="B246" s="18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4.25" customHeight="1">
      <c r="B247" s="18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4.25" customHeight="1">
      <c r="B248" s="18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4.25" customHeight="1">
      <c r="B249" s="18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4.25" customHeight="1">
      <c r="B250" s="18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4.25" customHeight="1">
      <c r="B251" s="18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4.25" customHeight="1">
      <c r="B252" s="18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4.25" customHeight="1">
      <c r="B253" s="18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4.25" customHeight="1">
      <c r="B254" s="18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4.25" customHeight="1">
      <c r="B255" s="18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4.25" customHeight="1">
      <c r="B256" s="18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4.25" customHeight="1">
      <c r="B257" s="18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4.25" customHeight="1">
      <c r="B258" s="18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4.25" customHeight="1">
      <c r="B259" s="18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4.25" customHeight="1">
      <c r="B260" s="18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4.25" customHeight="1">
      <c r="B261" s="18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4.25" customHeight="1">
      <c r="B262" s="18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4.25" customHeight="1">
      <c r="B263" s="18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4.25" customHeight="1">
      <c r="B264" s="18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4.25" customHeight="1">
      <c r="B265" s="18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4.25" customHeight="1">
      <c r="B266" s="18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4.25" customHeight="1">
      <c r="B267" s="18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4.25" customHeight="1">
      <c r="B268" s="18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4.25" customHeight="1">
      <c r="B269" s="18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4.25" customHeight="1">
      <c r="B270" s="18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4.25" customHeight="1">
      <c r="B271" s="18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4.25" customHeight="1">
      <c r="B272" s="18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4.25" customHeight="1">
      <c r="B273" s="18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4.25" customHeight="1">
      <c r="B274" s="18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4.25" customHeight="1">
      <c r="B275" s="18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4.25" customHeight="1">
      <c r="B276" s="18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4.25" customHeight="1">
      <c r="B277" s="18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4.25" customHeight="1">
      <c r="B278" s="18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4.25" customHeight="1">
      <c r="B279" s="18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4.25" customHeight="1">
      <c r="B280" s="18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4.25" customHeight="1">
      <c r="B281" s="18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4.25" customHeight="1">
      <c r="B282" s="18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4.25" customHeight="1">
      <c r="B283" s="18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4.25" customHeight="1">
      <c r="B284" s="18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4.25" customHeight="1">
      <c r="B285" s="18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4.25" customHeight="1">
      <c r="B286" s="18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4.25" customHeight="1">
      <c r="B287" s="18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4.25" customHeight="1">
      <c r="B288" s="18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4.25" customHeight="1">
      <c r="B289" s="18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4.25" customHeight="1">
      <c r="B290" s="18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4.25" customHeight="1">
      <c r="B291" s="18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4.25" customHeight="1">
      <c r="B292" s="18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4.25" customHeight="1">
      <c r="B293" s="18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4.25" customHeight="1">
      <c r="B294" s="18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4.25" customHeight="1">
      <c r="B295" s="18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4.25" customHeight="1">
      <c r="B296" s="18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4.25" customHeight="1">
      <c r="B297" s="18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4.25" customHeight="1">
      <c r="B298" s="18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4.25" customHeight="1">
      <c r="B299" s="18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4.25" customHeight="1">
      <c r="B300" s="18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4.25" customHeight="1">
      <c r="B301" s="18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4.25" customHeight="1">
      <c r="B302" s="18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4.25" customHeight="1">
      <c r="B303" s="18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4.25" customHeight="1">
      <c r="B304" s="18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4.25" customHeight="1">
      <c r="B305" s="18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4.25" customHeight="1">
      <c r="B306" s="18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4.25" customHeight="1">
      <c r="B307" s="18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4.25" customHeight="1">
      <c r="B308" s="18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4.25" customHeight="1">
      <c r="B309" s="18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4.25" customHeight="1">
      <c r="B310" s="18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4.25" customHeight="1">
      <c r="B311" s="18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4.25" customHeight="1">
      <c r="B312" s="18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4.25" customHeight="1">
      <c r="B313" s="18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4.25" customHeight="1">
      <c r="B314" s="18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4.25" customHeight="1">
      <c r="B315" s="18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4.25" customHeight="1">
      <c r="B316" s="18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4.25" customHeight="1">
      <c r="B317" s="18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4.25" customHeight="1">
      <c r="B318" s="18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4.25" customHeight="1">
      <c r="B319" s="18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4.25" customHeight="1">
      <c r="B320" s="18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4.25" customHeight="1">
      <c r="B321" s="18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4.25" customHeight="1">
      <c r="B322" s="18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4.25" customHeight="1">
      <c r="B323" s="18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4.25" customHeight="1">
      <c r="B324" s="18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4.25" customHeight="1">
      <c r="B325" s="18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4.25" customHeight="1">
      <c r="B326" s="18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4.25" customHeight="1">
      <c r="B327" s="18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4.25" customHeight="1">
      <c r="B328" s="18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4.25" customHeight="1">
      <c r="B329" s="18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4.25" customHeight="1">
      <c r="B330" s="18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4.25" customHeight="1">
      <c r="B331" s="18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4.25" customHeight="1">
      <c r="B332" s="18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4.25" customHeight="1">
      <c r="B333" s="18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4.25" customHeight="1">
      <c r="B334" s="18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4.25" customHeight="1">
      <c r="B335" s="18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4.25" customHeight="1">
      <c r="B336" s="18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4.25" customHeight="1">
      <c r="B337" s="18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4.25" customHeight="1">
      <c r="B338" s="18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4.25" customHeight="1">
      <c r="B339" s="18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4.25" customHeight="1">
      <c r="B340" s="18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4.25" customHeight="1">
      <c r="B341" s="18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4.25" customHeight="1">
      <c r="B342" s="18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4.25" customHeight="1">
      <c r="B343" s="18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4.25" customHeight="1">
      <c r="B344" s="18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4.25" customHeight="1">
      <c r="B345" s="18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4.25" customHeight="1">
      <c r="B346" s="18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4.25" customHeight="1">
      <c r="B347" s="18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4.25" customHeight="1">
      <c r="B348" s="18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4.25" customHeight="1">
      <c r="B349" s="18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4.25" customHeight="1">
      <c r="B350" s="18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4.25" customHeight="1">
      <c r="B351" s="18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4.25" customHeight="1">
      <c r="B352" s="18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4.25" customHeight="1">
      <c r="B353" s="18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4.25" customHeight="1">
      <c r="B354" s="18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4.25" customHeight="1">
      <c r="B355" s="18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4.25" customHeight="1">
      <c r="B356" s="18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4.25" customHeight="1">
      <c r="B357" s="18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4.25" customHeight="1">
      <c r="B358" s="18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4.25" customHeight="1">
      <c r="B359" s="18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4.25" customHeight="1">
      <c r="B360" s="18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B361" s="181"/>
    </row>
    <row r="362" ht="15.75" customHeight="1">
      <c r="B362" s="181"/>
    </row>
    <row r="363" ht="15.75" customHeight="1">
      <c r="B363" s="181"/>
    </row>
    <row r="364" ht="15.75" customHeight="1">
      <c r="B364" s="181"/>
    </row>
    <row r="365" ht="15.75" customHeight="1">
      <c r="B365" s="181"/>
    </row>
    <row r="366" ht="15.75" customHeight="1">
      <c r="B366" s="181"/>
    </row>
    <row r="367" ht="15.75" customHeight="1">
      <c r="B367" s="181"/>
    </row>
    <row r="368" ht="15.75" customHeight="1">
      <c r="B368" s="181"/>
    </row>
    <row r="369" ht="15.75" customHeight="1">
      <c r="B369" s="181"/>
    </row>
    <row r="370" ht="15.75" customHeight="1">
      <c r="B370" s="181"/>
    </row>
    <row r="371" ht="15.75" customHeight="1">
      <c r="B371" s="181"/>
    </row>
    <row r="372" ht="15.75" customHeight="1">
      <c r="B372" s="181"/>
    </row>
    <row r="373" ht="15.75" customHeight="1">
      <c r="B373" s="181"/>
    </row>
    <row r="374" ht="15.75" customHeight="1">
      <c r="B374" s="181"/>
    </row>
    <row r="375" ht="15.75" customHeight="1">
      <c r="B375" s="181"/>
    </row>
    <row r="376" ht="15.75" customHeight="1">
      <c r="B376" s="181"/>
    </row>
    <row r="377" ht="15.75" customHeight="1">
      <c r="B377" s="181"/>
    </row>
    <row r="378" ht="15.75" customHeight="1">
      <c r="B378" s="181"/>
    </row>
    <row r="379" ht="15.75" customHeight="1">
      <c r="B379" s="181"/>
    </row>
    <row r="380" ht="15.75" customHeight="1">
      <c r="B380" s="181"/>
    </row>
    <row r="381" ht="15.75" customHeight="1">
      <c r="B381" s="181"/>
    </row>
    <row r="382" ht="15.75" customHeight="1">
      <c r="B382" s="181"/>
    </row>
    <row r="383" ht="15.75" customHeight="1">
      <c r="B383" s="181"/>
    </row>
    <row r="384" ht="15.75" customHeight="1">
      <c r="B384" s="181"/>
    </row>
    <row r="385" ht="15.75" customHeight="1">
      <c r="B385" s="181"/>
    </row>
    <row r="386" ht="15.75" customHeight="1">
      <c r="B386" s="181"/>
    </row>
    <row r="387" ht="15.75" customHeight="1">
      <c r="B387" s="181"/>
    </row>
    <row r="388" ht="15.75" customHeight="1">
      <c r="B388" s="181"/>
    </row>
    <row r="389" ht="15.75" customHeight="1">
      <c r="B389" s="181"/>
    </row>
    <row r="390" ht="15.75" customHeight="1">
      <c r="B390" s="181"/>
    </row>
    <row r="391" ht="15.75" customHeight="1">
      <c r="B391" s="181"/>
    </row>
    <row r="392" ht="15.75" customHeight="1">
      <c r="B392" s="181"/>
    </row>
    <row r="393" ht="15.75" customHeight="1">
      <c r="B393" s="181"/>
    </row>
    <row r="394" ht="15.75" customHeight="1">
      <c r="B394" s="181"/>
    </row>
    <row r="395" ht="15.75" customHeight="1">
      <c r="B395" s="181"/>
    </row>
    <row r="396" ht="15.75" customHeight="1">
      <c r="B396" s="181"/>
    </row>
    <row r="397" ht="15.75" customHeight="1">
      <c r="B397" s="181"/>
    </row>
    <row r="398" ht="15.75" customHeight="1">
      <c r="B398" s="181"/>
    </row>
    <row r="399" ht="15.75" customHeight="1">
      <c r="B399" s="181"/>
    </row>
    <row r="400" ht="15.75" customHeight="1">
      <c r="B400" s="181"/>
    </row>
    <row r="401" ht="15.75" customHeight="1">
      <c r="B401" s="181"/>
    </row>
    <row r="402" ht="15.75" customHeight="1">
      <c r="B402" s="181"/>
    </row>
    <row r="403" ht="15.75" customHeight="1">
      <c r="B403" s="181"/>
    </row>
    <row r="404" ht="15.75" customHeight="1">
      <c r="B404" s="181"/>
    </row>
    <row r="405" ht="15.75" customHeight="1">
      <c r="B405" s="181"/>
    </row>
    <row r="406" ht="15.75" customHeight="1">
      <c r="B406" s="181"/>
    </row>
    <row r="407" ht="15.75" customHeight="1">
      <c r="B407" s="181"/>
    </row>
    <row r="408" ht="15.75" customHeight="1">
      <c r="B408" s="181"/>
    </row>
    <row r="409" ht="15.75" customHeight="1">
      <c r="B409" s="181"/>
    </row>
    <row r="410" ht="15.75" customHeight="1">
      <c r="B410" s="181"/>
    </row>
    <row r="411" ht="15.75" customHeight="1">
      <c r="B411" s="181"/>
    </row>
    <row r="412" ht="15.75" customHeight="1">
      <c r="B412" s="181"/>
    </row>
    <row r="413" ht="15.75" customHeight="1">
      <c r="B413" s="181"/>
    </row>
    <row r="414" ht="15.75" customHeight="1">
      <c r="B414" s="181"/>
    </row>
    <row r="415" ht="15.75" customHeight="1">
      <c r="B415" s="181"/>
    </row>
    <row r="416" ht="15.75" customHeight="1">
      <c r="B416" s="181"/>
    </row>
    <row r="417" ht="15.75" customHeight="1">
      <c r="B417" s="181"/>
    </row>
    <row r="418" ht="15.75" customHeight="1">
      <c r="B418" s="181"/>
    </row>
    <row r="419" ht="15.75" customHeight="1">
      <c r="B419" s="181"/>
    </row>
    <row r="420" ht="15.75" customHeight="1">
      <c r="B420" s="181"/>
    </row>
    <row r="421" ht="15.75" customHeight="1">
      <c r="B421" s="181"/>
    </row>
    <row r="422" ht="15.75" customHeight="1">
      <c r="B422" s="181"/>
    </row>
    <row r="423" ht="15.75" customHeight="1">
      <c r="B423" s="181"/>
    </row>
    <row r="424" ht="15.75" customHeight="1">
      <c r="B424" s="181"/>
    </row>
    <row r="425" ht="15.75" customHeight="1">
      <c r="B425" s="181"/>
    </row>
    <row r="426" ht="15.75" customHeight="1">
      <c r="B426" s="181"/>
    </row>
    <row r="427" ht="15.75" customHeight="1">
      <c r="B427" s="181"/>
    </row>
    <row r="428" ht="15.75" customHeight="1">
      <c r="B428" s="181"/>
    </row>
    <row r="429" ht="15.75" customHeight="1">
      <c r="B429" s="181"/>
    </row>
    <row r="430" ht="15.75" customHeight="1">
      <c r="B430" s="181"/>
    </row>
    <row r="431" ht="15.75" customHeight="1">
      <c r="B431" s="181"/>
    </row>
    <row r="432" ht="15.75" customHeight="1">
      <c r="B432" s="181"/>
    </row>
    <row r="433" ht="15.75" customHeight="1">
      <c r="B433" s="181"/>
    </row>
    <row r="434" ht="15.75" customHeight="1">
      <c r="B434" s="181"/>
    </row>
    <row r="435" ht="15.75" customHeight="1">
      <c r="B435" s="181"/>
    </row>
    <row r="436" ht="15.75" customHeight="1">
      <c r="B436" s="181"/>
    </row>
    <row r="437" ht="15.75" customHeight="1">
      <c r="B437" s="181"/>
    </row>
    <row r="438" ht="15.75" customHeight="1">
      <c r="B438" s="181"/>
    </row>
    <row r="439" ht="15.75" customHeight="1">
      <c r="B439" s="181"/>
    </row>
    <row r="440" ht="15.75" customHeight="1">
      <c r="B440" s="181"/>
    </row>
    <row r="441" ht="15.75" customHeight="1">
      <c r="B441" s="181"/>
    </row>
    <row r="442" ht="15.75" customHeight="1">
      <c r="B442" s="181"/>
    </row>
    <row r="443" ht="15.75" customHeight="1">
      <c r="B443" s="181"/>
    </row>
    <row r="444" ht="15.75" customHeight="1">
      <c r="B444" s="181"/>
    </row>
    <row r="445" ht="15.75" customHeight="1">
      <c r="B445" s="181"/>
    </row>
    <row r="446" ht="15.75" customHeight="1">
      <c r="B446" s="181"/>
    </row>
    <row r="447" ht="15.75" customHeight="1">
      <c r="B447" s="181"/>
    </row>
    <row r="448" ht="15.75" customHeight="1">
      <c r="B448" s="181"/>
    </row>
    <row r="449" ht="15.75" customHeight="1">
      <c r="B449" s="181"/>
    </row>
    <row r="450" ht="15.75" customHeight="1">
      <c r="B450" s="181"/>
    </row>
    <row r="451" ht="15.75" customHeight="1">
      <c r="B451" s="181"/>
    </row>
    <row r="452" ht="15.75" customHeight="1">
      <c r="B452" s="181"/>
    </row>
    <row r="453" ht="15.75" customHeight="1">
      <c r="B453" s="181"/>
    </row>
    <row r="454" ht="15.75" customHeight="1">
      <c r="B454" s="181"/>
    </row>
    <row r="455" ht="15.75" customHeight="1">
      <c r="B455" s="181"/>
    </row>
    <row r="456" ht="15.75" customHeight="1">
      <c r="B456" s="181"/>
    </row>
    <row r="457" ht="15.75" customHeight="1">
      <c r="B457" s="181"/>
    </row>
    <row r="458" ht="15.75" customHeight="1">
      <c r="B458" s="181"/>
    </row>
    <row r="459" ht="15.75" customHeight="1">
      <c r="B459" s="181"/>
    </row>
    <row r="460" ht="15.75" customHeight="1">
      <c r="B460" s="181"/>
    </row>
    <row r="461" ht="15.75" customHeight="1">
      <c r="B461" s="181"/>
    </row>
    <row r="462" ht="15.75" customHeight="1">
      <c r="B462" s="181"/>
    </row>
    <row r="463" ht="15.75" customHeight="1">
      <c r="B463" s="181"/>
    </row>
    <row r="464" ht="15.75" customHeight="1">
      <c r="B464" s="181"/>
    </row>
    <row r="465" ht="15.75" customHeight="1">
      <c r="B465" s="181"/>
    </row>
    <row r="466" ht="15.75" customHeight="1">
      <c r="B466" s="181"/>
    </row>
    <row r="467" ht="15.75" customHeight="1">
      <c r="B467" s="181"/>
    </row>
    <row r="468" ht="15.75" customHeight="1">
      <c r="B468" s="181"/>
    </row>
    <row r="469" ht="15.75" customHeight="1">
      <c r="B469" s="181"/>
    </row>
    <row r="470" ht="15.75" customHeight="1">
      <c r="B470" s="181"/>
    </row>
    <row r="471" ht="15.75" customHeight="1">
      <c r="B471" s="181"/>
    </row>
    <row r="472" ht="15.75" customHeight="1">
      <c r="B472" s="181"/>
    </row>
    <row r="473" ht="15.75" customHeight="1">
      <c r="B473" s="181"/>
    </row>
    <row r="474" ht="15.75" customHeight="1">
      <c r="B474" s="181"/>
    </row>
    <row r="475" ht="15.75" customHeight="1">
      <c r="B475" s="181"/>
    </row>
    <row r="476" ht="15.75" customHeight="1">
      <c r="B476" s="181"/>
    </row>
    <row r="477" ht="15.75" customHeight="1">
      <c r="B477" s="181"/>
    </row>
    <row r="478" ht="15.75" customHeight="1">
      <c r="B478" s="181"/>
    </row>
    <row r="479" ht="15.75" customHeight="1">
      <c r="B479" s="181"/>
    </row>
    <row r="480" ht="15.75" customHeight="1">
      <c r="B480" s="181"/>
    </row>
    <row r="481" ht="15.75" customHeight="1">
      <c r="B481" s="181"/>
    </row>
    <row r="482" ht="15.75" customHeight="1">
      <c r="B482" s="181"/>
    </row>
    <row r="483" ht="15.75" customHeight="1">
      <c r="B483" s="181"/>
    </row>
    <row r="484" ht="15.75" customHeight="1">
      <c r="B484" s="181"/>
    </row>
    <row r="485" ht="15.75" customHeight="1">
      <c r="B485" s="181"/>
    </row>
    <row r="486" ht="15.75" customHeight="1">
      <c r="B486" s="181"/>
    </row>
    <row r="487" ht="15.75" customHeight="1">
      <c r="B487" s="181"/>
    </row>
    <row r="488" ht="15.75" customHeight="1">
      <c r="B488" s="181"/>
    </row>
    <row r="489" ht="15.75" customHeight="1">
      <c r="B489" s="181"/>
    </row>
    <row r="490" ht="15.75" customHeight="1">
      <c r="B490" s="181"/>
    </row>
    <row r="491" ht="15.75" customHeight="1">
      <c r="B491" s="181"/>
    </row>
    <row r="492" ht="15.75" customHeight="1">
      <c r="B492" s="181"/>
    </row>
    <row r="493" ht="15.75" customHeight="1">
      <c r="B493" s="181"/>
    </row>
    <row r="494" ht="15.75" customHeight="1">
      <c r="B494" s="181"/>
    </row>
    <row r="495" ht="15.75" customHeight="1">
      <c r="B495" s="181"/>
    </row>
    <row r="496" ht="15.75" customHeight="1">
      <c r="B496" s="181"/>
    </row>
    <row r="497" ht="15.75" customHeight="1">
      <c r="B497" s="181"/>
    </row>
    <row r="498" ht="15.75" customHeight="1">
      <c r="B498" s="181"/>
    </row>
    <row r="499" ht="15.75" customHeight="1">
      <c r="B499" s="181"/>
    </row>
    <row r="500" ht="15.75" customHeight="1">
      <c r="B500" s="181"/>
    </row>
    <row r="501" ht="15.75" customHeight="1">
      <c r="B501" s="181"/>
    </row>
    <row r="502" ht="15.75" customHeight="1">
      <c r="B502" s="181"/>
    </row>
    <row r="503" ht="15.75" customHeight="1">
      <c r="B503" s="181"/>
    </row>
    <row r="504" ht="15.75" customHeight="1">
      <c r="B504" s="181"/>
    </row>
    <row r="505" ht="15.75" customHeight="1">
      <c r="B505" s="181"/>
    </row>
    <row r="506" ht="15.75" customHeight="1">
      <c r="B506" s="181"/>
    </row>
    <row r="507" ht="15.75" customHeight="1">
      <c r="B507" s="181"/>
    </row>
    <row r="508" ht="15.75" customHeight="1">
      <c r="B508" s="181"/>
    </row>
    <row r="509" ht="15.75" customHeight="1">
      <c r="B509" s="181"/>
    </row>
    <row r="510" ht="15.75" customHeight="1">
      <c r="B510" s="181"/>
    </row>
    <row r="511" ht="15.75" customHeight="1">
      <c r="B511" s="181"/>
    </row>
    <row r="512" ht="15.75" customHeight="1">
      <c r="B512" s="181"/>
    </row>
    <row r="513" ht="15.75" customHeight="1">
      <c r="B513" s="181"/>
    </row>
    <row r="514" ht="15.75" customHeight="1">
      <c r="B514" s="181"/>
    </row>
    <row r="515" ht="15.75" customHeight="1">
      <c r="B515" s="181"/>
    </row>
    <row r="516" ht="15.75" customHeight="1">
      <c r="B516" s="181"/>
    </row>
    <row r="517" ht="15.75" customHeight="1">
      <c r="B517" s="181"/>
    </row>
    <row r="518" ht="15.75" customHeight="1">
      <c r="B518" s="181"/>
    </row>
    <row r="519" ht="15.75" customHeight="1">
      <c r="B519" s="181"/>
    </row>
    <row r="520" ht="15.75" customHeight="1">
      <c r="B520" s="181"/>
    </row>
    <row r="521" ht="15.75" customHeight="1">
      <c r="B521" s="181"/>
    </row>
    <row r="522" ht="15.75" customHeight="1">
      <c r="B522" s="181"/>
    </row>
    <row r="523" ht="15.75" customHeight="1">
      <c r="B523" s="181"/>
    </row>
    <row r="524" ht="15.75" customHeight="1">
      <c r="B524" s="181"/>
    </row>
    <row r="525" ht="15.75" customHeight="1">
      <c r="B525" s="181"/>
    </row>
    <row r="526" ht="15.75" customHeight="1">
      <c r="B526" s="181"/>
    </row>
    <row r="527" ht="15.75" customHeight="1">
      <c r="B527" s="181"/>
    </row>
    <row r="528" ht="15.75" customHeight="1">
      <c r="B528" s="181"/>
    </row>
    <row r="529" ht="15.75" customHeight="1">
      <c r="B529" s="181"/>
    </row>
    <row r="530" ht="15.75" customHeight="1">
      <c r="B530" s="181"/>
    </row>
    <row r="531" ht="15.75" customHeight="1">
      <c r="B531" s="181"/>
    </row>
    <row r="532" ht="15.75" customHeight="1">
      <c r="B532" s="181"/>
    </row>
    <row r="533" ht="15.75" customHeight="1">
      <c r="B533" s="181"/>
    </row>
    <row r="534" ht="15.75" customHeight="1">
      <c r="B534" s="181"/>
    </row>
    <row r="535" ht="15.75" customHeight="1">
      <c r="B535" s="181"/>
    </row>
    <row r="536" ht="15.75" customHeight="1">
      <c r="B536" s="181"/>
    </row>
    <row r="537" ht="15.75" customHeight="1">
      <c r="B537" s="181"/>
    </row>
    <row r="538" ht="15.75" customHeight="1">
      <c r="B538" s="181"/>
    </row>
    <row r="539" ht="15.75" customHeight="1">
      <c r="B539" s="181"/>
    </row>
    <row r="540" ht="15.75" customHeight="1">
      <c r="B540" s="181"/>
    </row>
    <row r="541" ht="15.75" customHeight="1">
      <c r="B541" s="181"/>
    </row>
    <row r="542" ht="15.75" customHeight="1">
      <c r="B542" s="181"/>
    </row>
    <row r="543" ht="15.75" customHeight="1">
      <c r="B543" s="181"/>
    </row>
    <row r="544" ht="15.75" customHeight="1">
      <c r="B544" s="181"/>
    </row>
    <row r="545" ht="15.75" customHeight="1">
      <c r="B545" s="181"/>
    </row>
    <row r="546" ht="15.75" customHeight="1">
      <c r="B546" s="181"/>
    </row>
    <row r="547" ht="15.75" customHeight="1">
      <c r="B547" s="181"/>
    </row>
    <row r="548" ht="15.75" customHeight="1">
      <c r="B548" s="181"/>
    </row>
    <row r="549" ht="15.75" customHeight="1">
      <c r="B549" s="181"/>
    </row>
    <row r="550" ht="15.75" customHeight="1">
      <c r="B550" s="181"/>
    </row>
    <row r="551" ht="15.75" customHeight="1">
      <c r="B551" s="181"/>
    </row>
    <row r="552" ht="15.75" customHeight="1">
      <c r="B552" s="181"/>
    </row>
    <row r="553" ht="15.75" customHeight="1">
      <c r="B553" s="181"/>
    </row>
    <row r="554" ht="15.75" customHeight="1">
      <c r="B554" s="181"/>
    </row>
    <row r="555" ht="15.75" customHeight="1">
      <c r="B555" s="181"/>
    </row>
    <row r="556" ht="15.75" customHeight="1">
      <c r="B556" s="181"/>
    </row>
    <row r="557" ht="15.75" customHeight="1">
      <c r="B557" s="181"/>
    </row>
    <row r="558" ht="15.75" customHeight="1">
      <c r="B558" s="181"/>
    </row>
    <row r="559" ht="15.75" customHeight="1">
      <c r="B559" s="181"/>
    </row>
    <row r="560" ht="15.75" customHeight="1">
      <c r="B560" s="181"/>
    </row>
    <row r="561" ht="15.75" customHeight="1">
      <c r="B561" s="181"/>
    </row>
    <row r="562" ht="15.75" customHeight="1">
      <c r="B562" s="181"/>
    </row>
    <row r="563" ht="15.75" customHeight="1">
      <c r="B563" s="181"/>
    </row>
    <row r="564" ht="15.75" customHeight="1">
      <c r="B564" s="181"/>
    </row>
    <row r="565" ht="15.75" customHeight="1">
      <c r="B565" s="181"/>
    </row>
    <row r="566" ht="15.75" customHeight="1">
      <c r="B566" s="181"/>
    </row>
    <row r="567" ht="15.75" customHeight="1">
      <c r="B567" s="181"/>
    </row>
    <row r="568" ht="15.75" customHeight="1">
      <c r="B568" s="181"/>
    </row>
    <row r="569" ht="15.75" customHeight="1">
      <c r="B569" s="181"/>
    </row>
    <row r="570" ht="15.75" customHeight="1">
      <c r="B570" s="181"/>
    </row>
    <row r="571" ht="15.75" customHeight="1">
      <c r="B571" s="181"/>
    </row>
    <row r="572" ht="15.75" customHeight="1">
      <c r="B572" s="181"/>
    </row>
    <row r="573" ht="15.75" customHeight="1">
      <c r="B573" s="181"/>
    </row>
    <row r="574" ht="15.75" customHeight="1">
      <c r="B574" s="181"/>
    </row>
    <row r="575" ht="15.75" customHeight="1">
      <c r="B575" s="181"/>
    </row>
    <row r="576" ht="15.75" customHeight="1">
      <c r="B576" s="181"/>
    </row>
    <row r="577" ht="15.75" customHeight="1">
      <c r="B577" s="181"/>
    </row>
    <row r="578" ht="15.75" customHeight="1">
      <c r="B578" s="181"/>
    </row>
    <row r="579" ht="15.75" customHeight="1">
      <c r="B579" s="181"/>
    </row>
    <row r="580" ht="15.75" customHeight="1">
      <c r="B580" s="181"/>
    </row>
    <row r="581" ht="15.75" customHeight="1">
      <c r="B581" s="181"/>
    </row>
    <row r="582" ht="15.75" customHeight="1">
      <c r="B582" s="181"/>
    </row>
    <row r="583" ht="15.75" customHeight="1">
      <c r="B583" s="181"/>
    </row>
    <row r="584" ht="15.75" customHeight="1">
      <c r="B584" s="181"/>
    </row>
    <row r="585" ht="15.75" customHeight="1">
      <c r="B585" s="181"/>
    </row>
    <row r="586" ht="15.75" customHeight="1">
      <c r="B586" s="181"/>
    </row>
    <row r="587" ht="15.75" customHeight="1">
      <c r="B587" s="181"/>
    </row>
    <row r="588" ht="15.75" customHeight="1">
      <c r="B588" s="181"/>
    </row>
    <row r="589" ht="15.75" customHeight="1">
      <c r="B589" s="181"/>
    </row>
    <row r="590" ht="15.75" customHeight="1">
      <c r="B590" s="181"/>
    </row>
    <row r="591" ht="15.75" customHeight="1">
      <c r="B591" s="181"/>
    </row>
    <row r="592" ht="15.75" customHeight="1">
      <c r="B592" s="181"/>
    </row>
    <row r="593" ht="15.75" customHeight="1">
      <c r="B593" s="181"/>
    </row>
    <row r="594" ht="15.75" customHeight="1">
      <c r="B594" s="181"/>
    </row>
    <row r="595" ht="15.75" customHeight="1">
      <c r="B595" s="181"/>
    </row>
    <row r="596" ht="15.75" customHeight="1">
      <c r="B596" s="181"/>
    </row>
    <row r="597" ht="15.75" customHeight="1">
      <c r="B597" s="181"/>
    </row>
    <row r="598" ht="15.75" customHeight="1">
      <c r="B598" s="181"/>
    </row>
    <row r="599" ht="15.75" customHeight="1">
      <c r="B599" s="181"/>
    </row>
    <row r="600" ht="15.75" customHeight="1">
      <c r="B600" s="181"/>
    </row>
    <row r="601" ht="15.75" customHeight="1">
      <c r="B601" s="181"/>
    </row>
    <row r="602" ht="15.75" customHeight="1">
      <c r="B602" s="181"/>
    </row>
    <row r="603" ht="15.75" customHeight="1">
      <c r="B603" s="181"/>
    </row>
    <row r="604" ht="15.75" customHeight="1">
      <c r="B604" s="181"/>
    </row>
    <row r="605" ht="15.75" customHeight="1">
      <c r="B605" s="181"/>
    </row>
    <row r="606" ht="15.75" customHeight="1">
      <c r="B606" s="181"/>
    </row>
    <row r="607" ht="15.75" customHeight="1">
      <c r="B607" s="181"/>
    </row>
    <row r="608" ht="15.75" customHeight="1">
      <c r="B608" s="181"/>
    </row>
    <row r="609" ht="15.75" customHeight="1">
      <c r="B609" s="181"/>
    </row>
    <row r="610" ht="15.75" customHeight="1">
      <c r="B610" s="181"/>
    </row>
    <row r="611" ht="15.75" customHeight="1">
      <c r="B611" s="181"/>
    </row>
    <row r="612" ht="15.75" customHeight="1">
      <c r="B612" s="181"/>
    </row>
    <row r="613" ht="15.75" customHeight="1">
      <c r="B613" s="181"/>
    </row>
    <row r="614" ht="15.75" customHeight="1">
      <c r="B614" s="181"/>
    </row>
    <row r="615" ht="15.75" customHeight="1">
      <c r="B615" s="181"/>
    </row>
    <row r="616" ht="15.75" customHeight="1">
      <c r="B616" s="181"/>
    </row>
    <row r="617" ht="15.75" customHeight="1">
      <c r="B617" s="181"/>
    </row>
    <row r="618" ht="15.75" customHeight="1">
      <c r="B618" s="181"/>
    </row>
    <row r="619" ht="15.75" customHeight="1">
      <c r="B619" s="181"/>
    </row>
    <row r="620" ht="15.75" customHeight="1">
      <c r="B620" s="181"/>
    </row>
    <row r="621" ht="15.75" customHeight="1">
      <c r="B621" s="181"/>
    </row>
    <row r="622" ht="15.75" customHeight="1">
      <c r="B622" s="181"/>
    </row>
    <row r="623" ht="15.75" customHeight="1">
      <c r="B623" s="181"/>
    </row>
    <row r="624" ht="15.75" customHeight="1">
      <c r="B624" s="181"/>
    </row>
    <row r="625" ht="15.75" customHeight="1">
      <c r="B625" s="181"/>
    </row>
    <row r="626" ht="15.75" customHeight="1">
      <c r="B626" s="181"/>
    </row>
    <row r="627" ht="15.75" customHeight="1">
      <c r="B627" s="181"/>
    </row>
    <row r="628" ht="15.75" customHeight="1">
      <c r="B628" s="181"/>
    </row>
    <row r="629" ht="15.75" customHeight="1">
      <c r="B629" s="181"/>
    </row>
    <row r="630" ht="15.75" customHeight="1">
      <c r="B630" s="181"/>
    </row>
    <row r="631" ht="15.75" customHeight="1">
      <c r="B631" s="181"/>
    </row>
    <row r="632" ht="15.75" customHeight="1">
      <c r="B632" s="181"/>
    </row>
    <row r="633" ht="15.75" customHeight="1">
      <c r="B633" s="181"/>
    </row>
    <row r="634" ht="15.75" customHeight="1">
      <c r="B634" s="181"/>
    </row>
    <row r="635" ht="15.75" customHeight="1">
      <c r="B635" s="181"/>
    </row>
    <row r="636" ht="15.75" customHeight="1">
      <c r="B636" s="181"/>
    </row>
    <row r="637" ht="15.75" customHeight="1">
      <c r="B637" s="181"/>
    </row>
    <row r="638" ht="15.75" customHeight="1">
      <c r="B638" s="181"/>
    </row>
    <row r="639" ht="15.75" customHeight="1">
      <c r="B639" s="181"/>
    </row>
    <row r="640" ht="15.75" customHeight="1">
      <c r="B640" s="181"/>
    </row>
    <row r="641" ht="15.75" customHeight="1">
      <c r="B641" s="181"/>
    </row>
    <row r="642" ht="15.75" customHeight="1">
      <c r="B642" s="181"/>
    </row>
    <row r="643" ht="15.75" customHeight="1">
      <c r="B643" s="181"/>
    </row>
    <row r="644" ht="15.75" customHeight="1">
      <c r="B644" s="181"/>
    </row>
    <row r="645" ht="15.75" customHeight="1">
      <c r="B645" s="181"/>
    </row>
    <row r="646" ht="15.75" customHeight="1">
      <c r="B646" s="181"/>
    </row>
    <row r="647" ht="15.75" customHeight="1">
      <c r="B647" s="181"/>
    </row>
    <row r="648" ht="15.75" customHeight="1">
      <c r="B648" s="181"/>
    </row>
    <row r="649" ht="15.75" customHeight="1">
      <c r="B649" s="181"/>
    </row>
    <row r="650" ht="15.75" customHeight="1">
      <c r="B650" s="181"/>
    </row>
    <row r="651" ht="15.75" customHeight="1">
      <c r="B651" s="181"/>
    </row>
    <row r="652" ht="15.75" customHeight="1">
      <c r="B652" s="181"/>
    </row>
    <row r="653" ht="15.75" customHeight="1">
      <c r="B653" s="181"/>
    </row>
    <row r="654" ht="15.75" customHeight="1">
      <c r="B654" s="181"/>
    </row>
    <row r="655" ht="15.75" customHeight="1">
      <c r="B655" s="181"/>
    </row>
    <row r="656" ht="15.75" customHeight="1">
      <c r="B656" s="181"/>
    </row>
    <row r="657" ht="15.75" customHeight="1">
      <c r="B657" s="181"/>
    </row>
    <row r="658" ht="15.75" customHeight="1">
      <c r="B658" s="181"/>
    </row>
    <row r="659" ht="15.75" customHeight="1">
      <c r="B659" s="181"/>
    </row>
    <row r="660" ht="15.75" customHeight="1">
      <c r="B660" s="181"/>
    </row>
    <row r="661" ht="15.75" customHeight="1">
      <c r="B661" s="181"/>
    </row>
    <row r="662" ht="15.75" customHeight="1">
      <c r="B662" s="181"/>
    </row>
    <row r="663" ht="15.75" customHeight="1">
      <c r="B663" s="181"/>
    </row>
    <row r="664" ht="15.75" customHeight="1">
      <c r="B664" s="181"/>
    </row>
    <row r="665" ht="15.75" customHeight="1">
      <c r="B665" s="181"/>
    </row>
    <row r="666" ht="15.75" customHeight="1">
      <c r="B666" s="181"/>
    </row>
    <row r="667" ht="15.75" customHeight="1">
      <c r="B667" s="181"/>
    </row>
    <row r="668" ht="15.75" customHeight="1">
      <c r="B668" s="181"/>
    </row>
    <row r="669" ht="15.75" customHeight="1">
      <c r="B669" s="181"/>
    </row>
    <row r="670" ht="15.75" customHeight="1">
      <c r="B670" s="181"/>
    </row>
    <row r="671" ht="15.75" customHeight="1">
      <c r="B671" s="181"/>
    </row>
    <row r="672" ht="15.75" customHeight="1">
      <c r="B672" s="181"/>
    </row>
    <row r="673" ht="15.75" customHeight="1">
      <c r="B673" s="181"/>
    </row>
    <row r="674" ht="15.75" customHeight="1">
      <c r="B674" s="181"/>
    </row>
    <row r="675" ht="15.75" customHeight="1">
      <c r="B675" s="181"/>
    </row>
    <row r="676" ht="15.75" customHeight="1">
      <c r="B676" s="181"/>
    </row>
    <row r="677" ht="15.75" customHeight="1">
      <c r="B677" s="181"/>
    </row>
    <row r="678" ht="15.75" customHeight="1">
      <c r="B678" s="181"/>
    </row>
    <row r="679" ht="15.75" customHeight="1">
      <c r="B679" s="181"/>
    </row>
    <row r="680" ht="15.75" customHeight="1">
      <c r="B680" s="181"/>
    </row>
    <row r="681" ht="15.75" customHeight="1">
      <c r="B681" s="181"/>
    </row>
    <row r="682" ht="15.75" customHeight="1">
      <c r="B682" s="181"/>
    </row>
    <row r="683" ht="15.75" customHeight="1">
      <c r="B683" s="181"/>
    </row>
    <row r="684" ht="15.75" customHeight="1">
      <c r="B684" s="181"/>
    </row>
    <row r="685" ht="15.75" customHeight="1">
      <c r="B685" s="181"/>
    </row>
    <row r="686" ht="15.75" customHeight="1">
      <c r="B686" s="181"/>
    </row>
    <row r="687" ht="15.75" customHeight="1">
      <c r="B687" s="181"/>
    </row>
    <row r="688" ht="15.75" customHeight="1">
      <c r="B688" s="181"/>
    </row>
    <row r="689" ht="15.75" customHeight="1">
      <c r="B689" s="181"/>
    </row>
    <row r="690" ht="15.75" customHeight="1">
      <c r="B690" s="181"/>
    </row>
    <row r="691" ht="15.75" customHeight="1">
      <c r="B691" s="181"/>
    </row>
    <row r="692" ht="15.75" customHeight="1">
      <c r="B692" s="181"/>
    </row>
    <row r="693" ht="15.75" customHeight="1">
      <c r="B693" s="181"/>
    </row>
    <row r="694" ht="15.75" customHeight="1">
      <c r="B694" s="181"/>
    </row>
    <row r="695" ht="15.75" customHeight="1">
      <c r="B695" s="181"/>
    </row>
    <row r="696" ht="15.75" customHeight="1">
      <c r="B696" s="181"/>
    </row>
    <row r="697" ht="15.75" customHeight="1">
      <c r="B697" s="181"/>
    </row>
    <row r="698" ht="15.75" customHeight="1">
      <c r="B698" s="181"/>
    </row>
    <row r="699" ht="15.75" customHeight="1">
      <c r="B699" s="181"/>
    </row>
    <row r="700" ht="15.75" customHeight="1">
      <c r="B700" s="181"/>
    </row>
    <row r="701" ht="15.75" customHeight="1">
      <c r="B701" s="181"/>
    </row>
    <row r="702" ht="15.75" customHeight="1">
      <c r="B702" s="181"/>
    </row>
    <row r="703" ht="15.75" customHeight="1">
      <c r="B703" s="181"/>
    </row>
    <row r="704" ht="15.75" customHeight="1">
      <c r="B704" s="181"/>
    </row>
    <row r="705" ht="15.75" customHeight="1">
      <c r="B705" s="181"/>
    </row>
    <row r="706" ht="15.75" customHeight="1">
      <c r="B706" s="181"/>
    </row>
    <row r="707" ht="15.75" customHeight="1">
      <c r="B707" s="181"/>
    </row>
    <row r="708" ht="15.75" customHeight="1">
      <c r="B708" s="181"/>
    </row>
    <row r="709" ht="15.75" customHeight="1">
      <c r="B709" s="181"/>
    </row>
    <row r="710" ht="15.75" customHeight="1">
      <c r="B710" s="181"/>
    </row>
    <row r="711" ht="15.75" customHeight="1">
      <c r="B711" s="181"/>
    </row>
    <row r="712" ht="15.75" customHeight="1">
      <c r="B712" s="181"/>
    </row>
    <row r="713" ht="15.75" customHeight="1">
      <c r="B713" s="181"/>
    </row>
    <row r="714" ht="15.75" customHeight="1">
      <c r="B714" s="181"/>
    </row>
    <row r="715" ht="15.75" customHeight="1">
      <c r="B715" s="181"/>
    </row>
    <row r="716" ht="15.75" customHeight="1">
      <c r="B716" s="181"/>
    </row>
    <row r="717" ht="15.75" customHeight="1">
      <c r="B717" s="181"/>
    </row>
    <row r="718" ht="15.75" customHeight="1">
      <c r="B718" s="181"/>
    </row>
    <row r="719" ht="15.75" customHeight="1">
      <c r="B719" s="181"/>
    </row>
    <row r="720" ht="15.75" customHeight="1">
      <c r="B720" s="181"/>
    </row>
    <row r="721" ht="15.75" customHeight="1">
      <c r="B721" s="181"/>
    </row>
    <row r="722" ht="15.75" customHeight="1">
      <c r="B722" s="181"/>
    </row>
    <row r="723" ht="15.75" customHeight="1">
      <c r="B723" s="181"/>
    </row>
    <row r="724" ht="15.75" customHeight="1">
      <c r="B724" s="181"/>
    </row>
    <row r="725" ht="15.75" customHeight="1">
      <c r="B725" s="181"/>
    </row>
    <row r="726" ht="15.75" customHeight="1">
      <c r="B726" s="181"/>
    </row>
    <row r="727" ht="15.75" customHeight="1">
      <c r="B727" s="181"/>
    </row>
    <row r="728" ht="15.75" customHeight="1">
      <c r="B728" s="181"/>
    </row>
    <row r="729" ht="15.75" customHeight="1">
      <c r="B729" s="181"/>
    </row>
    <row r="730" ht="15.75" customHeight="1">
      <c r="B730" s="181"/>
    </row>
    <row r="731" ht="15.75" customHeight="1">
      <c r="B731" s="181"/>
    </row>
    <row r="732" ht="15.75" customHeight="1">
      <c r="B732" s="181"/>
    </row>
    <row r="733" ht="15.75" customHeight="1">
      <c r="B733" s="181"/>
    </row>
    <row r="734" ht="15.75" customHeight="1">
      <c r="B734" s="181"/>
    </row>
    <row r="735" ht="15.75" customHeight="1">
      <c r="B735" s="181"/>
    </row>
    <row r="736" ht="15.75" customHeight="1">
      <c r="B736" s="181"/>
    </row>
    <row r="737" ht="15.75" customHeight="1">
      <c r="B737" s="181"/>
    </row>
    <row r="738" ht="15.75" customHeight="1">
      <c r="B738" s="181"/>
    </row>
    <row r="739" ht="15.75" customHeight="1">
      <c r="B739" s="181"/>
    </row>
    <row r="740" ht="15.75" customHeight="1">
      <c r="B740" s="181"/>
    </row>
    <row r="741" ht="15.75" customHeight="1">
      <c r="B741" s="181"/>
    </row>
    <row r="742" ht="15.75" customHeight="1">
      <c r="B742" s="181"/>
    </row>
    <row r="743" ht="15.75" customHeight="1">
      <c r="B743" s="181"/>
    </row>
    <row r="744" ht="15.75" customHeight="1">
      <c r="B744" s="181"/>
    </row>
    <row r="745" ht="15.75" customHeight="1">
      <c r="B745" s="181"/>
    </row>
    <row r="746" ht="15.75" customHeight="1">
      <c r="B746" s="181"/>
    </row>
    <row r="747" ht="15.75" customHeight="1">
      <c r="B747" s="181"/>
    </row>
    <row r="748" ht="15.75" customHeight="1">
      <c r="B748" s="181"/>
    </row>
    <row r="749" ht="15.75" customHeight="1">
      <c r="B749" s="181"/>
    </row>
    <row r="750" ht="15.75" customHeight="1">
      <c r="B750" s="181"/>
    </row>
    <row r="751" ht="15.75" customHeight="1">
      <c r="B751" s="181"/>
    </row>
    <row r="752" ht="15.75" customHeight="1">
      <c r="B752" s="181"/>
    </row>
    <row r="753" ht="15.75" customHeight="1">
      <c r="B753" s="181"/>
    </row>
    <row r="754" ht="15.75" customHeight="1">
      <c r="B754" s="181"/>
    </row>
    <row r="755" ht="15.75" customHeight="1">
      <c r="B755" s="181"/>
    </row>
    <row r="756" ht="15.75" customHeight="1">
      <c r="B756" s="181"/>
    </row>
    <row r="757" ht="15.75" customHeight="1">
      <c r="B757" s="181"/>
    </row>
    <row r="758" ht="15.75" customHeight="1">
      <c r="B758" s="181"/>
    </row>
    <row r="759" ht="15.75" customHeight="1">
      <c r="B759" s="181"/>
    </row>
    <row r="760" ht="15.75" customHeight="1">
      <c r="B760" s="181"/>
    </row>
    <row r="761" ht="15.75" customHeight="1">
      <c r="B761" s="181"/>
    </row>
    <row r="762" ht="15.75" customHeight="1">
      <c r="B762" s="181"/>
    </row>
    <row r="763" ht="15.75" customHeight="1">
      <c r="B763" s="181"/>
    </row>
    <row r="764" ht="15.75" customHeight="1">
      <c r="B764" s="181"/>
    </row>
    <row r="765" ht="15.75" customHeight="1">
      <c r="B765" s="181"/>
    </row>
    <row r="766" ht="15.75" customHeight="1">
      <c r="B766" s="181"/>
    </row>
    <row r="767" ht="15.75" customHeight="1">
      <c r="B767" s="181"/>
    </row>
    <row r="768" ht="15.75" customHeight="1">
      <c r="B768" s="181"/>
    </row>
    <row r="769" ht="15.75" customHeight="1">
      <c r="B769" s="181"/>
    </row>
    <row r="770" ht="15.75" customHeight="1">
      <c r="B770" s="181"/>
    </row>
    <row r="771" ht="15.75" customHeight="1">
      <c r="B771" s="181"/>
    </row>
    <row r="772" ht="15.75" customHeight="1">
      <c r="B772" s="181"/>
    </row>
    <row r="773" ht="15.75" customHeight="1">
      <c r="B773" s="181"/>
    </row>
    <row r="774" ht="15.75" customHeight="1">
      <c r="B774" s="181"/>
    </row>
    <row r="775" ht="15.75" customHeight="1">
      <c r="B775" s="181"/>
    </row>
    <row r="776" ht="15.75" customHeight="1">
      <c r="B776" s="181"/>
    </row>
    <row r="777" ht="15.75" customHeight="1">
      <c r="B777" s="181"/>
    </row>
    <row r="778" ht="15.75" customHeight="1">
      <c r="B778" s="181"/>
    </row>
    <row r="779" ht="15.75" customHeight="1">
      <c r="B779" s="181"/>
    </row>
    <row r="780" ht="15.75" customHeight="1">
      <c r="B780" s="181"/>
    </row>
    <row r="781" ht="15.75" customHeight="1">
      <c r="B781" s="181"/>
    </row>
    <row r="782" ht="15.75" customHeight="1">
      <c r="B782" s="181"/>
    </row>
    <row r="783" ht="15.75" customHeight="1">
      <c r="B783" s="181"/>
    </row>
    <row r="784" ht="15.75" customHeight="1">
      <c r="B784" s="181"/>
    </row>
    <row r="785" ht="15.75" customHeight="1">
      <c r="B785" s="181"/>
    </row>
    <row r="786" ht="15.75" customHeight="1">
      <c r="B786" s="181"/>
    </row>
    <row r="787" ht="15.75" customHeight="1">
      <c r="B787" s="181"/>
    </row>
    <row r="788" ht="15.75" customHeight="1">
      <c r="B788" s="181"/>
    </row>
    <row r="789" ht="15.75" customHeight="1">
      <c r="B789" s="181"/>
    </row>
    <row r="790" ht="15.75" customHeight="1">
      <c r="B790" s="181"/>
    </row>
    <row r="791" ht="15.75" customHeight="1">
      <c r="B791" s="181"/>
    </row>
    <row r="792" ht="15.75" customHeight="1">
      <c r="B792" s="181"/>
    </row>
    <row r="793" ht="15.75" customHeight="1">
      <c r="B793" s="181"/>
    </row>
    <row r="794" ht="15.75" customHeight="1">
      <c r="B794" s="181"/>
    </row>
    <row r="795" ht="15.75" customHeight="1">
      <c r="B795" s="181"/>
    </row>
    <row r="796" ht="15.75" customHeight="1">
      <c r="B796" s="181"/>
    </row>
    <row r="797" ht="15.75" customHeight="1">
      <c r="B797" s="181"/>
    </row>
    <row r="798" ht="15.75" customHeight="1">
      <c r="B798" s="181"/>
    </row>
    <row r="799" ht="15.75" customHeight="1">
      <c r="B799" s="181"/>
    </row>
    <row r="800" ht="15.75" customHeight="1">
      <c r="B800" s="181"/>
    </row>
    <row r="801" ht="15.75" customHeight="1">
      <c r="B801" s="181"/>
    </row>
    <row r="802" ht="15.75" customHeight="1">
      <c r="B802" s="181"/>
    </row>
    <row r="803" ht="15.75" customHeight="1">
      <c r="B803" s="181"/>
    </row>
    <row r="804" ht="15.75" customHeight="1">
      <c r="B804" s="181"/>
    </row>
    <row r="805" ht="15.75" customHeight="1">
      <c r="B805" s="181"/>
    </row>
    <row r="806" ht="15.75" customHeight="1">
      <c r="B806" s="181"/>
    </row>
    <row r="807" ht="15.75" customHeight="1">
      <c r="B807" s="181"/>
    </row>
    <row r="808" ht="15.75" customHeight="1">
      <c r="B808" s="181"/>
    </row>
    <row r="809" ht="15.75" customHeight="1">
      <c r="B809" s="181"/>
    </row>
    <row r="810" ht="15.75" customHeight="1">
      <c r="B810" s="181"/>
    </row>
    <row r="811" ht="15.75" customHeight="1">
      <c r="B811" s="181"/>
    </row>
    <row r="812" ht="15.75" customHeight="1">
      <c r="B812" s="181"/>
    </row>
    <row r="813" ht="15.75" customHeight="1">
      <c r="B813" s="181"/>
    </row>
    <row r="814" ht="15.75" customHeight="1">
      <c r="B814" s="181"/>
    </row>
    <row r="815" ht="15.75" customHeight="1">
      <c r="B815" s="181"/>
    </row>
    <row r="816" ht="15.75" customHeight="1">
      <c r="B816" s="181"/>
    </row>
    <row r="817" ht="15.75" customHeight="1">
      <c r="B817" s="181"/>
    </row>
    <row r="818" ht="15.75" customHeight="1">
      <c r="B818" s="181"/>
    </row>
    <row r="819" ht="15.75" customHeight="1">
      <c r="B819" s="181"/>
    </row>
    <row r="820" ht="15.75" customHeight="1">
      <c r="B820" s="181"/>
    </row>
    <row r="821" ht="15.75" customHeight="1">
      <c r="B821" s="181"/>
    </row>
    <row r="822" ht="15.75" customHeight="1">
      <c r="B822" s="181"/>
    </row>
    <row r="823" ht="15.75" customHeight="1">
      <c r="B823" s="181"/>
    </row>
    <row r="824" ht="15.75" customHeight="1">
      <c r="B824" s="181"/>
    </row>
    <row r="825" ht="15.75" customHeight="1">
      <c r="B825" s="181"/>
    </row>
    <row r="826" ht="15.75" customHeight="1">
      <c r="B826" s="181"/>
    </row>
    <row r="827" ht="15.75" customHeight="1">
      <c r="B827" s="181"/>
    </row>
    <row r="828" ht="15.75" customHeight="1">
      <c r="B828" s="181"/>
    </row>
    <row r="829" ht="15.75" customHeight="1">
      <c r="B829" s="181"/>
    </row>
    <row r="830" ht="15.75" customHeight="1">
      <c r="B830" s="181"/>
    </row>
    <row r="831" ht="15.75" customHeight="1">
      <c r="B831" s="181"/>
    </row>
    <row r="832" ht="15.75" customHeight="1">
      <c r="B832" s="181"/>
    </row>
    <row r="833" ht="15.75" customHeight="1">
      <c r="B833" s="181"/>
    </row>
    <row r="834" ht="15.75" customHeight="1">
      <c r="B834" s="181"/>
    </row>
    <row r="835" ht="15.75" customHeight="1">
      <c r="B835" s="181"/>
    </row>
    <row r="836" ht="15.75" customHeight="1">
      <c r="B836" s="181"/>
    </row>
    <row r="837" ht="15.75" customHeight="1">
      <c r="B837" s="181"/>
    </row>
    <row r="838" ht="15.75" customHeight="1">
      <c r="B838" s="181"/>
    </row>
    <row r="839" ht="15.75" customHeight="1">
      <c r="B839" s="181"/>
    </row>
    <row r="840" ht="15.75" customHeight="1">
      <c r="B840" s="181"/>
    </row>
    <row r="841" ht="15.75" customHeight="1">
      <c r="B841" s="181"/>
    </row>
    <row r="842" ht="15.75" customHeight="1">
      <c r="B842" s="181"/>
    </row>
    <row r="843" ht="15.75" customHeight="1">
      <c r="B843" s="181"/>
    </row>
    <row r="844" ht="15.75" customHeight="1">
      <c r="B844" s="181"/>
    </row>
    <row r="845" ht="15.75" customHeight="1">
      <c r="B845" s="181"/>
    </row>
    <row r="846" ht="15.75" customHeight="1">
      <c r="B846" s="181"/>
    </row>
    <row r="847" ht="15.75" customHeight="1">
      <c r="B847" s="181"/>
    </row>
    <row r="848" ht="15.75" customHeight="1">
      <c r="B848" s="181"/>
    </row>
    <row r="849" ht="15.75" customHeight="1">
      <c r="B849" s="181"/>
    </row>
    <row r="850" ht="15.75" customHeight="1">
      <c r="B850" s="181"/>
    </row>
    <row r="851" ht="15.75" customHeight="1">
      <c r="B851" s="181"/>
    </row>
    <row r="852" ht="15.75" customHeight="1">
      <c r="B852" s="181"/>
    </row>
    <row r="853" ht="15.75" customHeight="1">
      <c r="B853" s="181"/>
    </row>
    <row r="854" ht="15.75" customHeight="1">
      <c r="B854" s="181"/>
    </row>
    <row r="855" ht="15.75" customHeight="1">
      <c r="B855" s="181"/>
    </row>
    <row r="856" ht="15.75" customHeight="1">
      <c r="B856" s="181"/>
    </row>
    <row r="857" ht="15.75" customHeight="1">
      <c r="B857" s="181"/>
    </row>
    <row r="858" ht="15.75" customHeight="1">
      <c r="B858" s="181"/>
    </row>
    <row r="859" ht="15.75" customHeight="1">
      <c r="B859" s="181"/>
    </row>
    <row r="860" ht="15.75" customHeight="1">
      <c r="B860" s="181"/>
    </row>
    <row r="861" ht="15.75" customHeight="1">
      <c r="B861" s="181"/>
    </row>
    <row r="862" ht="15.75" customHeight="1">
      <c r="B862" s="181"/>
    </row>
    <row r="863" ht="15.75" customHeight="1">
      <c r="B863" s="181"/>
    </row>
    <row r="864" ht="15.75" customHeight="1">
      <c r="B864" s="181"/>
    </row>
    <row r="865" ht="15.75" customHeight="1">
      <c r="B865" s="181"/>
    </row>
    <row r="866" ht="15.75" customHeight="1">
      <c r="B866" s="181"/>
    </row>
    <row r="867" ht="15.75" customHeight="1">
      <c r="B867" s="181"/>
    </row>
    <row r="868" ht="15.75" customHeight="1">
      <c r="B868" s="181"/>
    </row>
    <row r="869" ht="15.75" customHeight="1">
      <c r="B869" s="181"/>
    </row>
    <row r="870" ht="15.75" customHeight="1">
      <c r="B870" s="181"/>
    </row>
    <row r="871" ht="15.75" customHeight="1">
      <c r="B871" s="181"/>
    </row>
    <row r="872" ht="15.75" customHeight="1">
      <c r="B872" s="181"/>
    </row>
    <row r="873" ht="15.75" customHeight="1">
      <c r="B873" s="181"/>
    </row>
    <row r="874" ht="15.75" customHeight="1">
      <c r="B874" s="181"/>
    </row>
    <row r="875" ht="15.75" customHeight="1">
      <c r="B875" s="181"/>
    </row>
    <row r="876" ht="15.75" customHeight="1">
      <c r="B876" s="181"/>
    </row>
    <row r="877" ht="15.75" customHeight="1">
      <c r="B877" s="181"/>
    </row>
    <row r="878" ht="15.75" customHeight="1">
      <c r="B878" s="181"/>
    </row>
    <row r="879" ht="15.75" customHeight="1">
      <c r="B879" s="181"/>
    </row>
    <row r="880" ht="15.75" customHeight="1">
      <c r="B880" s="181"/>
    </row>
    <row r="881" ht="15.75" customHeight="1">
      <c r="B881" s="181"/>
    </row>
    <row r="882" ht="15.75" customHeight="1">
      <c r="B882" s="181"/>
    </row>
    <row r="883" ht="15.75" customHeight="1">
      <c r="B883" s="181"/>
    </row>
    <row r="884" ht="15.75" customHeight="1">
      <c r="B884" s="181"/>
    </row>
    <row r="885" ht="15.75" customHeight="1">
      <c r="B885" s="181"/>
    </row>
    <row r="886" ht="15.75" customHeight="1">
      <c r="B886" s="181"/>
    </row>
    <row r="887" ht="15.75" customHeight="1">
      <c r="B887" s="181"/>
    </row>
    <row r="888" ht="15.75" customHeight="1">
      <c r="B888" s="181"/>
    </row>
    <row r="889" ht="15.75" customHeight="1">
      <c r="B889" s="181"/>
    </row>
    <row r="890" ht="15.75" customHeight="1">
      <c r="B890" s="181"/>
    </row>
    <row r="891" ht="15.75" customHeight="1">
      <c r="B891" s="181"/>
    </row>
    <row r="892" ht="15.75" customHeight="1">
      <c r="B892" s="181"/>
    </row>
    <row r="893" ht="15.75" customHeight="1">
      <c r="B893" s="181"/>
    </row>
    <row r="894" ht="15.75" customHeight="1">
      <c r="B894" s="181"/>
    </row>
    <row r="895" ht="15.75" customHeight="1">
      <c r="B895" s="181"/>
    </row>
    <row r="896" ht="15.75" customHeight="1">
      <c r="B896" s="181"/>
    </row>
    <row r="897" ht="15.75" customHeight="1">
      <c r="B897" s="181"/>
    </row>
    <row r="898" ht="15.75" customHeight="1">
      <c r="B898" s="181"/>
    </row>
    <row r="899" ht="15.75" customHeight="1">
      <c r="B899" s="181"/>
    </row>
    <row r="900" ht="15.75" customHeight="1">
      <c r="B900" s="181"/>
    </row>
    <row r="901" ht="15.75" customHeight="1">
      <c r="B901" s="181"/>
    </row>
    <row r="902" ht="15.75" customHeight="1">
      <c r="B902" s="181"/>
    </row>
    <row r="903" ht="15.75" customHeight="1">
      <c r="B903" s="181"/>
    </row>
    <row r="904" ht="15.75" customHeight="1">
      <c r="B904" s="181"/>
    </row>
    <row r="905" ht="15.75" customHeight="1">
      <c r="B905" s="181"/>
    </row>
    <row r="906" ht="15.75" customHeight="1">
      <c r="B906" s="181"/>
    </row>
    <row r="907" ht="15.75" customHeight="1">
      <c r="B907" s="181"/>
    </row>
    <row r="908" ht="15.75" customHeight="1">
      <c r="B908" s="181"/>
    </row>
    <row r="909" ht="15.75" customHeight="1">
      <c r="B909" s="181"/>
    </row>
    <row r="910" ht="15.75" customHeight="1">
      <c r="B910" s="181"/>
    </row>
    <row r="911" ht="15.75" customHeight="1">
      <c r="B911" s="181"/>
    </row>
    <row r="912" ht="15.75" customHeight="1">
      <c r="B912" s="181"/>
    </row>
    <row r="913" ht="15.75" customHeight="1">
      <c r="B913" s="181"/>
    </row>
    <row r="914" ht="15.75" customHeight="1">
      <c r="B914" s="181"/>
    </row>
    <row r="915" ht="15.75" customHeight="1">
      <c r="B915" s="181"/>
    </row>
    <row r="916" ht="15.75" customHeight="1">
      <c r="B916" s="181"/>
    </row>
    <row r="917" ht="15.75" customHeight="1">
      <c r="B917" s="181"/>
    </row>
    <row r="918" ht="15.75" customHeight="1">
      <c r="B918" s="181"/>
    </row>
    <row r="919" ht="15.75" customHeight="1">
      <c r="B919" s="181"/>
    </row>
    <row r="920" ht="15.75" customHeight="1">
      <c r="B920" s="181"/>
    </row>
    <row r="921" ht="15.75" customHeight="1">
      <c r="B921" s="181"/>
    </row>
    <row r="922" ht="15.75" customHeight="1">
      <c r="B922" s="181"/>
    </row>
    <row r="923" ht="15.75" customHeight="1">
      <c r="B923" s="181"/>
    </row>
    <row r="924" ht="15.75" customHeight="1">
      <c r="B924" s="181"/>
    </row>
    <row r="925" ht="15.75" customHeight="1">
      <c r="B925" s="181"/>
    </row>
    <row r="926" ht="15.75" customHeight="1">
      <c r="B926" s="181"/>
    </row>
    <row r="927" ht="15.75" customHeight="1">
      <c r="B927" s="181"/>
    </row>
    <row r="928" ht="15.75" customHeight="1">
      <c r="B928" s="181"/>
    </row>
    <row r="929" ht="15.75" customHeight="1">
      <c r="B929" s="181"/>
    </row>
    <row r="930" ht="15.75" customHeight="1">
      <c r="B930" s="181"/>
    </row>
    <row r="931" ht="15.75" customHeight="1">
      <c r="B931" s="181"/>
    </row>
    <row r="932" ht="15.75" customHeight="1">
      <c r="B932" s="181"/>
    </row>
    <row r="933" ht="15.75" customHeight="1">
      <c r="B933" s="181"/>
    </row>
    <row r="934" ht="15.75" customHeight="1">
      <c r="B934" s="181"/>
    </row>
    <row r="935" ht="15.75" customHeight="1">
      <c r="B935" s="181"/>
    </row>
    <row r="936" ht="15.75" customHeight="1">
      <c r="B936" s="181"/>
    </row>
    <row r="937" ht="15.75" customHeight="1">
      <c r="B937" s="181"/>
    </row>
    <row r="938" ht="15.75" customHeight="1">
      <c r="B938" s="181"/>
    </row>
    <row r="939" ht="15.75" customHeight="1">
      <c r="B939" s="181"/>
    </row>
    <row r="940" ht="15.75" customHeight="1">
      <c r="B940" s="181"/>
    </row>
    <row r="941" ht="15.75" customHeight="1">
      <c r="B941" s="181"/>
    </row>
    <row r="942" ht="15.75" customHeight="1">
      <c r="B942" s="181"/>
    </row>
    <row r="943" ht="15.75" customHeight="1">
      <c r="B943" s="181"/>
    </row>
    <row r="944" ht="15.75" customHeight="1">
      <c r="B944" s="181"/>
    </row>
    <row r="945" ht="15.75" customHeight="1">
      <c r="B945" s="181"/>
    </row>
    <row r="946" ht="15.75" customHeight="1">
      <c r="B946" s="181"/>
    </row>
    <row r="947" ht="15.75" customHeight="1">
      <c r="B947" s="181"/>
    </row>
    <row r="948" ht="15.75" customHeight="1">
      <c r="B948" s="181"/>
    </row>
    <row r="949" ht="15.75" customHeight="1">
      <c r="B949" s="181"/>
    </row>
    <row r="950" ht="15.75" customHeight="1">
      <c r="B950" s="181"/>
    </row>
    <row r="951" ht="15.75" customHeight="1">
      <c r="B951" s="181"/>
    </row>
    <row r="952" ht="15.75" customHeight="1">
      <c r="B952" s="181"/>
    </row>
    <row r="953" ht="15.75" customHeight="1">
      <c r="B953" s="181"/>
    </row>
    <row r="954" ht="15.75" customHeight="1">
      <c r="B954" s="181"/>
    </row>
    <row r="955" ht="15.75" customHeight="1">
      <c r="B955" s="181"/>
    </row>
    <row r="956" ht="15.75" customHeight="1">
      <c r="B956" s="181"/>
    </row>
    <row r="957" ht="15.75" customHeight="1">
      <c r="B957" s="181"/>
    </row>
    <row r="958" ht="15.75" customHeight="1">
      <c r="B958" s="181"/>
    </row>
    <row r="959" ht="15.75" customHeight="1">
      <c r="B959" s="181"/>
    </row>
    <row r="960" ht="15.75" customHeight="1">
      <c r="B960" s="181"/>
    </row>
    <row r="961" ht="15.75" customHeight="1">
      <c r="B961" s="181"/>
    </row>
    <row r="962" ht="15.75" customHeight="1">
      <c r="B962" s="181"/>
    </row>
    <row r="963" ht="15.75" customHeight="1">
      <c r="B963" s="181"/>
    </row>
    <row r="964" ht="15.75" customHeight="1">
      <c r="B964" s="181"/>
    </row>
    <row r="965" ht="15.75" customHeight="1">
      <c r="B965" s="181"/>
    </row>
    <row r="966" ht="15.75" customHeight="1">
      <c r="B966" s="181"/>
    </row>
    <row r="967" ht="15.75" customHeight="1">
      <c r="B967" s="181"/>
    </row>
    <row r="968" ht="15.75" customHeight="1">
      <c r="B968" s="181"/>
    </row>
    <row r="969" ht="15.75" customHeight="1">
      <c r="B969" s="181"/>
    </row>
    <row r="970" ht="15.75" customHeight="1">
      <c r="B970" s="181"/>
    </row>
    <row r="971" ht="15.75" customHeight="1">
      <c r="B971" s="181"/>
    </row>
    <row r="972" ht="15.75" customHeight="1">
      <c r="B972" s="181"/>
    </row>
    <row r="973" ht="15.75" customHeight="1">
      <c r="B973" s="181"/>
    </row>
    <row r="974" ht="15.75" customHeight="1">
      <c r="B974" s="181"/>
    </row>
    <row r="975" ht="15.75" customHeight="1">
      <c r="B975" s="181"/>
    </row>
  </sheetData>
  <mergeCells count="82">
    <mergeCell ref="F68:F69"/>
    <mergeCell ref="G68:G69"/>
    <mergeCell ref="F70:F71"/>
    <mergeCell ref="G70:G71"/>
    <mergeCell ref="F73:G73"/>
    <mergeCell ref="F74:G74"/>
    <mergeCell ref="F78:AC78"/>
    <mergeCell ref="J79:N79"/>
    <mergeCell ref="V79:Z79"/>
    <mergeCell ref="F81:F82"/>
    <mergeCell ref="F85:F86"/>
    <mergeCell ref="G85:G86"/>
    <mergeCell ref="F87:F88"/>
    <mergeCell ref="G87:G88"/>
    <mergeCell ref="F90:G90"/>
    <mergeCell ref="F91:G91"/>
    <mergeCell ref="F93:F94"/>
    <mergeCell ref="G93:G94"/>
    <mergeCell ref="F95:F96"/>
    <mergeCell ref="G95:G96"/>
    <mergeCell ref="F98:G98"/>
    <mergeCell ref="F99:G99"/>
    <mergeCell ref="F161:G161"/>
    <mergeCell ref="F168:G168"/>
    <mergeCell ref="F169:G169"/>
    <mergeCell ref="F170:G170"/>
    <mergeCell ref="F171:G171"/>
    <mergeCell ref="F172:G172"/>
    <mergeCell ref="F180:G180"/>
    <mergeCell ref="F181:G181"/>
    <mergeCell ref="F182:G182"/>
    <mergeCell ref="F183:G183"/>
    <mergeCell ref="F185:G185"/>
    <mergeCell ref="F173:G173"/>
    <mergeCell ref="F174:G174"/>
    <mergeCell ref="F175:G175"/>
    <mergeCell ref="F176:G176"/>
    <mergeCell ref="F177:G177"/>
    <mergeCell ref="F178:G178"/>
    <mergeCell ref="F179:G179"/>
    <mergeCell ref="F3:AC3"/>
    <mergeCell ref="J4:N4"/>
    <mergeCell ref="V4:Z4"/>
    <mergeCell ref="F6:F7"/>
    <mergeCell ref="F10:F11"/>
    <mergeCell ref="G10:G11"/>
    <mergeCell ref="F12:F13"/>
    <mergeCell ref="F23:G23"/>
    <mergeCell ref="F24:G24"/>
    <mergeCell ref="F28:AC28"/>
    <mergeCell ref="J29:N29"/>
    <mergeCell ref="V29:Z29"/>
    <mergeCell ref="G12:G13"/>
    <mergeCell ref="F15:G15"/>
    <mergeCell ref="F16:G16"/>
    <mergeCell ref="F18:F19"/>
    <mergeCell ref="G18:G19"/>
    <mergeCell ref="F20:F21"/>
    <mergeCell ref="G20:G21"/>
    <mergeCell ref="J54:N54"/>
    <mergeCell ref="V54:Z54"/>
    <mergeCell ref="F43:F44"/>
    <mergeCell ref="G43:G44"/>
    <mergeCell ref="F45:F46"/>
    <mergeCell ref="G45:G46"/>
    <mergeCell ref="F48:G48"/>
    <mergeCell ref="F49:G49"/>
    <mergeCell ref="F53:AC53"/>
    <mergeCell ref="F31:F32"/>
    <mergeCell ref="F35:F36"/>
    <mergeCell ref="G35:G36"/>
    <mergeCell ref="F37:F38"/>
    <mergeCell ref="G37:G38"/>
    <mergeCell ref="F40:G40"/>
    <mergeCell ref="F41:G41"/>
    <mergeCell ref="F56:F57"/>
    <mergeCell ref="F60:F61"/>
    <mergeCell ref="G60:G61"/>
    <mergeCell ref="F62:F63"/>
    <mergeCell ref="G62:G63"/>
    <mergeCell ref="F65:G65"/>
    <mergeCell ref="F66:G66"/>
  </mergeCells>
  <conditionalFormatting sqref="H144:P144">
    <cfRule type="expression" dxfId="0" priority="1">
      <formula>AND(H144=H$161,H$163="1")</formula>
    </cfRule>
  </conditionalFormatting>
  <conditionalFormatting sqref="I144:P144">
    <cfRule type="expression" dxfId="0" priority="2">
      <formula>AND(I144=$H$161,$H$163="1")</formula>
    </cfRule>
  </conditionalFormatting>
  <conditionalFormatting sqref="H145:P159">
    <cfRule type="expression" dxfId="0" priority="3">
      <formula>AND(H145=H$161,H$163="1")</formula>
    </cfRule>
  </conditionalFormatting>
  <conditionalFormatting sqref="I145:P159">
    <cfRule type="expression" dxfId="0" priority="4">
      <formula>AND(I145=$H$161,$H$163="1")</formula>
    </cfRule>
  </conditionalFormatting>
  <conditionalFormatting sqref="S144:AA144">
    <cfRule type="expression" dxfId="0" priority="5">
      <formula>AND(S144=S$161,S$163="1")</formula>
    </cfRule>
  </conditionalFormatting>
  <conditionalFormatting sqref="T144:AA144">
    <cfRule type="expression" dxfId="0" priority="6">
      <formula>AND(T144=$H$161,$H$163="1")</formula>
    </cfRule>
  </conditionalFormatting>
  <conditionalFormatting sqref="S145:AA159">
    <cfRule type="expression" dxfId="0" priority="7">
      <formula>AND(S145=S$161,S$163="1")</formula>
    </cfRule>
  </conditionalFormatting>
  <conditionalFormatting sqref="T145:AA159">
    <cfRule type="expression" dxfId="0" priority="8">
      <formula>AND(T145=$H$161,$H$163="1")</formula>
    </cfRule>
  </conditionalFormatting>
  <conditionalFormatting sqref="H168:P183">
    <cfRule type="expression" dxfId="0" priority="9">
      <formula>H168=1</formula>
    </cfRule>
  </conditionalFormatting>
  <conditionalFormatting sqref="I168">
    <cfRule type="expression" dxfId="0" priority="10">
      <formula>AND(I168=$H$161,$H$163="1")</formula>
    </cfRule>
  </conditionalFormatting>
  <conditionalFormatting sqref="H169:I183">
    <cfRule type="expression" dxfId="0" priority="11">
      <formula>AND(H169=H$161,H$163="1")</formula>
    </cfRule>
  </conditionalFormatting>
  <conditionalFormatting sqref="I169:I183">
    <cfRule type="expression" dxfId="0" priority="12">
      <formula>AND(I169=$H$161,$H$163="1")</formula>
    </cfRule>
  </conditionalFormatting>
  <conditionalFormatting sqref="J168:P168">
    <cfRule type="expression" dxfId="0" priority="13">
      <formula>AND(J168=J$161,J$163="1")</formula>
    </cfRule>
  </conditionalFormatting>
  <conditionalFormatting sqref="J168:P168">
    <cfRule type="expression" dxfId="0" priority="14">
      <formula>AND(J168=$H$161,$H$163="1")</formula>
    </cfRule>
  </conditionalFormatting>
  <conditionalFormatting sqref="J169:P183">
    <cfRule type="expression" dxfId="0" priority="15">
      <formula>AND(J169=J$161,J$163="1")</formula>
    </cfRule>
  </conditionalFormatting>
  <conditionalFormatting sqref="J169:P183">
    <cfRule type="expression" dxfId="0" priority="16">
      <formula>AND(J169=$H$161,$H$163="1")</formula>
    </cfRule>
  </conditionalFormatting>
  <conditionalFormatting sqref="S168:AB183">
    <cfRule type="expression" dxfId="0" priority="17">
      <formula>S168&gt;=1</formula>
    </cfRule>
  </conditionalFormatting>
  <dataValidations>
    <dataValidation type="list" allowBlank="1" showErrorMessage="1" sqref="F10 F12 F18 F20 F35 F37 F43 F45 F60 F62 F68 F70 F85 F87 F93 F95 F144:F160 F168:F184">
      <formula1>HANDICAPS!$B$8:$B$23</formula1>
    </dataValidation>
    <dataValidation type="list" allowBlank="1" showErrorMessage="1" sqref="G144:G159">
      <formula1>$D$144:$D$145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" width="2.0"/>
    <col customWidth="1" min="3" max="4" width="20.63"/>
    <col customWidth="1" min="5" max="26" width="6.38"/>
    <col customWidth="1" min="27" max="27" width="16.88"/>
    <col customWidth="1" min="28" max="28" width="30.25"/>
  </cols>
  <sheetData>
    <row r="1" ht="24.0" customHeight="1">
      <c r="B1" s="191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1"/>
      <c r="U1" s="191"/>
      <c r="V1" s="191"/>
      <c r="W1" s="191"/>
      <c r="X1" s="191"/>
      <c r="Y1" s="191"/>
      <c r="Z1" s="191"/>
      <c r="AA1" s="193" t="s">
        <v>155</v>
      </c>
      <c r="AB1" s="142"/>
    </row>
    <row r="2">
      <c r="B2" s="1"/>
      <c r="C2" s="194" t="s">
        <v>156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4"/>
      <c r="AA2" s="195" t="s">
        <v>157</v>
      </c>
      <c r="AB2" s="142"/>
    </row>
    <row r="3">
      <c r="B3" s="1"/>
      <c r="C3" s="196"/>
      <c r="D3" s="197"/>
      <c r="E3" s="198"/>
      <c r="F3" s="198"/>
      <c r="G3" s="199" t="s">
        <v>152</v>
      </c>
      <c r="H3" s="200"/>
      <c r="I3" s="200"/>
      <c r="J3" s="200"/>
      <c r="K3" s="200"/>
      <c r="L3" s="198"/>
      <c r="M3" s="198"/>
      <c r="N3" s="198"/>
      <c r="O3" s="201"/>
      <c r="P3" s="198"/>
      <c r="Q3" s="198"/>
      <c r="R3" s="198"/>
      <c r="S3" s="199" t="s">
        <v>153</v>
      </c>
      <c r="T3" s="200"/>
      <c r="U3" s="200"/>
      <c r="V3" s="200"/>
      <c r="W3" s="200"/>
      <c r="X3" s="198"/>
      <c r="Y3" s="198"/>
      <c r="Z3" s="202"/>
      <c r="AA3" s="203" t="s">
        <v>158</v>
      </c>
      <c r="AB3" s="204" t="s">
        <v>159</v>
      </c>
    </row>
    <row r="4">
      <c r="B4" s="1"/>
      <c r="C4" s="205" t="s">
        <v>160</v>
      </c>
      <c r="D4" s="206" t="s">
        <v>137</v>
      </c>
      <c r="E4" s="207">
        <v>1.0</v>
      </c>
      <c r="F4" s="207">
        <v>2.0</v>
      </c>
      <c r="G4" s="207">
        <v>3.0</v>
      </c>
      <c r="H4" s="207">
        <v>4.0</v>
      </c>
      <c r="I4" s="207">
        <v>5.0</v>
      </c>
      <c r="J4" s="207">
        <v>6.0</v>
      </c>
      <c r="K4" s="207">
        <v>7.0</v>
      </c>
      <c r="L4" s="207">
        <v>8.0</v>
      </c>
      <c r="M4" s="207">
        <v>9.0</v>
      </c>
      <c r="N4" s="208" t="s">
        <v>138</v>
      </c>
      <c r="O4" s="209"/>
      <c r="P4" s="206">
        <v>1.0</v>
      </c>
      <c r="Q4" s="207">
        <v>2.0</v>
      </c>
      <c r="R4" s="207">
        <v>3.0</v>
      </c>
      <c r="S4" s="207">
        <v>4.0</v>
      </c>
      <c r="T4" s="207">
        <v>5.0</v>
      </c>
      <c r="U4" s="207">
        <v>6.0</v>
      </c>
      <c r="V4" s="207">
        <v>7.0</v>
      </c>
      <c r="W4" s="207">
        <v>8.0</v>
      </c>
      <c r="X4" s="207">
        <v>9.0</v>
      </c>
      <c r="Y4" s="207" t="s">
        <v>139</v>
      </c>
      <c r="Z4" s="210" t="s">
        <v>31</v>
      </c>
      <c r="AA4" s="211" t="s">
        <v>161</v>
      </c>
      <c r="AB4" s="212" t="s">
        <v>162</v>
      </c>
    </row>
    <row r="5">
      <c r="B5" s="1"/>
      <c r="C5" s="125"/>
      <c r="D5" s="213" t="s">
        <v>104</v>
      </c>
      <c r="E5" s="182">
        <v>375.0</v>
      </c>
      <c r="F5" s="182">
        <v>383.0</v>
      </c>
      <c r="G5" s="182">
        <v>368.0</v>
      </c>
      <c r="H5" s="182">
        <v>151.0</v>
      </c>
      <c r="I5" s="182">
        <v>332.0</v>
      </c>
      <c r="J5" s="182">
        <v>352.0</v>
      </c>
      <c r="K5" s="182">
        <v>490.0</v>
      </c>
      <c r="L5" s="182">
        <v>175.0</v>
      </c>
      <c r="M5" s="182">
        <v>490.0</v>
      </c>
      <c r="N5" s="214">
        <f t="shared" ref="N5:N6" si="1">SUM(E5:M5)</f>
        <v>3116</v>
      </c>
      <c r="O5" s="215"/>
      <c r="P5" s="213">
        <v>355.0</v>
      </c>
      <c r="Q5" s="182">
        <v>146.0</v>
      </c>
      <c r="R5" s="182">
        <v>523.0</v>
      </c>
      <c r="S5" s="182">
        <v>412.0</v>
      </c>
      <c r="T5" s="182">
        <v>468.0</v>
      </c>
      <c r="U5" s="182">
        <v>312.0</v>
      </c>
      <c r="V5" s="182">
        <v>366.0</v>
      </c>
      <c r="W5" s="182">
        <v>172.0</v>
      </c>
      <c r="X5" s="182">
        <v>358.0</v>
      </c>
      <c r="Y5" s="182">
        <f t="shared" ref="Y5:Y6" si="2">SUM(P5:X5)</f>
        <v>3112</v>
      </c>
      <c r="Z5" s="216">
        <f t="shared" ref="Z5:Z6" si="3">Y5+N5</f>
        <v>6228</v>
      </c>
      <c r="AA5" s="211" t="s">
        <v>9</v>
      </c>
      <c r="AB5" s="212" t="s">
        <v>163</v>
      </c>
    </row>
    <row r="6">
      <c r="B6" s="1"/>
      <c r="C6" s="125"/>
      <c r="D6" s="217" t="s">
        <v>113</v>
      </c>
      <c r="E6" s="147">
        <v>4.0</v>
      </c>
      <c r="F6" s="147">
        <v>4.0</v>
      </c>
      <c r="G6" s="147">
        <v>4.0</v>
      </c>
      <c r="H6" s="147">
        <v>3.0</v>
      </c>
      <c r="I6" s="147">
        <v>4.0</v>
      </c>
      <c r="J6" s="147">
        <v>4.0</v>
      </c>
      <c r="K6" s="147">
        <v>5.0</v>
      </c>
      <c r="L6" s="147">
        <v>3.0</v>
      </c>
      <c r="M6" s="147">
        <v>5.0</v>
      </c>
      <c r="N6" s="218">
        <f t="shared" si="1"/>
        <v>36</v>
      </c>
      <c r="O6" s="215"/>
      <c r="P6" s="217">
        <v>4.0</v>
      </c>
      <c r="Q6" s="147">
        <v>3.0</v>
      </c>
      <c r="R6" s="147">
        <v>5.0</v>
      </c>
      <c r="S6" s="147">
        <v>4.0</v>
      </c>
      <c r="T6" s="147">
        <v>5.0</v>
      </c>
      <c r="U6" s="147">
        <v>4.0</v>
      </c>
      <c r="V6" s="147">
        <v>4.0</v>
      </c>
      <c r="W6" s="147">
        <v>3.0</v>
      </c>
      <c r="X6" s="147">
        <v>4.0</v>
      </c>
      <c r="Y6" s="147">
        <f t="shared" si="2"/>
        <v>36</v>
      </c>
      <c r="Z6" s="219">
        <f t="shared" si="3"/>
        <v>72</v>
      </c>
      <c r="AA6" s="211" t="s">
        <v>164</v>
      </c>
      <c r="AB6" s="212" t="s">
        <v>165</v>
      </c>
    </row>
    <row r="7">
      <c r="B7" s="1"/>
      <c r="C7" s="127"/>
      <c r="D7" s="220" t="s">
        <v>142</v>
      </c>
      <c r="E7" s="221">
        <v>5.0</v>
      </c>
      <c r="F7" s="221">
        <v>9.0</v>
      </c>
      <c r="G7" s="221">
        <v>7.0</v>
      </c>
      <c r="H7" s="221">
        <v>17.0</v>
      </c>
      <c r="I7" s="221">
        <v>11.0</v>
      </c>
      <c r="J7" s="221">
        <v>1.0</v>
      </c>
      <c r="K7" s="221">
        <v>13.0</v>
      </c>
      <c r="L7" s="222">
        <v>15.0</v>
      </c>
      <c r="M7" s="221">
        <v>3.0</v>
      </c>
      <c r="N7" s="223"/>
      <c r="O7" s="224"/>
      <c r="P7" s="225">
        <v>14.0</v>
      </c>
      <c r="Q7" s="221">
        <v>18.0</v>
      </c>
      <c r="R7" s="221">
        <v>6.0</v>
      </c>
      <c r="S7" s="221">
        <v>10.0</v>
      </c>
      <c r="T7" s="221">
        <v>2.0</v>
      </c>
      <c r="U7" s="221">
        <v>12.0</v>
      </c>
      <c r="V7" s="221">
        <v>4.0</v>
      </c>
      <c r="W7" s="221">
        <v>16.0</v>
      </c>
      <c r="X7" s="221">
        <v>8.0</v>
      </c>
      <c r="Y7" s="222"/>
      <c r="Z7" s="226"/>
      <c r="AA7" s="211" t="s">
        <v>166</v>
      </c>
      <c r="AB7" s="212" t="s">
        <v>167</v>
      </c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27" t="s">
        <v>168</v>
      </c>
      <c r="AB8" s="228" t="s">
        <v>169</v>
      </c>
    </row>
    <row r="9">
      <c r="B9" s="1"/>
      <c r="C9" s="229" t="str">
        <f>'ROUND 1 - FOURBALL'!F10</f>
        <v>PAXTON</v>
      </c>
      <c r="D9" s="230">
        <f>vlookup($C9,HANDICAPS!$B$33:$G$48,3,false)</f>
        <v>12</v>
      </c>
      <c r="E9" s="231">
        <f>if(isblank(E10),"",if(E11=-3,16*D12,if(E11=-2,8*D12,if(E11=-1,4*D12,if(E11=0,2*D12,if(E11=1,0,if(E11&gt;1,-4*D12))))))+D10)</f>
        <v>0</v>
      </c>
      <c r="F9" s="232">
        <f t="shared" ref="F9:M9" si="4">if(isblank(F10),"",if(F11=-3,16*E12+E9,if(F11=-2,8*E12+E9,if(F11=-1,4*E12+E9,if(F11=0,2*E12+E9,if(F11=1,0+E9,if(F11&gt;1,-4*E12+E9)))))))</f>
        <v>4</v>
      </c>
      <c r="G9" s="232">
        <f t="shared" si="4"/>
        <v>12</v>
      </c>
      <c r="H9" s="232">
        <f t="shared" si="4"/>
        <v>12</v>
      </c>
      <c r="I9" s="232">
        <f t="shared" si="4"/>
        <v>14</v>
      </c>
      <c r="J9" s="232">
        <f t="shared" si="4"/>
        <v>16</v>
      </c>
      <c r="K9" s="232">
        <f t="shared" si="4"/>
        <v>16</v>
      </c>
      <c r="L9" s="232">
        <f t="shared" si="4"/>
        <v>16</v>
      </c>
      <c r="M9" s="233">
        <f t="shared" si="4"/>
        <v>24</v>
      </c>
      <c r="N9" s="234">
        <f>M9</f>
        <v>24</v>
      </c>
      <c r="O9" s="235"/>
      <c r="P9" s="231">
        <f>if(isblank(P10),"",if(P11=-3,16*O12+O10+N9,if(P11=-2,8*O12+O10+N9,if(P11=-1,4*O12+O10+N9,if(P11=0,2*O12+O10+N9,if(P11=1,0+N9,if(P11&gt;1,-4*O12+O10+N9)))))))</f>
        <v>24</v>
      </c>
      <c r="Q9" s="232">
        <f t="shared" ref="Q9:X9" si="5">if(isblank(Q10),"",if(Q11=-3,16*P12+P9,if(Q11=-2,8*P12+P9,if(Q11=-1,4*P12+P9,if(Q11=0,2*P12+P9,if(Q11=1,0+P9,if(Q11&gt;1,-4*P12+P9)))))))</f>
        <v>24</v>
      </c>
      <c r="R9" s="232">
        <f t="shared" si="5"/>
        <v>28</v>
      </c>
      <c r="S9" s="232">
        <f t="shared" si="5"/>
        <v>32</v>
      </c>
      <c r="T9" s="232">
        <f t="shared" si="5"/>
        <v>36</v>
      </c>
      <c r="U9" s="232">
        <f t="shared" si="5"/>
        <v>52</v>
      </c>
      <c r="V9" s="232">
        <f t="shared" si="5"/>
        <v>68</v>
      </c>
      <c r="W9" s="232">
        <f t="shared" si="5"/>
        <v>68</v>
      </c>
      <c r="X9" s="233">
        <f t="shared" si="5"/>
        <v>70</v>
      </c>
      <c r="Y9" s="234">
        <f>if(isblank(X10),"",X9-N9)</f>
        <v>46</v>
      </c>
      <c r="Z9" s="234">
        <f>if(isblank(X10),0,X9)</f>
        <v>70</v>
      </c>
      <c r="AA9" s="236">
        <f>X12</f>
        <v>1</v>
      </c>
      <c r="AB9" s="1"/>
    </row>
    <row r="10">
      <c r="A10" s="237"/>
      <c r="B10" s="39"/>
      <c r="C10" s="238" t="s">
        <v>170</v>
      </c>
      <c r="D10" s="239"/>
      <c r="E10" s="240">
        <f>vlookup('ROUND 1 - FOURBALL'!$B11,'ROUND 1 - FOURBALL'!$B:$AC,7,false)</f>
        <v>6</v>
      </c>
      <c r="F10" s="241">
        <f>vlookup('ROUND 1 - FOURBALL'!$B11,'ROUND 1 - FOURBALL'!$B:$AC,8,false)</f>
        <v>4</v>
      </c>
      <c r="G10" s="241">
        <f>vlookup('ROUND 1 - FOURBALL'!$B11,'ROUND 1 - FOURBALL'!$B:$AC,9,false)</f>
        <v>4</v>
      </c>
      <c r="H10" s="241">
        <f>vlookup('ROUND 1 - FOURBALL'!$B11,'ROUND 1 - FOURBALL'!$B:$AC,10,false)</f>
        <v>4</v>
      </c>
      <c r="I10" s="241">
        <f>vlookup('ROUND 1 - FOURBALL'!$B11,'ROUND 1 - FOURBALL'!$B:$AC,11,false)</f>
        <v>5</v>
      </c>
      <c r="J10" s="241">
        <f>vlookup('ROUND 1 - FOURBALL'!$B11,'ROUND 1 - FOURBALL'!$B:$AC,12,false)</f>
        <v>5</v>
      </c>
      <c r="K10" s="241">
        <f>vlookup('ROUND 1 - FOURBALL'!$B11,'ROUND 1 - FOURBALL'!$B:$AC,13,false)</f>
        <v>6</v>
      </c>
      <c r="L10" s="241">
        <f>vlookup('ROUND 1 - FOURBALL'!$B11,'ROUND 1 - FOURBALL'!$B:$AC,14,false)</f>
        <v>4</v>
      </c>
      <c r="M10" s="242">
        <f>vlookup('ROUND 1 - FOURBALL'!$B11,'ROUND 1 - FOURBALL'!$B:$AC,15,false)</f>
        <v>4</v>
      </c>
      <c r="N10" s="243">
        <f>if(isblank(M10),"",sum(E10:M10))</f>
        <v>42</v>
      </c>
      <c r="O10" s="244"/>
      <c r="P10" s="240">
        <f>vlookup('ROUND 1 - FOURBALL'!$B11,'ROUND 1 - FOURBALL'!$B:$AC,18,false)</f>
        <v>5</v>
      </c>
      <c r="Q10" s="241">
        <f>vlookup('ROUND 1 - FOURBALL'!$B11,'ROUND 1 - FOURBALL'!$B:$AC,19,false)</f>
        <v>4</v>
      </c>
      <c r="R10" s="241">
        <f>vlookup('ROUND 1 - FOURBALL'!$B11,'ROUND 1 - FOURBALL'!$B:$AC,20,false)</f>
        <v>5</v>
      </c>
      <c r="S10" s="241">
        <f>vlookup('ROUND 1 - FOURBALL'!$B11,'ROUND 1 - FOURBALL'!$B:$AC,21,false)</f>
        <v>5</v>
      </c>
      <c r="T10" s="241">
        <f>vlookup('ROUND 1 - FOURBALL'!$B11,'ROUND 1 - FOURBALL'!$B:$AC,22,false)</f>
        <v>5</v>
      </c>
      <c r="U10" s="241">
        <f>vlookup('ROUND 1 - FOURBALL'!$B11,'ROUND 1 - FOURBALL'!$B:$AC,23,false)</f>
        <v>3</v>
      </c>
      <c r="V10" s="241">
        <f>vlookup('ROUND 1 - FOURBALL'!$B11,'ROUND 1 - FOURBALL'!$B:$AC,24,false)</f>
        <v>4</v>
      </c>
      <c r="W10" s="241">
        <f>vlookup('ROUND 1 - FOURBALL'!$B11,'ROUND 1 - FOURBALL'!$B:$AC,25,false)</f>
        <v>4</v>
      </c>
      <c r="X10" s="242">
        <f>vlookup('ROUND 1 - FOURBALL'!$B11,'ROUND 1 - FOURBALL'!$B:$AC,26,false)</f>
        <v>5</v>
      </c>
      <c r="Y10" s="243">
        <f>if(isblank(X10),"",sum(P10:X10))</f>
        <v>40</v>
      </c>
      <c r="Z10" s="245">
        <f>if(isblank(X10),"",sum(N10,Y10))</f>
        <v>82</v>
      </c>
      <c r="AA10" s="246"/>
      <c r="AB10" s="39"/>
    </row>
    <row r="11">
      <c r="A11" s="237"/>
      <c r="B11" s="39"/>
      <c r="C11" s="247" t="s">
        <v>171</v>
      </c>
      <c r="D11" s="248"/>
      <c r="E11" s="249">
        <f t="shared" ref="E11:M11" si="6">if(isblank(E10),"",if(and(18-$D9&lt;0,18+E$7&lt;$D9),E10-2-E$6,if(or(E$7&lt;$D9,E$7=$D9),E10-1-E$6,E10-E$6)))</f>
        <v>1</v>
      </c>
      <c r="F11" s="250">
        <f t="shared" si="6"/>
        <v>-1</v>
      </c>
      <c r="G11" s="250">
        <f t="shared" si="6"/>
        <v>-1</v>
      </c>
      <c r="H11" s="250">
        <f t="shared" si="6"/>
        <v>1</v>
      </c>
      <c r="I11" s="250">
        <f t="shared" si="6"/>
        <v>0</v>
      </c>
      <c r="J11" s="250">
        <f t="shared" si="6"/>
        <v>0</v>
      </c>
      <c r="K11" s="250">
        <f t="shared" si="6"/>
        <v>1</v>
      </c>
      <c r="L11" s="250">
        <f t="shared" si="6"/>
        <v>1</v>
      </c>
      <c r="M11" s="251">
        <f t="shared" si="6"/>
        <v>-2</v>
      </c>
      <c r="N11" s="243">
        <f>if(isblank(M10),"",if(or(N$7&lt;$D9,N$7=$D9),N10-1-N$6,N10-N$6))</f>
        <v>5</v>
      </c>
      <c r="O11" s="244"/>
      <c r="P11" s="249">
        <f t="shared" ref="P11:X11" si="7">if(isblank(P10),"",if(and(18-$D9&lt;0,18+P$7&lt;$D9),P10-2-P$6,if(or(P$7&lt;$D9,P$7=$D9),P10-1-P$6,P10-P$6)))</f>
        <v>1</v>
      </c>
      <c r="Q11" s="250">
        <f t="shared" si="7"/>
        <v>1</v>
      </c>
      <c r="R11" s="250">
        <f t="shared" si="7"/>
        <v>-1</v>
      </c>
      <c r="S11" s="250">
        <f t="shared" si="7"/>
        <v>0</v>
      </c>
      <c r="T11" s="250">
        <f t="shared" si="7"/>
        <v>-1</v>
      </c>
      <c r="U11" s="250">
        <f t="shared" si="7"/>
        <v>-2</v>
      </c>
      <c r="V11" s="250">
        <f t="shared" si="7"/>
        <v>-1</v>
      </c>
      <c r="W11" s="250">
        <f t="shared" si="7"/>
        <v>1</v>
      </c>
      <c r="X11" s="251">
        <f t="shared" si="7"/>
        <v>0</v>
      </c>
      <c r="Y11" s="243">
        <f>if(isblank(X10),"",if(or(Y$7&lt;$D9,Y$7=$D9),Y10-1-Y$6,Y10-Y$6))</f>
        <v>3</v>
      </c>
      <c r="Z11" s="252">
        <f>if(isblank(X10),"",sum(N11,Y11))</f>
        <v>8</v>
      </c>
      <c r="AA11" s="42"/>
      <c r="AB11" s="39"/>
    </row>
    <row r="12">
      <c r="B12" s="1"/>
      <c r="C12" s="253" t="s">
        <v>172</v>
      </c>
      <c r="D12" s="254">
        <v>1.0</v>
      </c>
      <c r="E12" s="255">
        <f t="shared" ref="E12:M12" si="8">if(isblank(E10),"",if(E11=-1,D12+1,if(E11=-2,D12+2,if(E11=-3,D12+3,1))))</f>
        <v>1</v>
      </c>
      <c r="F12" s="256">
        <f t="shared" si="8"/>
        <v>2</v>
      </c>
      <c r="G12" s="256">
        <f t="shared" si="8"/>
        <v>3</v>
      </c>
      <c r="H12" s="256">
        <f t="shared" si="8"/>
        <v>1</v>
      </c>
      <c r="I12" s="256">
        <f t="shared" si="8"/>
        <v>1</v>
      </c>
      <c r="J12" s="256">
        <f t="shared" si="8"/>
        <v>1</v>
      </c>
      <c r="K12" s="256">
        <f t="shared" si="8"/>
        <v>1</v>
      </c>
      <c r="L12" s="256">
        <f t="shared" si="8"/>
        <v>1</v>
      </c>
      <c r="M12" s="257">
        <f t="shared" si="8"/>
        <v>3</v>
      </c>
      <c r="N12" s="258"/>
      <c r="O12" s="259">
        <f>M12</f>
        <v>3</v>
      </c>
      <c r="P12" s="255">
        <f t="shared" ref="P12:X12" si="9">if(isblank(P10),"",if(P11=-1,O12+1,if(P11=-2,O12+2,if(P11=-3,O12+3,1))))</f>
        <v>1</v>
      </c>
      <c r="Q12" s="256">
        <f t="shared" si="9"/>
        <v>1</v>
      </c>
      <c r="R12" s="256">
        <f t="shared" si="9"/>
        <v>2</v>
      </c>
      <c r="S12" s="256">
        <f t="shared" si="9"/>
        <v>1</v>
      </c>
      <c r="T12" s="256">
        <f t="shared" si="9"/>
        <v>2</v>
      </c>
      <c r="U12" s="256">
        <f t="shared" si="9"/>
        <v>4</v>
      </c>
      <c r="V12" s="256">
        <f t="shared" si="9"/>
        <v>5</v>
      </c>
      <c r="W12" s="256">
        <f t="shared" si="9"/>
        <v>1</v>
      </c>
      <c r="X12" s="257">
        <f t="shared" si="9"/>
        <v>1</v>
      </c>
      <c r="Y12" s="258"/>
      <c r="Z12" s="234">
        <f>if(isblank(Y10),"",if(Y11=-1,X12+1,if(Y11=-2,X12+2,if(Y11=-3,X12+3,1))))</f>
        <v>1</v>
      </c>
      <c r="AA12" s="260"/>
      <c r="AB12" s="1"/>
    </row>
    <row r="13">
      <c r="B13" s="1"/>
      <c r="C13" s="261"/>
      <c r="D13" s="261"/>
      <c r="E13" s="262"/>
      <c r="F13" s="262"/>
      <c r="G13" s="262"/>
      <c r="H13" s="263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3"/>
      <c r="W13" s="262"/>
      <c r="X13" s="262"/>
      <c r="Y13" s="262"/>
      <c r="Z13" s="262"/>
      <c r="AA13" s="236"/>
      <c r="AB13" s="1"/>
    </row>
    <row r="14">
      <c r="B14" s="1"/>
      <c r="C14" s="229" t="str">
        <f>'ROUND 1 - FOURBALL'!F12</f>
        <v>DYLAN</v>
      </c>
      <c r="D14" s="230">
        <f>vlookup($C14,HANDICAPS!$B$33:$G$48,3,false)</f>
        <v>14</v>
      </c>
      <c r="E14" s="231">
        <f>if(isblank(E15),"",if(E16=-3,16*D17,if(E16=-2,8*D17,if(E16=-1,4*D17,if(E16=0,2*D17,if(E16=1,0,if(E16&gt;1,-4*D17))))))+D15)</f>
        <v>4</v>
      </c>
      <c r="F14" s="232">
        <f t="shared" ref="F14:M14" si="10">if(isblank(F15),"",if(F16=-3,16*E17+E14,if(F16=-2,8*E17+E14,if(F16=-1,4*E17+E14,if(F16=0,2*E17+E14,if(F16=1,0+E14,if(F16&gt;1,-4*E17+E14)))))))</f>
        <v>12</v>
      </c>
      <c r="G14" s="232">
        <f t="shared" si="10"/>
        <v>24</v>
      </c>
      <c r="H14" s="232">
        <f t="shared" si="10"/>
        <v>24</v>
      </c>
      <c r="I14" s="232">
        <f t="shared" si="10"/>
        <v>26</v>
      </c>
      <c r="J14" s="232">
        <f t="shared" si="10"/>
        <v>26</v>
      </c>
      <c r="K14" s="232">
        <f t="shared" si="10"/>
        <v>30</v>
      </c>
      <c r="L14" s="232">
        <f t="shared" si="10"/>
        <v>30</v>
      </c>
      <c r="M14" s="233">
        <f t="shared" si="10"/>
        <v>30</v>
      </c>
      <c r="N14" s="234">
        <f>M14</f>
        <v>30</v>
      </c>
      <c r="O14" s="235"/>
      <c r="P14" s="231">
        <f>if(isblank(P15),"",if(P16=-3,16*O17+O15+N14,if(P16=-2,8*O17+O15+N14,if(P16=-1,4*O17+O15+N14,if(P16=0,2*O17+O15+N14,if(P16=1,0+N14,if(P16&gt;1,-4*O17+O15+N14)))))))</f>
        <v>30</v>
      </c>
      <c r="Q14" s="232">
        <f t="shared" ref="Q14:X14" si="11">if(isblank(Q15),"",if(Q16=-3,16*P17+P14,if(Q16=-2,8*P17+P14,if(Q16=-1,4*P17+P14,if(Q16=0,2*P17+P14,if(Q16=1,0+P14,if(Q16&gt;1,-4*P17+P14)))))))</f>
        <v>32</v>
      </c>
      <c r="R14" s="232">
        <f t="shared" si="11"/>
        <v>36</v>
      </c>
      <c r="S14" s="232">
        <f t="shared" si="11"/>
        <v>44</v>
      </c>
      <c r="T14" s="232">
        <f t="shared" si="11"/>
        <v>50</v>
      </c>
      <c r="U14" s="232">
        <f t="shared" si="11"/>
        <v>52</v>
      </c>
      <c r="V14" s="232">
        <f t="shared" si="11"/>
        <v>54</v>
      </c>
      <c r="W14" s="232">
        <f t="shared" si="11"/>
        <v>54</v>
      </c>
      <c r="X14" s="233">
        <f t="shared" si="11"/>
        <v>58</v>
      </c>
      <c r="Y14" s="234">
        <f>if(isblank(X15),"",X14-N14)</f>
        <v>28</v>
      </c>
      <c r="Z14" s="234">
        <f>if(isblank(X15),0,X14)</f>
        <v>58</v>
      </c>
      <c r="AA14" s="236">
        <f>X17</f>
        <v>2</v>
      </c>
      <c r="AB14" s="1"/>
    </row>
    <row r="15">
      <c r="B15" s="1"/>
      <c r="C15" s="238" t="s">
        <v>170</v>
      </c>
      <c r="D15" s="239"/>
      <c r="E15" s="240">
        <f>vlookup('ROUND 1 - FOURBALL'!$B13,'ROUND 1 - FOURBALL'!$B:$AC,7,false)</f>
        <v>4</v>
      </c>
      <c r="F15" s="241">
        <f>vlookup('ROUND 1 - FOURBALL'!$B13,'ROUND 1 - FOURBALL'!$B:$AC,8,false)</f>
        <v>4</v>
      </c>
      <c r="G15" s="241">
        <f>vlookup('ROUND 1 - FOURBALL'!$B13,'ROUND 1 - FOURBALL'!$B:$AC,9,false)</f>
        <v>4</v>
      </c>
      <c r="H15" s="241">
        <f>vlookup('ROUND 1 - FOURBALL'!$B13,'ROUND 1 - FOURBALL'!$B:$AC,10,false)</f>
        <v>4</v>
      </c>
      <c r="I15" s="241">
        <f>vlookup('ROUND 1 - FOURBALL'!$B13,'ROUND 1 - FOURBALL'!$B:$AC,11,false)</f>
        <v>5</v>
      </c>
      <c r="J15" s="241">
        <f>vlookup('ROUND 1 - FOURBALL'!$B13,'ROUND 1 - FOURBALL'!$B:$AC,12,false)</f>
        <v>6</v>
      </c>
      <c r="K15" s="241">
        <f>vlookup('ROUND 1 - FOURBALL'!$B13,'ROUND 1 - FOURBALL'!$B:$AC,13,false)</f>
        <v>5</v>
      </c>
      <c r="L15" s="241">
        <f>vlookup('ROUND 1 - FOURBALL'!$B13,'ROUND 1 - FOURBALL'!$B:$AC,14,false)</f>
        <v>4</v>
      </c>
      <c r="M15" s="242">
        <f>vlookup('ROUND 1 - FOURBALL'!$B13,'ROUND 1 - FOURBALL'!$B:$AC,15,false)</f>
        <v>7</v>
      </c>
      <c r="N15" s="243">
        <f>if(isblank(M15),"",sum(E15:M15))</f>
        <v>43</v>
      </c>
      <c r="O15" s="244"/>
      <c r="P15" s="240">
        <f>vlookup('ROUND 1 - FOURBALL'!$B13,'ROUND 1 - FOURBALL'!$B:$AC,18,false)</f>
        <v>6</v>
      </c>
      <c r="Q15" s="241">
        <f>vlookup('ROUND 1 - FOURBALL'!$B13,'ROUND 1 - FOURBALL'!$B:$AC,19,false)</f>
        <v>3</v>
      </c>
      <c r="R15" s="241">
        <f>vlookup('ROUND 1 - FOURBALL'!$B13,'ROUND 1 - FOURBALL'!$B:$AC,20,false)</f>
        <v>5</v>
      </c>
      <c r="S15" s="241">
        <f>vlookup('ROUND 1 - FOURBALL'!$B13,'ROUND 1 - FOURBALL'!$B:$AC,21,false)</f>
        <v>4</v>
      </c>
      <c r="T15" s="241">
        <f>vlookup('ROUND 1 - FOURBALL'!$B13,'ROUND 1 - FOURBALL'!$B:$AC,22,false)</f>
        <v>6</v>
      </c>
      <c r="U15" s="241">
        <f>vlookup('ROUND 1 - FOURBALL'!$B13,'ROUND 1 - FOURBALL'!$B:$AC,23,false)</f>
        <v>5</v>
      </c>
      <c r="V15" s="241">
        <f>vlookup('ROUND 1 - FOURBALL'!$B13,'ROUND 1 - FOURBALL'!$B:$AC,24,false)</f>
        <v>5</v>
      </c>
      <c r="W15" s="241">
        <f>vlookup('ROUND 1 - FOURBALL'!$B13,'ROUND 1 - FOURBALL'!$B:$AC,25,false)</f>
        <v>4</v>
      </c>
      <c r="X15" s="242">
        <f>vlookup('ROUND 1 - FOURBALL'!$B13,'ROUND 1 - FOURBALL'!$B:$AC,26,false)</f>
        <v>4</v>
      </c>
      <c r="Y15" s="243">
        <f>if(isblank(X15),"",sum(P15:X15))</f>
        <v>42</v>
      </c>
      <c r="Z15" s="245">
        <f>if(isblank(X15),"",sum(N15,Y15))</f>
        <v>85</v>
      </c>
      <c r="AA15" s="264"/>
      <c r="AB15" s="1"/>
    </row>
    <row r="16">
      <c r="B16" s="1"/>
      <c r="C16" s="247" t="s">
        <v>171</v>
      </c>
      <c r="D16" s="248"/>
      <c r="E16" s="249">
        <f t="shared" ref="E16:M16" si="12">if(isblank(E15),"",if(and(18-$D14&lt;0,18+E$7&lt;$D14),E15-2-E$6,if(or(E$7&lt;$D14,E$7=$D14),E15-1-E$6,E15-E$6)))</f>
        <v>-1</v>
      </c>
      <c r="F16" s="250">
        <f t="shared" si="12"/>
        <v>-1</v>
      </c>
      <c r="G16" s="250">
        <f t="shared" si="12"/>
        <v>-1</v>
      </c>
      <c r="H16" s="250">
        <f t="shared" si="12"/>
        <v>1</v>
      </c>
      <c r="I16" s="250">
        <f t="shared" si="12"/>
        <v>0</v>
      </c>
      <c r="J16" s="250">
        <f t="shared" si="12"/>
        <v>1</v>
      </c>
      <c r="K16" s="250">
        <f t="shared" si="12"/>
        <v>-1</v>
      </c>
      <c r="L16" s="250">
        <f t="shared" si="12"/>
        <v>1</v>
      </c>
      <c r="M16" s="251">
        <f t="shared" si="12"/>
        <v>1</v>
      </c>
      <c r="N16" s="243">
        <f>if(isblank(M15),"",if(or(N$7&lt;$D14,N$7=$D14),N15-1-N$6,N15-N$6))</f>
        <v>6</v>
      </c>
      <c r="O16" s="244"/>
      <c r="P16" s="249">
        <f t="shared" ref="P16:X16" si="13">if(isblank(P15),"",if(and(18-$D14&lt;0,18+P$7&lt;$D14),P15-2-P$6,if(or(P$7&lt;$D14,P$7=$D14),P15-1-P$6,P15-P$6)))</f>
        <v>1</v>
      </c>
      <c r="Q16" s="250">
        <f t="shared" si="13"/>
        <v>0</v>
      </c>
      <c r="R16" s="250">
        <f t="shared" si="13"/>
        <v>-1</v>
      </c>
      <c r="S16" s="250">
        <f t="shared" si="13"/>
        <v>-1</v>
      </c>
      <c r="T16" s="250">
        <f t="shared" si="13"/>
        <v>0</v>
      </c>
      <c r="U16" s="250">
        <f t="shared" si="13"/>
        <v>0</v>
      </c>
      <c r="V16" s="250">
        <f t="shared" si="13"/>
        <v>0</v>
      </c>
      <c r="W16" s="250">
        <f t="shared" si="13"/>
        <v>1</v>
      </c>
      <c r="X16" s="251">
        <f t="shared" si="13"/>
        <v>-1</v>
      </c>
      <c r="Y16" s="243">
        <f>if(isblank(X15),"",if(or(Y$7&lt;$D14,Y$7=$D14),Y15-1-Y$6,Y15-Y$6))</f>
        <v>5</v>
      </c>
      <c r="Z16" s="252">
        <f>if(isblank(X15),"",sum(N16,Y16))</f>
        <v>11</v>
      </c>
      <c r="AA16" s="236"/>
      <c r="AB16" s="1"/>
    </row>
    <row r="17">
      <c r="B17" s="1"/>
      <c r="C17" s="253" t="s">
        <v>172</v>
      </c>
      <c r="D17" s="253">
        <v>1.0</v>
      </c>
      <c r="E17" s="255">
        <f t="shared" ref="E17:M17" si="14">if(isblank(E15),"",if(E16=-1,D17+1,if(E16=-2,D17+2,if(E16=-3,D17+3,1))))</f>
        <v>2</v>
      </c>
      <c r="F17" s="256">
        <f t="shared" si="14"/>
        <v>3</v>
      </c>
      <c r="G17" s="256">
        <f t="shared" si="14"/>
        <v>4</v>
      </c>
      <c r="H17" s="256">
        <f t="shared" si="14"/>
        <v>1</v>
      </c>
      <c r="I17" s="256">
        <f t="shared" si="14"/>
        <v>1</v>
      </c>
      <c r="J17" s="256">
        <f t="shared" si="14"/>
        <v>1</v>
      </c>
      <c r="K17" s="256">
        <f t="shared" si="14"/>
        <v>2</v>
      </c>
      <c r="L17" s="256">
        <f t="shared" si="14"/>
        <v>1</v>
      </c>
      <c r="M17" s="257">
        <f t="shared" si="14"/>
        <v>1</v>
      </c>
      <c r="N17" s="258"/>
      <c r="O17" s="259">
        <f>if(isblank(N15),"",if(N16=-1,M17+1,if(N16=-2,M17+2,if(N16=-3,M17+3,1))))</f>
        <v>1</v>
      </c>
      <c r="P17" s="255">
        <f t="shared" ref="P17:X17" si="15">if(isblank(P15),"",if(P16=-1,O17+1,if(P16=-2,O17+2,if(P16=-3,O17+3,1))))</f>
        <v>1</v>
      </c>
      <c r="Q17" s="256">
        <f t="shared" si="15"/>
        <v>1</v>
      </c>
      <c r="R17" s="256">
        <f t="shared" si="15"/>
        <v>2</v>
      </c>
      <c r="S17" s="256">
        <f t="shared" si="15"/>
        <v>3</v>
      </c>
      <c r="T17" s="256">
        <f t="shared" si="15"/>
        <v>1</v>
      </c>
      <c r="U17" s="256">
        <f t="shared" si="15"/>
        <v>1</v>
      </c>
      <c r="V17" s="256">
        <f t="shared" si="15"/>
        <v>1</v>
      </c>
      <c r="W17" s="256">
        <f t="shared" si="15"/>
        <v>1</v>
      </c>
      <c r="X17" s="257">
        <f t="shared" si="15"/>
        <v>2</v>
      </c>
      <c r="Y17" s="258"/>
      <c r="Z17" s="234">
        <f>if(isblank(Y15),"",if(Y16=-1,X17+1,if(Y16=-2,X17+2,if(Y16=-3,X17+3,1))))</f>
        <v>1</v>
      </c>
      <c r="AA17" s="236">
        <f>X17</f>
        <v>2</v>
      </c>
      <c r="AB17" s="1"/>
    </row>
    <row r="18">
      <c r="B18" s="1"/>
      <c r="C18" s="1"/>
      <c r="D18" s="1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36"/>
      <c r="AB18" s="1"/>
    </row>
    <row r="19">
      <c r="B19" s="1"/>
      <c r="C19" s="229" t="str">
        <f>'ROUND 1 - FOURBALL'!F18</f>
        <v>SLICK</v>
      </c>
      <c r="D19" s="230">
        <f>vlookup($C19,HANDICAPS!$B$33:$G$48,3,false)</f>
        <v>10</v>
      </c>
      <c r="E19" s="231">
        <f>if(isblank(E20),"",if(E21=-3,16*D22,if(E21=-2,8*D22,if(E21=-1,4*D22,if(E21=0,2*D22,if(E21=1,0,if(E21&gt;1,-4*D22))))))+D20)</f>
        <v>4</v>
      </c>
      <c r="F19" s="232">
        <f t="shared" ref="F19:M19" si="16">if(isblank(F20),"",if(F21=-3,16*E22+E19,if(F21=-2,8*E22+E19,if(F21=-1,4*E22+E19,if(F21=0,2*E22+E19,if(F21=1,0+E19,if(F21&gt;1,-4*E22+E19)))))))</f>
        <v>12</v>
      </c>
      <c r="G19" s="232">
        <f t="shared" si="16"/>
        <v>24</v>
      </c>
      <c r="H19" s="232">
        <f t="shared" si="16"/>
        <v>32</v>
      </c>
      <c r="I19" s="232">
        <f t="shared" si="16"/>
        <v>34</v>
      </c>
      <c r="J19" s="232">
        <f t="shared" si="16"/>
        <v>36</v>
      </c>
      <c r="K19" s="232">
        <f t="shared" si="16"/>
        <v>38</v>
      </c>
      <c r="L19" s="232">
        <f t="shared" si="16"/>
        <v>40</v>
      </c>
      <c r="M19" s="233">
        <f t="shared" si="16"/>
        <v>44</v>
      </c>
      <c r="N19" s="234">
        <f>M19</f>
        <v>44</v>
      </c>
      <c r="O19" s="235"/>
      <c r="P19" s="231">
        <f>if(isblank(P20),"",if(P21=-3,16*O22+O20+N19,if(P21=-2,8*O22+O20+N19,if(P21=-1,4*O22+O20+N19,if(P21=0,2*O22+O20+N19,if(P21=1,0+N19,if(P21&gt;1,-4*O22+O20+N19)))))))</f>
        <v>46</v>
      </c>
      <c r="Q19" s="232">
        <f t="shared" ref="Q19:X19" si="17">if(isblank(Q20),"",if(Q21=-3,16*P22+P19,if(Q21=-2,8*P22+P19,if(Q21=-1,4*P22+P19,if(Q21=0,2*P22+P19,if(Q21=1,0+P19,if(Q21&gt;1,-4*P22+P19)))))))</f>
        <v>48</v>
      </c>
      <c r="R19" s="232">
        <f t="shared" si="17"/>
        <v>48</v>
      </c>
      <c r="S19" s="232">
        <f t="shared" si="17"/>
        <v>50</v>
      </c>
      <c r="T19" s="232">
        <f t="shared" si="17"/>
        <v>54</v>
      </c>
      <c r="U19" s="232">
        <f t="shared" si="17"/>
        <v>54</v>
      </c>
      <c r="V19" s="232">
        <f t="shared" si="17"/>
        <v>58</v>
      </c>
      <c r="W19" s="232">
        <f t="shared" si="17"/>
        <v>58</v>
      </c>
      <c r="X19" s="233">
        <f t="shared" si="17"/>
        <v>60</v>
      </c>
      <c r="Y19" s="234">
        <f>if(isblank(X20),"",X19-N19)</f>
        <v>16</v>
      </c>
      <c r="Z19" s="234">
        <f>if(isblank(X20),0,X19)</f>
        <v>60</v>
      </c>
      <c r="AA19" s="236">
        <f>X22</f>
        <v>1</v>
      </c>
      <c r="AB19" s="1"/>
    </row>
    <row r="20">
      <c r="A20" s="237"/>
      <c r="B20" s="39"/>
      <c r="C20" s="238" t="s">
        <v>170</v>
      </c>
      <c r="D20" s="239"/>
      <c r="E20" s="240">
        <f>vlookup('ROUND 1 - FOURBALL'!$B19,'ROUND 1 - FOURBALL'!$B:$AC,7,false)</f>
        <v>4</v>
      </c>
      <c r="F20" s="241">
        <f>vlookup('ROUND 1 - FOURBALL'!$B19,'ROUND 1 - FOURBALL'!$B:$AC,8,false)</f>
        <v>4</v>
      </c>
      <c r="G20" s="241">
        <f>vlookup('ROUND 1 - FOURBALL'!$B19,'ROUND 1 - FOURBALL'!$B:$AC,9,false)</f>
        <v>4</v>
      </c>
      <c r="H20" s="241">
        <f>vlookup('ROUND 1 - FOURBALL'!$B19,'ROUND 1 - FOURBALL'!$B:$AC,10,false)</f>
        <v>3</v>
      </c>
      <c r="I20" s="241">
        <f>vlookup('ROUND 1 - FOURBALL'!$B19,'ROUND 1 - FOURBALL'!$B:$AC,11,false)</f>
        <v>4</v>
      </c>
      <c r="J20" s="241">
        <f>vlookup('ROUND 1 - FOURBALL'!$B19,'ROUND 1 - FOURBALL'!$B:$AC,12,false)</f>
        <v>5</v>
      </c>
      <c r="K20" s="241">
        <f>vlookup('ROUND 1 - FOURBALL'!$B19,'ROUND 1 - FOURBALL'!$B:$AC,13,false)</f>
        <v>5</v>
      </c>
      <c r="L20" s="241">
        <f>vlookup('ROUND 1 - FOURBALL'!$B19,'ROUND 1 - FOURBALL'!$B:$AC,14,false)</f>
        <v>3</v>
      </c>
      <c r="M20" s="242">
        <f>vlookup('ROUND 1 - FOURBALL'!$B19,'ROUND 1 - FOURBALL'!$B:$AC,15,false)</f>
        <v>5</v>
      </c>
      <c r="N20" s="243">
        <f>if(isblank(M20),"",sum(E20:M20))</f>
        <v>37</v>
      </c>
      <c r="O20" s="244"/>
      <c r="P20" s="240">
        <f>vlookup('ROUND 1 - FOURBALL'!$B19,'ROUND 1 - FOURBALL'!$B:$AC,18,false)</f>
        <v>4</v>
      </c>
      <c r="Q20" s="241">
        <f>vlookup('ROUND 1 - FOURBALL'!$B19,'ROUND 1 - FOURBALL'!$B:$AC,19,false)</f>
        <v>3</v>
      </c>
      <c r="R20" s="241">
        <f>vlookup('ROUND 1 - FOURBALL'!$B19,'ROUND 1 - FOURBALL'!$B:$AC,20,false)</f>
        <v>7</v>
      </c>
      <c r="S20" s="241">
        <f>vlookup('ROUND 1 - FOURBALL'!$B19,'ROUND 1 - FOURBALL'!$B:$AC,21,false)</f>
        <v>5</v>
      </c>
      <c r="T20" s="241">
        <f>vlookup('ROUND 1 - FOURBALL'!$B19,'ROUND 1 - FOURBALL'!$B:$AC,22,false)</f>
        <v>5</v>
      </c>
      <c r="U20" s="241">
        <f>vlookup('ROUND 1 - FOURBALL'!$B19,'ROUND 1 - FOURBALL'!$B:$AC,23,false)</f>
        <v>5</v>
      </c>
      <c r="V20" s="241">
        <f>vlookup('ROUND 1 - FOURBALL'!$B19,'ROUND 1 - FOURBALL'!$B:$AC,24,false)</f>
        <v>4</v>
      </c>
      <c r="W20" s="241">
        <f>vlookup('ROUND 1 - FOURBALL'!$B19,'ROUND 1 - FOURBALL'!$B:$AC,25,false)</f>
        <v>4</v>
      </c>
      <c r="X20" s="242">
        <f>vlookup('ROUND 1 - FOURBALL'!$B19,'ROUND 1 - FOURBALL'!$B:$AC,26,false)</f>
        <v>5</v>
      </c>
      <c r="Y20" s="243">
        <f>if(isblank(X20),"",sum(P20:X20))</f>
        <v>42</v>
      </c>
      <c r="Z20" s="245">
        <f>if(isblank(X20),"",sum(N20,Y20))</f>
        <v>79</v>
      </c>
      <c r="AA20" s="246"/>
      <c r="AB20" s="39"/>
    </row>
    <row r="21">
      <c r="A21" s="237"/>
      <c r="B21" s="39"/>
      <c r="C21" s="247" t="s">
        <v>171</v>
      </c>
      <c r="D21" s="248"/>
      <c r="E21" s="249">
        <f t="shared" ref="E21:M21" si="18">if(isblank(E20),"",if(and(18-$D19&lt;0,18+E$7&lt;$D19),E20-2-E$6,if(or(E$7&lt;$D19,E$7=$D19),E20-1-E$6,E20-E$6)))</f>
        <v>-1</v>
      </c>
      <c r="F21" s="250">
        <f t="shared" si="18"/>
        <v>-1</v>
      </c>
      <c r="G21" s="250">
        <f t="shared" si="18"/>
        <v>-1</v>
      </c>
      <c r="H21" s="250">
        <f t="shared" si="18"/>
        <v>0</v>
      </c>
      <c r="I21" s="250">
        <f t="shared" si="18"/>
        <v>0</v>
      </c>
      <c r="J21" s="250">
        <f t="shared" si="18"/>
        <v>0</v>
      </c>
      <c r="K21" s="250">
        <f t="shared" si="18"/>
        <v>0</v>
      </c>
      <c r="L21" s="250">
        <f t="shared" si="18"/>
        <v>0</v>
      </c>
      <c r="M21" s="251">
        <f t="shared" si="18"/>
        <v>-1</v>
      </c>
      <c r="N21" s="243">
        <f>if(isblank(M20),"",if(or(N$7&lt;$D19,N$7=$D19),N20-1-N$6,N20-N$6))</f>
        <v>0</v>
      </c>
      <c r="O21" s="244"/>
      <c r="P21" s="249">
        <f t="shared" ref="P21:X21" si="19">if(isblank(P20),"",if(and(18-$D19&lt;0,18+P$7&lt;$D19),P20-2-P$6,if(or(P$7&lt;$D19,P$7=$D19),P20-1-P$6,P20-P$6)))</f>
        <v>0</v>
      </c>
      <c r="Q21" s="250">
        <f t="shared" si="19"/>
        <v>0</v>
      </c>
      <c r="R21" s="250">
        <f t="shared" si="19"/>
        <v>1</v>
      </c>
      <c r="S21" s="250">
        <f t="shared" si="19"/>
        <v>0</v>
      </c>
      <c r="T21" s="250">
        <f t="shared" si="19"/>
        <v>-1</v>
      </c>
      <c r="U21" s="250">
        <f t="shared" si="19"/>
        <v>1</v>
      </c>
      <c r="V21" s="250">
        <f t="shared" si="19"/>
        <v>-1</v>
      </c>
      <c r="W21" s="250">
        <f t="shared" si="19"/>
        <v>1</v>
      </c>
      <c r="X21" s="251">
        <f t="shared" si="19"/>
        <v>0</v>
      </c>
      <c r="Y21" s="243">
        <f>if(isblank(X20),"",if(or(Y$7&lt;$D19,Y$7=$D19),Y20-1-Y$6,Y20-Y$6))</f>
        <v>5</v>
      </c>
      <c r="Z21" s="252">
        <f>if(isblank(X20),"",sum(N21,Y21))</f>
        <v>5</v>
      </c>
      <c r="AA21" s="42"/>
      <c r="AB21" s="39"/>
    </row>
    <row r="22">
      <c r="B22" s="1"/>
      <c r="C22" s="253" t="s">
        <v>172</v>
      </c>
      <c r="D22" s="253">
        <v>1.0</v>
      </c>
      <c r="E22" s="255">
        <f t="shared" ref="E22:M22" si="20">if(isblank(E20),"",if(E21=-1,D22+1,if(E21=-2,D22+2,if(E21=-3,D22+3,1))))</f>
        <v>2</v>
      </c>
      <c r="F22" s="256">
        <f t="shared" si="20"/>
        <v>3</v>
      </c>
      <c r="G22" s="256">
        <f t="shared" si="20"/>
        <v>4</v>
      </c>
      <c r="H22" s="256">
        <f t="shared" si="20"/>
        <v>1</v>
      </c>
      <c r="I22" s="256">
        <f t="shared" si="20"/>
        <v>1</v>
      </c>
      <c r="J22" s="256">
        <f t="shared" si="20"/>
        <v>1</v>
      </c>
      <c r="K22" s="256">
        <f t="shared" si="20"/>
        <v>1</v>
      </c>
      <c r="L22" s="256">
        <f t="shared" si="20"/>
        <v>1</v>
      </c>
      <c r="M22" s="257">
        <f t="shared" si="20"/>
        <v>2</v>
      </c>
      <c r="N22" s="258"/>
      <c r="O22" s="259">
        <f>if(isblank(N20),"",if(N21=-1,M22+1,if(N21=-2,M22+2,if(N21=-3,M22+3,1))))</f>
        <v>1</v>
      </c>
      <c r="P22" s="255">
        <f t="shared" ref="P22:X22" si="21">if(isblank(P20),"",if(P21=-1,O22+1,if(P21=-2,O22+2,if(P21=-3,O22+3,1))))</f>
        <v>1</v>
      </c>
      <c r="Q22" s="256">
        <f t="shared" si="21"/>
        <v>1</v>
      </c>
      <c r="R22" s="256">
        <f t="shared" si="21"/>
        <v>1</v>
      </c>
      <c r="S22" s="256">
        <f t="shared" si="21"/>
        <v>1</v>
      </c>
      <c r="T22" s="256">
        <f t="shared" si="21"/>
        <v>2</v>
      </c>
      <c r="U22" s="256">
        <f t="shared" si="21"/>
        <v>1</v>
      </c>
      <c r="V22" s="256">
        <f t="shared" si="21"/>
        <v>2</v>
      </c>
      <c r="W22" s="256">
        <f t="shared" si="21"/>
        <v>1</v>
      </c>
      <c r="X22" s="257">
        <f t="shared" si="21"/>
        <v>1</v>
      </c>
      <c r="Y22" s="258"/>
      <c r="Z22" s="234">
        <f>if(isblank(Y20),"",if(Y21=-1,X22+1,if(Y21=-2,X22+2,if(Y21=-3,X22+3,1))))</f>
        <v>1</v>
      </c>
      <c r="AA22" s="236">
        <f>X22</f>
        <v>1</v>
      </c>
      <c r="AB22" s="1"/>
    </row>
    <row r="23">
      <c r="B23" s="1"/>
      <c r="C23" s="261"/>
      <c r="D23" s="261"/>
      <c r="E23" s="262"/>
      <c r="F23" s="262"/>
      <c r="G23" s="262"/>
      <c r="H23" s="263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3"/>
      <c r="W23" s="262"/>
      <c r="X23" s="262"/>
      <c r="Y23" s="262"/>
      <c r="Z23" s="262"/>
      <c r="AA23" s="236"/>
      <c r="AB23" s="1"/>
    </row>
    <row r="24">
      <c r="B24" s="1"/>
      <c r="C24" s="229" t="str">
        <f>'ROUND 1 - FOURBALL'!F20</f>
        <v>TOM</v>
      </c>
      <c r="D24" s="230">
        <f>vlookup($C24,HANDICAPS!$B$33:$G$48,3,false)</f>
        <v>15</v>
      </c>
      <c r="E24" s="231">
        <f>if(isblank(E25),"",if(E26=-3,16*D27,if(E26=-2,8*D27,if(E26=-1,4*D27,if(E26=0,2*D27,if(E26=1,0,if(E26&gt;1,-4*D27))))))+D25)</f>
        <v>2</v>
      </c>
      <c r="F24" s="232">
        <f t="shared" ref="F24:M24" si="22">if(isblank(F25),"",if(F26=-3,16*E27+E24,if(F26=-2,8*E27+E24,if(F26=-1,4*E27+E24,if(F26=0,2*E27+E24,if(F26=1,0+E24,if(F26&gt;1,-4*E27+E24)))))))</f>
        <v>4</v>
      </c>
      <c r="G24" s="232">
        <f t="shared" si="22"/>
        <v>4</v>
      </c>
      <c r="H24" s="232">
        <f t="shared" si="22"/>
        <v>6</v>
      </c>
      <c r="I24" s="232">
        <f t="shared" si="22"/>
        <v>8</v>
      </c>
      <c r="J24" s="232">
        <f t="shared" si="22"/>
        <v>10</v>
      </c>
      <c r="K24" s="232">
        <f t="shared" si="22"/>
        <v>12</v>
      </c>
      <c r="L24" s="232">
        <f t="shared" si="22"/>
        <v>14</v>
      </c>
      <c r="M24" s="233">
        <f t="shared" si="22"/>
        <v>14</v>
      </c>
      <c r="N24" s="234">
        <f>M24</f>
        <v>14</v>
      </c>
      <c r="O24" s="235"/>
      <c r="P24" s="231">
        <f>if(isblank(P25),"",if(P26=-3,16*O27+O25+N24,if(P26=-2,8*O27+O25+N24,if(P26=-1,4*O27+O25+N24,if(P26=0,2*O27+O25+N24,if(P26=1,0+N24,if(P26&gt;1,-4*O27+O25+N24)))))))</f>
        <v>16</v>
      </c>
      <c r="Q24" s="232">
        <f t="shared" ref="Q24:X24" si="23">if(isblank(Q25),"",if(Q26=-3,16*P27+P24,if(Q26=-2,8*P27+P24,if(Q26=-1,4*P27+P24,if(Q26=0,2*P27+P24,if(Q26=1,0+P24,if(Q26&gt;1,-4*P27+P24)))))))</f>
        <v>18</v>
      </c>
      <c r="R24" s="232">
        <f t="shared" si="23"/>
        <v>20</v>
      </c>
      <c r="S24" s="232">
        <f t="shared" si="23"/>
        <v>22</v>
      </c>
      <c r="T24" s="232">
        <f t="shared" si="23"/>
        <v>18</v>
      </c>
      <c r="U24" s="232">
        <f t="shared" si="23"/>
        <v>18</v>
      </c>
      <c r="V24" s="232">
        <f t="shared" si="23"/>
        <v>20</v>
      </c>
      <c r="W24" s="232">
        <f t="shared" si="23"/>
        <v>22</v>
      </c>
      <c r="X24" s="233">
        <f t="shared" si="23"/>
        <v>24</v>
      </c>
      <c r="Y24" s="234">
        <f>if(isblank(X25),"",X24-N24)</f>
        <v>10</v>
      </c>
      <c r="Z24" s="234">
        <f>if(isblank(X25),0,X24)</f>
        <v>24</v>
      </c>
      <c r="AA24" s="236">
        <f>X27</f>
        <v>1</v>
      </c>
      <c r="AB24" s="1"/>
    </row>
    <row r="25">
      <c r="B25" s="1"/>
      <c r="C25" s="238" t="s">
        <v>170</v>
      </c>
      <c r="D25" s="239"/>
      <c r="E25" s="240">
        <f>vlookup('ROUND 1 - FOURBALL'!$B21,'ROUND 1 - FOURBALL'!$B:$AC,7,false)</f>
        <v>5</v>
      </c>
      <c r="F25" s="241">
        <f>vlookup('ROUND 1 - FOURBALL'!$B21,'ROUND 1 - FOURBALL'!$B:$AC,8,false)</f>
        <v>5</v>
      </c>
      <c r="G25" s="241">
        <f>vlookup('ROUND 1 - FOURBALL'!$B21,'ROUND 1 - FOURBALL'!$B:$AC,9,false)</f>
        <v>6</v>
      </c>
      <c r="H25" s="241">
        <f>vlookup('ROUND 1 - FOURBALL'!$B21,'ROUND 1 - FOURBALL'!$B:$AC,10,false)</f>
        <v>3</v>
      </c>
      <c r="I25" s="241">
        <f>vlookup('ROUND 1 - FOURBALL'!$B21,'ROUND 1 - FOURBALL'!$B:$AC,11,false)</f>
        <v>5</v>
      </c>
      <c r="J25" s="241">
        <f>vlookup('ROUND 1 - FOURBALL'!$B21,'ROUND 1 - FOURBALL'!$B:$AC,12,false)</f>
        <v>5</v>
      </c>
      <c r="K25" s="241">
        <f>vlookup('ROUND 1 - FOURBALL'!$B21,'ROUND 1 - FOURBALL'!$B:$AC,13,false)</f>
        <v>6</v>
      </c>
      <c r="L25" s="241">
        <f>vlookup('ROUND 1 - FOURBALL'!$B21,'ROUND 1 - FOURBALL'!$B:$AC,14,false)</f>
        <v>4</v>
      </c>
      <c r="M25" s="242">
        <f>vlookup('ROUND 1 - FOURBALL'!$B21,'ROUND 1 - FOURBALL'!$B:$AC,15,false)</f>
        <v>7</v>
      </c>
      <c r="N25" s="243">
        <f>if(isblank(M25),"",sum(E25:M25))</f>
        <v>46</v>
      </c>
      <c r="O25" s="244"/>
      <c r="P25" s="240">
        <f>vlookup('ROUND 1 - FOURBALL'!$B21,'ROUND 1 - FOURBALL'!$B:$AC,18,false)</f>
        <v>5</v>
      </c>
      <c r="Q25" s="241">
        <f>vlookup('ROUND 1 - FOURBALL'!$B21,'ROUND 1 - FOURBALL'!$B:$AC,19,false)</f>
        <v>3</v>
      </c>
      <c r="R25" s="241">
        <f>vlookup('ROUND 1 - FOURBALL'!$B21,'ROUND 1 - FOURBALL'!$B:$AC,20,false)</f>
        <v>6</v>
      </c>
      <c r="S25" s="241">
        <f>vlookup('ROUND 1 - FOURBALL'!$B21,'ROUND 1 - FOURBALL'!$B:$AC,21,false)</f>
        <v>5</v>
      </c>
      <c r="T25" s="241">
        <f>vlookup('ROUND 1 - FOURBALL'!$B21,'ROUND 1 - FOURBALL'!$B:$AC,22,false)</f>
        <v>8</v>
      </c>
      <c r="U25" s="241">
        <f>vlookup('ROUND 1 - FOURBALL'!$B21,'ROUND 1 - FOURBALL'!$B:$AC,23,false)</f>
        <v>6</v>
      </c>
      <c r="V25" s="241">
        <f>vlookup('ROUND 1 - FOURBALL'!$B21,'ROUND 1 - FOURBALL'!$B:$AC,24,false)</f>
        <v>5</v>
      </c>
      <c r="W25" s="241">
        <f>vlookup('ROUND 1 - FOURBALL'!$B21,'ROUND 1 - FOURBALL'!$B:$AC,25,false)</f>
        <v>3</v>
      </c>
      <c r="X25" s="242">
        <f>vlookup('ROUND 1 - FOURBALL'!$B21,'ROUND 1 - FOURBALL'!$B:$AC,26,false)</f>
        <v>5</v>
      </c>
      <c r="Y25" s="243">
        <f>if(isblank(X25),"",sum(P25:X25))</f>
        <v>46</v>
      </c>
      <c r="Z25" s="245">
        <f>if(isblank(X25),"",sum(N25,Y25))</f>
        <v>92</v>
      </c>
      <c r="AA25" s="264"/>
      <c r="AB25" s="1"/>
    </row>
    <row r="26">
      <c r="B26" s="1"/>
      <c r="C26" s="247" t="s">
        <v>171</v>
      </c>
      <c r="D26" s="248"/>
      <c r="E26" s="249">
        <f t="shared" ref="E26:M26" si="24">if(isblank(E25),"",if(and(18-$D24&lt;0,18+E$7&lt;$D24),E25-2-E$6,if(or(E$7&lt;$D24,E$7=$D24),E25-1-E$6,E25-E$6)))</f>
        <v>0</v>
      </c>
      <c r="F26" s="250">
        <f t="shared" si="24"/>
        <v>0</v>
      </c>
      <c r="G26" s="250">
        <f t="shared" si="24"/>
        <v>1</v>
      </c>
      <c r="H26" s="250">
        <f t="shared" si="24"/>
        <v>0</v>
      </c>
      <c r="I26" s="250">
        <f t="shared" si="24"/>
        <v>0</v>
      </c>
      <c r="J26" s="250">
        <f t="shared" si="24"/>
        <v>0</v>
      </c>
      <c r="K26" s="250">
        <f t="shared" si="24"/>
        <v>0</v>
      </c>
      <c r="L26" s="250">
        <f t="shared" si="24"/>
        <v>0</v>
      </c>
      <c r="M26" s="251">
        <f t="shared" si="24"/>
        <v>1</v>
      </c>
      <c r="N26" s="243">
        <f>if(isblank(M25),"",if(or(N$7&lt;$D24,N$7=$D24),N25-1-N$6,N25-N$6))</f>
        <v>9</v>
      </c>
      <c r="O26" s="244"/>
      <c r="P26" s="249">
        <f t="shared" ref="P26:X26" si="25">if(isblank(P25),"",if(and(18-$D24&lt;0,18+P$7&lt;$D24),P25-2-P$6,if(or(P$7&lt;$D24,P$7=$D24),P25-1-P$6,P25-P$6)))</f>
        <v>0</v>
      </c>
      <c r="Q26" s="250">
        <f t="shared" si="25"/>
        <v>0</v>
      </c>
      <c r="R26" s="250">
        <f t="shared" si="25"/>
        <v>0</v>
      </c>
      <c r="S26" s="250">
        <f t="shared" si="25"/>
        <v>0</v>
      </c>
      <c r="T26" s="250">
        <f t="shared" si="25"/>
        <v>2</v>
      </c>
      <c r="U26" s="250">
        <f t="shared" si="25"/>
        <v>1</v>
      </c>
      <c r="V26" s="250">
        <f t="shared" si="25"/>
        <v>0</v>
      </c>
      <c r="W26" s="250">
        <f t="shared" si="25"/>
        <v>0</v>
      </c>
      <c r="X26" s="251">
        <f t="shared" si="25"/>
        <v>0</v>
      </c>
      <c r="Y26" s="243">
        <f>if(isblank(X25),"",if(or(Y$7&lt;$D24,Y$7=$D24),Y25-1-Y$6,Y25-Y$6))</f>
        <v>9</v>
      </c>
      <c r="Z26" s="252">
        <f>if(isblank(X25),"",sum(N26,Y26))</f>
        <v>18</v>
      </c>
      <c r="AA26" s="236"/>
      <c r="AB26" s="1"/>
    </row>
    <row r="27">
      <c r="B27" s="1"/>
      <c r="C27" s="253" t="s">
        <v>172</v>
      </c>
      <c r="D27" s="253">
        <v>1.0</v>
      </c>
      <c r="E27" s="255">
        <f t="shared" ref="E27:M27" si="26">if(isblank(E25),"",if(E26=-1,D27+1,if(E26=-2,D27+2,if(E26=-3,D27+3,1))))</f>
        <v>1</v>
      </c>
      <c r="F27" s="256">
        <f t="shared" si="26"/>
        <v>1</v>
      </c>
      <c r="G27" s="256">
        <f t="shared" si="26"/>
        <v>1</v>
      </c>
      <c r="H27" s="256">
        <f t="shared" si="26"/>
        <v>1</v>
      </c>
      <c r="I27" s="256">
        <f t="shared" si="26"/>
        <v>1</v>
      </c>
      <c r="J27" s="256">
        <f t="shared" si="26"/>
        <v>1</v>
      </c>
      <c r="K27" s="256">
        <f t="shared" si="26"/>
        <v>1</v>
      </c>
      <c r="L27" s="256">
        <f t="shared" si="26"/>
        <v>1</v>
      </c>
      <c r="M27" s="257">
        <f t="shared" si="26"/>
        <v>1</v>
      </c>
      <c r="N27" s="258"/>
      <c r="O27" s="259">
        <f>if(isblank(N25),"",if(N26=-1,M27+1,if(N26=-2,M27+2,if(N26=-3,M27+3,1))))</f>
        <v>1</v>
      </c>
      <c r="P27" s="255">
        <f t="shared" ref="P27:X27" si="27">if(isblank(P25),"",if(P26=-1,O27+1,if(P26=-2,O27+2,if(P26=-3,O27+3,1))))</f>
        <v>1</v>
      </c>
      <c r="Q27" s="256">
        <f t="shared" si="27"/>
        <v>1</v>
      </c>
      <c r="R27" s="256">
        <f t="shared" si="27"/>
        <v>1</v>
      </c>
      <c r="S27" s="256">
        <f t="shared" si="27"/>
        <v>1</v>
      </c>
      <c r="T27" s="256">
        <f t="shared" si="27"/>
        <v>1</v>
      </c>
      <c r="U27" s="256">
        <f t="shared" si="27"/>
        <v>1</v>
      </c>
      <c r="V27" s="256">
        <f t="shared" si="27"/>
        <v>1</v>
      </c>
      <c r="W27" s="256">
        <f t="shared" si="27"/>
        <v>1</v>
      </c>
      <c r="X27" s="257">
        <f t="shared" si="27"/>
        <v>1</v>
      </c>
      <c r="Y27" s="258"/>
      <c r="Z27" s="234">
        <f>if(isblank(Y25),"",if(Y26=-1,X27+1,if(Y26=-2,X27+2,if(Y26=-3,X27+3,1))))</f>
        <v>1</v>
      </c>
      <c r="AA27" s="236">
        <f>X27</f>
        <v>1</v>
      </c>
      <c r="AB27" s="1"/>
    </row>
    <row r="28">
      <c r="B28" s="1"/>
      <c r="C28" s="1"/>
      <c r="D28" s="1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36"/>
      <c r="AB28" s="1"/>
    </row>
    <row r="29">
      <c r="B29" s="1"/>
      <c r="C29" s="229" t="str">
        <f>'ROUND 1 - FOURBALL'!F35</f>
        <v>DEREK</v>
      </c>
      <c r="D29" s="230">
        <f>vlookup($C29,HANDICAPS!$B$33:$G$48,3,false)</f>
        <v>0</v>
      </c>
      <c r="E29" s="231">
        <f>if(isblank(E30),"",if(E31=-3,16*D32,if(E31=-2,8*D32,if(E31=-1,4*D32,if(E31=0,2*D32,if(E31=1,0,if(E31&gt;1,-4*D32))))))+D30)</f>
        <v>2</v>
      </c>
      <c r="F29" s="232">
        <f t="shared" ref="F29:M29" si="28">if(isblank(F30),"",if(F31=-3,16*E32+E29,if(F31=-2,8*E32+E29,if(F31=-1,4*E32+E29,if(F31=0,2*E32+E29,if(F31=1,0+E29,if(F31&gt;1,-4*E32+E29)))))))</f>
        <v>4</v>
      </c>
      <c r="G29" s="232">
        <f t="shared" si="28"/>
        <v>6</v>
      </c>
      <c r="H29" s="232">
        <f t="shared" si="28"/>
        <v>6</v>
      </c>
      <c r="I29" s="232">
        <f t="shared" si="28"/>
        <v>8</v>
      </c>
      <c r="J29" s="232">
        <f t="shared" si="28"/>
        <v>10</v>
      </c>
      <c r="K29" s="232">
        <f t="shared" si="28"/>
        <v>12</v>
      </c>
      <c r="L29" s="232">
        <f t="shared" si="28"/>
        <v>12</v>
      </c>
      <c r="M29" s="233">
        <f t="shared" si="28"/>
        <v>8</v>
      </c>
      <c r="N29" s="234">
        <f>M29</f>
        <v>8</v>
      </c>
      <c r="O29" s="235"/>
      <c r="P29" s="231">
        <f>if(isblank(P30),"",if(P31=-3,16*O32+O30+N29,if(P31=-2,8*O32+O30+N29,if(P31=-1,4*O32+O30+N29,if(P31=0,2*O32+O30+N29,if(P31=1,0+N29,if(P31&gt;1,-4*O32+O30+N29)))))))</f>
        <v>10</v>
      </c>
      <c r="Q29" s="232">
        <f t="shared" ref="Q29:X29" si="29">if(isblank(Q30),"",if(Q31=-3,16*P32+P29,if(Q31=-2,8*P32+P29,if(Q31=-1,4*P32+P29,if(Q31=0,2*P32+P29,if(Q31=1,0+P29,if(Q31&gt;1,-4*P32+P29)))))))</f>
        <v>6</v>
      </c>
      <c r="R29" s="232">
        <f t="shared" si="29"/>
        <v>10</v>
      </c>
      <c r="S29" s="232">
        <f t="shared" si="29"/>
        <v>14</v>
      </c>
      <c r="T29" s="232">
        <f t="shared" si="29"/>
        <v>14</v>
      </c>
      <c r="U29" s="232">
        <f t="shared" si="29"/>
        <v>18</v>
      </c>
      <c r="V29" s="232">
        <f t="shared" si="29"/>
        <v>18</v>
      </c>
      <c r="W29" s="232">
        <f t="shared" si="29"/>
        <v>14</v>
      </c>
      <c r="X29" s="233">
        <f t="shared" si="29"/>
        <v>16</v>
      </c>
      <c r="Y29" s="234">
        <f>if(isblank(X30),"",X29-N29)</f>
        <v>8</v>
      </c>
      <c r="Z29" s="234">
        <f>if(isblank(X30),0,X29)</f>
        <v>16</v>
      </c>
      <c r="AA29" s="236">
        <f>X32</f>
        <v>1</v>
      </c>
      <c r="AB29" s="1"/>
    </row>
    <row r="30">
      <c r="A30" s="237"/>
      <c r="B30" s="39"/>
      <c r="C30" s="238" t="s">
        <v>170</v>
      </c>
      <c r="D30" s="239"/>
      <c r="E30" s="240">
        <f>vlookup('ROUND 1 - FOURBALL'!$B36,'ROUND 1 - FOURBALL'!$B:$AC,7,false)</f>
        <v>4</v>
      </c>
      <c r="F30" s="241">
        <f>vlookup('ROUND 1 - FOURBALL'!$B36,'ROUND 1 - FOURBALL'!$B:$AC,8,false)</f>
        <v>4</v>
      </c>
      <c r="G30" s="241">
        <f>vlookup('ROUND 1 - FOURBALL'!$B36,'ROUND 1 - FOURBALL'!$B:$AC,9,false)</f>
        <v>4</v>
      </c>
      <c r="H30" s="241">
        <f>vlookup('ROUND 1 - FOURBALL'!$B36,'ROUND 1 - FOURBALL'!$B:$AC,10,false)</f>
        <v>4</v>
      </c>
      <c r="I30" s="241">
        <f>vlookup('ROUND 1 - FOURBALL'!$B36,'ROUND 1 - FOURBALL'!$B:$AC,11,false)</f>
        <v>4</v>
      </c>
      <c r="J30" s="241">
        <f>vlookup('ROUND 1 - FOURBALL'!$B36,'ROUND 1 - FOURBALL'!$B:$AC,12,false)</f>
        <v>4</v>
      </c>
      <c r="K30" s="241">
        <f>vlookup('ROUND 1 - FOURBALL'!$B36,'ROUND 1 - FOURBALL'!$B:$AC,13,false)</f>
        <v>5</v>
      </c>
      <c r="L30" s="241">
        <f>vlookup('ROUND 1 - FOURBALL'!$B36,'ROUND 1 - FOURBALL'!$B:$AC,14,false)</f>
        <v>4</v>
      </c>
      <c r="M30" s="242">
        <f>vlookup('ROUND 1 - FOURBALL'!$B36,'ROUND 1 - FOURBALL'!$B:$AC,15,false)</f>
        <v>7</v>
      </c>
      <c r="N30" s="243">
        <f>if(isblank(M30),"",sum(E30:M30))</f>
        <v>40</v>
      </c>
      <c r="O30" s="244"/>
      <c r="P30" s="240">
        <f>vlookup('ROUND 1 - FOURBALL'!$B36,'ROUND 1 - FOURBALL'!$B:$AC,18,false)</f>
        <v>4</v>
      </c>
      <c r="Q30" s="241">
        <f>vlookup('ROUND 1 - FOURBALL'!$B36,'ROUND 1 - FOURBALL'!$B:$AC,19,false)</f>
        <v>5</v>
      </c>
      <c r="R30" s="241">
        <f>vlookup('ROUND 1 - FOURBALL'!$B36,'ROUND 1 - FOURBALL'!$B:$AC,20,false)</f>
        <v>4</v>
      </c>
      <c r="S30" s="241">
        <f>vlookup('ROUND 1 - FOURBALL'!$B36,'ROUND 1 - FOURBALL'!$B:$AC,21,false)</f>
        <v>4</v>
      </c>
      <c r="T30" s="241">
        <f>vlookup('ROUND 1 - FOURBALL'!$B36,'ROUND 1 - FOURBALL'!$B:$AC,22,false)</f>
        <v>6</v>
      </c>
      <c r="U30" s="241">
        <f>vlookup('ROUND 1 - FOURBALL'!$B36,'ROUND 1 - FOURBALL'!$B:$AC,23,false)</f>
        <v>3</v>
      </c>
      <c r="V30" s="241">
        <f>vlookup('ROUND 1 - FOURBALL'!$B36,'ROUND 1 - FOURBALL'!$B:$AC,24,false)</f>
        <v>5</v>
      </c>
      <c r="W30" s="241">
        <f>vlookup('ROUND 1 - FOURBALL'!$B36,'ROUND 1 - FOURBALL'!$B:$AC,25,false)</f>
        <v>5</v>
      </c>
      <c r="X30" s="242">
        <f>vlookup('ROUND 1 - FOURBALL'!$B36,'ROUND 1 - FOURBALL'!$B:$AC,26,false)</f>
        <v>4</v>
      </c>
      <c r="Y30" s="243">
        <f>if(isblank(X30),"",sum(P30:X30))</f>
        <v>40</v>
      </c>
      <c r="Z30" s="245">
        <f>if(isblank(X30),"",sum(N30,Y30))</f>
        <v>80</v>
      </c>
      <c r="AA30" s="246"/>
      <c r="AB30" s="39"/>
    </row>
    <row r="31">
      <c r="A31" s="237"/>
      <c r="B31" s="39"/>
      <c r="C31" s="247" t="s">
        <v>171</v>
      </c>
      <c r="D31" s="248"/>
      <c r="E31" s="249">
        <f t="shared" ref="E31:M31" si="30">if(isblank(E30),"",if(and(18-$D29&lt;0,18+E$7&lt;$D29),E30-2-E$6,if(or(E$7&lt;$D29,E$7=$D29),E30-1-E$6,E30-E$6)))</f>
        <v>0</v>
      </c>
      <c r="F31" s="250">
        <f t="shared" si="30"/>
        <v>0</v>
      </c>
      <c r="G31" s="250">
        <f t="shared" si="30"/>
        <v>0</v>
      </c>
      <c r="H31" s="250">
        <f t="shared" si="30"/>
        <v>1</v>
      </c>
      <c r="I31" s="250">
        <f t="shared" si="30"/>
        <v>0</v>
      </c>
      <c r="J31" s="250">
        <f t="shared" si="30"/>
        <v>0</v>
      </c>
      <c r="K31" s="250">
        <f t="shared" si="30"/>
        <v>0</v>
      </c>
      <c r="L31" s="250">
        <f t="shared" si="30"/>
        <v>1</v>
      </c>
      <c r="M31" s="251">
        <f t="shared" si="30"/>
        <v>2</v>
      </c>
      <c r="N31" s="243">
        <f>if(isblank(M30),"",if(or(N$7&lt;$D29,N$7=$D29),N30-1-N$6,N30-N$6))</f>
        <v>3</v>
      </c>
      <c r="O31" s="244"/>
      <c r="P31" s="249">
        <f t="shared" ref="P31:X31" si="31">if(isblank(P30),"",if(and(18-$D29&lt;0,18+P$7&lt;$D29),P30-2-P$6,if(or(P$7&lt;$D29,P$7=$D29),P30-1-P$6,P30-P$6)))</f>
        <v>0</v>
      </c>
      <c r="Q31" s="250">
        <f t="shared" si="31"/>
        <v>2</v>
      </c>
      <c r="R31" s="250">
        <f t="shared" si="31"/>
        <v>-1</v>
      </c>
      <c r="S31" s="250">
        <f t="shared" si="31"/>
        <v>0</v>
      </c>
      <c r="T31" s="250">
        <f t="shared" si="31"/>
        <v>1</v>
      </c>
      <c r="U31" s="250">
        <f t="shared" si="31"/>
        <v>-1</v>
      </c>
      <c r="V31" s="250">
        <f t="shared" si="31"/>
        <v>1</v>
      </c>
      <c r="W31" s="250">
        <f t="shared" si="31"/>
        <v>2</v>
      </c>
      <c r="X31" s="251">
        <f t="shared" si="31"/>
        <v>0</v>
      </c>
      <c r="Y31" s="243">
        <f>if(isblank(X30),"",if(or(Y$7&lt;$D29,Y$7=$D29),Y30-1-Y$6,Y30-Y$6))</f>
        <v>3</v>
      </c>
      <c r="Z31" s="252">
        <f>if(isblank(X30),"",sum(N31,Y31))</f>
        <v>6</v>
      </c>
      <c r="AA31" s="42"/>
      <c r="AB31" s="39"/>
    </row>
    <row r="32">
      <c r="B32" s="1"/>
      <c r="C32" s="253" t="s">
        <v>172</v>
      </c>
      <c r="D32" s="253">
        <v>1.0</v>
      </c>
      <c r="E32" s="255">
        <f t="shared" ref="E32:M32" si="32">if(isblank(E30),"",if(E31=-1,D32+1,if(E31=-2,D32+2,if(E31=-3,D32+3,1))))</f>
        <v>1</v>
      </c>
      <c r="F32" s="256">
        <f t="shared" si="32"/>
        <v>1</v>
      </c>
      <c r="G32" s="256">
        <f t="shared" si="32"/>
        <v>1</v>
      </c>
      <c r="H32" s="256">
        <f t="shared" si="32"/>
        <v>1</v>
      </c>
      <c r="I32" s="256">
        <f t="shared" si="32"/>
        <v>1</v>
      </c>
      <c r="J32" s="256">
        <f t="shared" si="32"/>
        <v>1</v>
      </c>
      <c r="K32" s="256">
        <f t="shared" si="32"/>
        <v>1</v>
      </c>
      <c r="L32" s="256">
        <f t="shared" si="32"/>
        <v>1</v>
      </c>
      <c r="M32" s="257">
        <f t="shared" si="32"/>
        <v>1</v>
      </c>
      <c r="N32" s="258"/>
      <c r="O32" s="259">
        <f>if(isblank(N30),"",if(N31=-1,M32+1,if(N31=-2,M32+2,if(N31=-3,M32+3,1))))</f>
        <v>1</v>
      </c>
      <c r="P32" s="255">
        <f t="shared" ref="P32:X32" si="33">if(isblank(P30),"",if(P31=-1,O32+1,if(P31=-2,O32+2,if(P31=-3,O32+3,1))))</f>
        <v>1</v>
      </c>
      <c r="Q32" s="256">
        <f t="shared" si="33"/>
        <v>1</v>
      </c>
      <c r="R32" s="256">
        <f t="shared" si="33"/>
        <v>2</v>
      </c>
      <c r="S32" s="256">
        <f t="shared" si="33"/>
        <v>1</v>
      </c>
      <c r="T32" s="256">
        <f t="shared" si="33"/>
        <v>1</v>
      </c>
      <c r="U32" s="256">
        <f t="shared" si="33"/>
        <v>2</v>
      </c>
      <c r="V32" s="256">
        <f t="shared" si="33"/>
        <v>1</v>
      </c>
      <c r="W32" s="256">
        <f t="shared" si="33"/>
        <v>1</v>
      </c>
      <c r="X32" s="257">
        <f t="shared" si="33"/>
        <v>1</v>
      </c>
      <c r="Y32" s="258"/>
      <c r="Z32" s="234">
        <f>if(isblank(Y30),"",if(Y31=-1,X32+1,if(Y31=-2,X32+2,if(Y31=-3,X32+3,1))))</f>
        <v>1</v>
      </c>
      <c r="AA32" s="236">
        <f>X32</f>
        <v>1</v>
      </c>
      <c r="AB32" s="1"/>
    </row>
    <row r="33">
      <c r="B33" s="1"/>
      <c r="C33" s="261"/>
      <c r="D33" s="261"/>
      <c r="E33" s="262"/>
      <c r="F33" s="262"/>
      <c r="G33" s="262"/>
      <c r="H33" s="263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3"/>
      <c r="W33" s="262"/>
      <c r="X33" s="262"/>
      <c r="Y33" s="262"/>
      <c r="Z33" s="262"/>
      <c r="AA33" s="236"/>
      <c r="AB33" s="1"/>
    </row>
    <row r="34">
      <c r="B34" s="1"/>
      <c r="C34" s="229" t="str">
        <f>'ROUND 1 - FOURBALL'!F37</f>
        <v>MAX</v>
      </c>
      <c r="D34" s="230">
        <f>vlookup($C34,HANDICAPS!$B$33:$G$48,3,false)</f>
        <v>16</v>
      </c>
      <c r="E34" s="231">
        <f>if(isblank(E35),"",if(E36=-3,16*D37,if(E36=-2,8*D37,if(E36=-1,4*D37,if(E36=0,2*D37,if(E36=1,0,if(E36&gt;1,-4*D37))))))+D35)</f>
        <v>2</v>
      </c>
      <c r="F34" s="232">
        <f t="shared" ref="F34:M34" si="34">if(isblank(F35),"",if(F36=-3,16*E37+E34,if(F36=-2,8*E37+E34,if(F36=-1,4*E37+E34,if(F36=0,2*E37+E34,if(F36=1,0+E34,if(F36&gt;1,-4*E37+E34)))))))</f>
        <v>4</v>
      </c>
      <c r="G34" s="232">
        <f t="shared" si="34"/>
        <v>6</v>
      </c>
      <c r="H34" s="232">
        <f t="shared" si="34"/>
        <v>6</v>
      </c>
      <c r="I34" s="232">
        <f t="shared" si="34"/>
        <v>8</v>
      </c>
      <c r="J34" s="232">
        <f t="shared" si="34"/>
        <v>4</v>
      </c>
      <c r="K34" s="232">
        <f t="shared" si="34"/>
        <v>8</v>
      </c>
      <c r="L34" s="232">
        <f t="shared" si="34"/>
        <v>12</v>
      </c>
      <c r="M34" s="233">
        <f t="shared" si="34"/>
        <v>8</v>
      </c>
      <c r="N34" s="234">
        <f>M34</f>
        <v>8</v>
      </c>
      <c r="O34" s="235"/>
      <c r="P34" s="231">
        <f>if(isblank(P35),"",if(P36=-3,16*O37+O35+N34,if(P36=-2,8*O37+O35+N34,if(P36=-1,4*O37+O35+N34,if(P36=0,2*O37+O35+N34,if(P36=1,0+N34,if(P36&gt;1,-4*O37+O35+N34)))))))</f>
        <v>10</v>
      </c>
      <c r="Q34" s="232">
        <f t="shared" ref="Q34:X34" si="35">if(isblank(Q35),"",if(Q36=-3,16*P37+P34,if(Q36=-2,8*P37+P34,if(Q36=-1,4*P37+P34,if(Q36=0,2*P37+P34,if(Q36=1,0+P34,if(Q36&gt;1,-4*P37+P34)))))))</f>
        <v>6</v>
      </c>
      <c r="R34" s="232">
        <f t="shared" si="35"/>
        <v>6</v>
      </c>
      <c r="S34" s="232">
        <f t="shared" si="35"/>
        <v>10</v>
      </c>
      <c r="T34" s="232">
        <f t="shared" si="35"/>
        <v>18</v>
      </c>
      <c r="U34" s="232">
        <f t="shared" si="35"/>
        <v>24</v>
      </c>
      <c r="V34" s="232">
        <f t="shared" si="35"/>
        <v>28</v>
      </c>
      <c r="W34" s="232">
        <f t="shared" si="35"/>
        <v>28</v>
      </c>
      <c r="X34" s="233">
        <f t="shared" si="35"/>
        <v>32</v>
      </c>
      <c r="Y34" s="234">
        <f>if(isblank(X35),"",X34-N34)</f>
        <v>24</v>
      </c>
      <c r="Z34" s="234">
        <f>if(isblank(X35),0,X34)</f>
        <v>32</v>
      </c>
      <c r="AA34" s="236">
        <f>X37</f>
        <v>2</v>
      </c>
      <c r="AB34" s="1"/>
    </row>
    <row r="35">
      <c r="B35" s="1"/>
      <c r="C35" s="238" t="s">
        <v>170</v>
      </c>
      <c r="D35" s="239"/>
      <c r="E35" s="240">
        <f>vlookup('ROUND 1 - FOURBALL'!$B38,'ROUND 1 - FOURBALL'!$B:$AC,7,false)</f>
        <v>5</v>
      </c>
      <c r="F35" s="241">
        <f>vlookup('ROUND 1 - FOURBALL'!$B38,'ROUND 1 - FOURBALL'!$B:$AC,8,false)</f>
        <v>5</v>
      </c>
      <c r="G35" s="241">
        <f>vlookup('ROUND 1 - FOURBALL'!$B38,'ROUND 1 - FOURBALL'!$B:$AC,9,false)</f>
        <v>5</v>
      </c>
      <c r="H35" s="241">
        <f>vlookup('ROUND 1 - FOURBALL'!$B38,'ROUND 1 - FOURBALL'!$B:$AC,10,false)</f>
        <v>4</v>
      </c>
      <c r="I35" s="241">
        <f>vlookup('ROUND 1 - FOURBALL'!$B38,'ROUND 1 - FOURBALL'!$B:$AC,11,false)</f>
        <v>5</v>
      </c>
      <c r="J35" s="241">
        <f>vlookup('ROUND 1 - FOURBALL'!$B38,'ROUND 1 - FOURBALL'!$B:$AC,12,false)</f>
        <v>7</v>
      </c>
      <c r="K35" s="241">
        <f>vlookup('ROUND 1 - FOURBALL'!$B38,'ROUND 1 - FOURBALL'!$B:$AC,13,false)</f>
        <v>5</v>
      </c>
      <c r="L35" s="241">
        <f>vlookup('ROUND 1 - FOURBALL'!$B38,'ROUND 1 - FOURBALL'!$B:$AC,14,false)</f>
        <v>4</v>
      </c>
      <c r="M35" s="242">
        <f>vlookup('ROUND 1 - FOURBALL'!$B38,'ROUND 1 - FOURBALL'!$B:$AC,15,false)</f>
        <v>8</v>
      </c>
      <c r="N35" s="243">
        <f>if(isblank(M35),"",sum(E35:M35))</f>
        <v>48</v>
      </c>
      <c r="O35" s="244"/>
      <c r="P35" s="240">
        <f>vlookup('ROUND 1 - FOURBALL'!$B38,'ROUND 1 - FOURBALL'!$B:$AC,18,false)</f>
        <v>5</v>
      </c>
      <c r="Q35" s="241">
        <f>vlookup('ROUND 1 - FOURBALL'!$B38,'ROUND 1 - FOURBALL'!$B:$AC,19,false)</f>
        <v>5</v>
      </c>
      <c r="R35" s="241">
        <f>vlookup('ROUND 1 - FOURBALL'!$B38,'ROUND 1 - FOURBALL'!$B:$AC,20,false)</f>
        <v>7</v>
      </c>
      <c r="S35" s="241">
        <f>vlookup('ROUND 1 - FOURBALL'!$B38,'ROUND 1 - FOURBALL'!$B:$AC,21,false)</f>
        <v>4</v>
      </c>
      <c r="T35" s="241">
        <f>vlookup('ROUND 1 - FOURBALL'!$B38,'ROUND 1 - FOURBALL'!$B:$AC,22,false)</f>
        <v>5</v>
      </c>
      <c r="U35" s="241">
        <f>vlookup('ROUND 1 - FOURBALL'!$B38,'ROUND 1 - FOURBALL'!$B:$AC,23,false)</f>
        <v>5</v>
      </c>
      <c r="V35" s="241">
        <f>vlookup('ROUND 1 - FOURBALL'!$B38,'ROUND 1 - FOURBALL'!$B:$AC,24,false)</f>
        <v>4</v>
      </c>
      <c r="W35" s="241">
        <f>vlookup('ROUND 1 - FOURBALL'!$B38,'ROUND 1 - FOURBALL'!$B:$AC,25,false)</f>
        <v>5</v>
      </c>
      <c r="X35" s="242">
        <f>vlookup('ROUND 1 - FOURBALL'!$B38,'ROUND 1 - FOURBALL'!$B:$AC,26,false)</f>
        <v>4</v>
      </c>
      <c r="Y35" s="243">
        <f>if(isblank(X35),"",sum(P35:X35))</f>
        <v>44</v>
      </c>
      <c r="Z35" s="245">
        <f>if(isblank(X35),"",sum(N35,Y35))</f>
        <v>92</v>
      </c>
      <c r="AA35" s="264"/>
      <c r="AB35" s="1"/>
    </row>
    <row r="36">
      <c r="B36" s="1"/>
      <c r="C36" s="247" t="s">
        <v>171</v>
      </c>
      <c r="D36" s="248"/>
      <c r="E36" s="249">
        <f t="shared" ref="E36:M36" si="36">if(isblank(E35),"",if(and(18-$D34&lt;0,18+E$7&lt;$D34),E35-2-E$6,if(or(E$7&lt;$D34,E$7=$D34),E35-1-E$6,E35-E$6)))</f>
        <v>0</v>
      </c>
      <c r="F36" s="250">
        <f t="shared" si="36"/>
        <v>0</v>
      </c>
      <c r="G36" s="250">
        <f t="shared" si="36"/>
        <v>0</v>
      </c>
      <c r="H36" s="250">
        <f t="shared" si="36"/>
        <v>1</v>
      </c>
      <c r="I36" s="250">
        <f t="shared" si="36"/>
        <v>0</v>
      </c>
      <c r="J36" s="250">
        <f t="shared" si="36"/>
        <v>2</v>
      </c>
      <c r="K36" s="250">
        <f t="shared" si="36"/>
        <v>-1</v>
      </c>
      <c r="L36" s="250">
        <f t="shared" si="36"/>
        <v>0</v>
      </c>
      <c r="M36" s="251">
        <f t="shared" si="36"/>
        <v>2</v>
      </c>
      <c r="N36" s="243">
        <f>if(isblank(M35),"",if(or(N$7&lt;$D34,N$7=$D34),N35-1-N$6,N35-N$6))</f>
        <v>11</v>
      </c>
      <c r="O36" s="244"/>
      <c r="P36" s="249">
        <f t="shared" ref="P36:X36" si="37">if(isblank(P35),"",if(and(18-$D34&lt;0,18+P$7&lt;$D34),P35-2-P$6,if(or(P$7&lt;$D34,P$7=$D34),P35-1-P$6,P35-P$6)))</f>
        <v>0</v>
      </c>
      <c r="Q36" s="250">
        <f t="shared" si="37"/>
        <v>2</v>
      </c>
      <c r="R36" s="250">
        <f t="shared" si="37"/>
        <v>1</v>
      </c>
      <c r="S36" s="250">
        <f t="shared" si="37"/>
        <v>-1</v>
      </c>
      <c r="T36" s="250">
        <f t="shared" si="37"/>
        <v>-1</v>
      </c>
      <c r="U36" s="250">
        <f t="shared" si="37"/>
        <v>0</v>
      </c>
      <c r="V36" s="250">
        <f t="shared" si="37"/>
        <v>-1</v>
      </c>
      <c r="W36" s="250">
        <f t="shared" si="37"/>
        <v>1</v>
      </c>
      <c r="X36" s="251">
        <f t="shared" si="37"/>
        <v>-1</v>
      </c>
      <c r="Y36" s="243">
        <f>if(isblank(X35),"",if(or(Y$7&lt;$D34,Y$7=$D34),Y35-1-Y$6,Y35-Y$6))</f>
        <v>7</v>
      </c>
      <c r="Z36" s="252">
        <f>if(isblank(X35),"",sum(N36,Y36))</f>
        <v>18</v>
      </c>
      <c r="AA36" s="236"/>
      <c r="AB36" s="1"/>
    </row>
    <row r="37">
      <c r="B37" s="1"/>
      <c r="C37" s="253" t="s">
        <v>172</v>
      </c>
      <c r="D37" s="253">
        <v>1.0</v>
      </c>
      <c r="E37" s="255">
        <f t="shared" ref="E37:M37" si="38">if(isblank(E35),"",if(E36=-1,D37+1,if(E36=-2,D37+2,if(E36=-3,D37+3,1))))</f>
        <v>1</v>
      </c>
      <c r="F37" s="256">
        <f t="shared" si="38"/>
        <v>1</v>
      </c>
      <c r="G37" s="256">
        <f t="shared" si="38"/>
        <v>1</v>
      </c>
      <c r="H37" s="256">
        <f t="shared" si="38"/>
        <v>1</v>
      </c>
      <c r="I37" s="256">
        <f t="shared" si="38"/>
        <v>1</v>
      </c>
      <c r="J37" s="256">
        <f t="shared" si="38"/>
        <v>1</v>
      </c>
      <c r="K37" s="256">
        <f t="shared" si="38"/>
        <v>2</v>
      </c>
      <c r="L37" s="256">
        <f t="shared" si="38"/>
        <v>1</v>
      </c>
      <c r="M37" s="257">
        <f t="shared" si="38"/>
        <v>1</v>
      </c>
      <c r="N37" s="258"/>
      <c r="O37" s="259">
        <f>if(isblank(N35),"",if(N36=-1,M37+1,if(N36=-2,M37+2,if(N36=-3,M37+3,1))))</f>
        <v>1</v>
      </c>
      <c r="P37" s="255">
        <f t="shared" ref="P37:X37" si="39">if(isblank(P35),"",if(P36=-1,O37+1,if(P36=-2,O37+2,if(P36=-3,O37+3,1))))</f>
        <v>1</v>
      </c>
      <c r="Q37" s="256">
        <f t="shared" si="39"/>
        <v>1</v>
      </c>
      <c r="R37" s="256">
        <f t="shared" si="39"/>
        <v>1</v>
      </c>
      <c r="S37" s="256">
        <f t="shared" si="39"/>
        <v>2</v>
      </c>
      <c r="T37" s="256">
        <f t="shared" si="39"/>
        <v>3</v>
      </c>
      <c r="U37" s="256">
        <f t="shared" si="39"/>
        <v>1</v>
      </c>
      <c r="V37" s="256">
        <f t="shared" si="39"/>
        <v>2</v>
      </c>
      <c r="W37" s="256">
        <f t="shared" si="39"/>
        <v>1</v>
      </c>
      <c r="X37" s="257">
        <f t="shared" si="39"/>
        <v>2</v>
      </c>
      <c r="Y37" s="258"/>
      <c r="Z37" s="234">
        <f>if(isblank(Y35),"",if(Y36=-1,X37+1,if(Y36=-2,X37+2,if(Y36=-3,X37+3,1))))</f>
        <v>1</v>
      </c>
      <c r="AA37" s="236">
        <f>X37</f>
        <v>2</v>
      </c>
      <c r="AB37" s="1"/>
    </row>
    <row r="38">
      <c r="B38" s="1"/>
      <c r="C38" s="1"/>
      <c r="D38" s="1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36"/>
      <c r="AB38" s="1"/>
    </row>
    <row r="39">
      <c r="B39" s="1"/>
      <c r="C39" s="229" t="str">
        <f>'ROUND 1 - FOURBALL'!F43</f>
        <v>BEN</v>
      </c>
      <c r="D39" s="230">
        <f>vlookup($C39,HANDICAPS!$B$33:$G$48,3,false)</f>
        <v>8</v>
      </c>
      <c r="E39" s="231">
        <f>if(isblank(E40),"",if(E41=-3,16*D42,if(E41=-2,8*D42,if(E41=-1,4*D42,if(E41=0,2*D42,if(E41=1,0,if(E41&gt;1,-4*D42))))))+D40)</f>
        <v>4</v>
      </c>
      <c r="F39" s="232">
        <f t="shared" ref="F39:M39" si="40">if(isblank(F40),"",if(F41=-3,16*E42+E39,if(F41=-2,8*E42+E39,if(F41=-1,4*E42+E39,if(F41=0,2*E42+E39,if(F41=1,0+E39,if(F41&gt;1,-4*E42+E39)))))))</f>
        <v>12</v>
      </c>
      <c r="G39" s="232">
        <f t="shared" si="40"/>
        <v>24</v>
      </c>
      <c r="H39" s="232">
        <f t="shared" si="40"/>
        <v>32</v>
      </c>
      <c r="I39" s="232">
        <f t="shared" si="40"/>
        <v>34</v>
      </c>
      <c r="J39" s="232">
        <f t="shared" si="40"/>
        <v>42</v>
      </c>
      <c r="K39" s="232">
        <f t="shared" si="40"/>
        <v>48</v>
      </c>
      <c r="L39" s="232">
        <f t="shared" si="40"/>
        <v>48</v>
      </c>
      <c r="M39" s="233">
        <f t="shared" si="40"/>
        <v>56</v>
      </c>
      <c r="N39" s="234">
        <f>M39</f>
        <v>56</v>
      </c>
      <c r="O39" s="235"/>
      <c r="P39" s="231">
        <f>if(isblank(P40),"",if(P41=-3,16*O42+O40+N39,if(P41=-2,8*O42+O40+N39,if(P41=-1,4*O42+O40+N39,if(P41=0,2*O42+O40+N39,if(P41=1,0+N39,if(P41&gt;1,-4*O42+O40+N39)))))))</f>
        <v>32</v>
      </c>
      <c r="Q39" s="232">
        <f t="shared" ref="Q39:X39" si="41">if(isblank(Q40),"",if(Q41=-3,16*P42+P39,if(Q41=-2,8*P42+P39,if(Q41=-1,4*P42+P39,if(Q41=0,2*P42+P39,if(Q41=1,0+P39,if(Q41&gt;1,-4*P42+P39)))))))</f>
        <v>34</v>
      </c>
      <c r="R39" s="232">
        <f t="shared" si="41"/>
        <v>38</v>
      </c>
      <c r="S39" s="232">
        <f t="shared" si="41"/>
        <v>30</v>
      </c>
      <c r="T39" s="232">
        <f t="shared" si="41"/>
        <v>32</v>
      </c>
      <c r="U39" s="232">
        <f t="shared" si="41"/>
        <v>32</v>
      </c>
      <c r="V39" s="232">
        <f t="shared" si="41"/>
        <v>34</v>
      </c>
      <c r="W39" s="232">
        <f t="shared" si="41"/>
        <v>36</v>
      </c>
      <c r="X39" s="233">
        <f t="shared" si="41"/>
        <v>40</v>
      </c>
      <c r="Y39" s="234">
        <f>if(isblank(X40),"",X39-N39)</f>
        <v>-16</v>
      </c>
      <c r="Z39" s="234">
        <f>if(isblank(X40),0,X39)</f>
        <v>40</v>
      </c>
      <c r="AA39" s="236">
        <f>X42</f>
        <v>2</v>
      </c>
      <c r="AB39" s="1"/>
    </row>
    <row r="40">
      <c r="A40" s="237"/>
      <c r="B40" s="39"/>
      <c r="C40" s="238" t="s">
        <v>170</v>
      </c>
      <c r="D40" s="239"/>
      <c r="E40" s="240">
        <f>vlookup('ROUND 1 - FOURBALL'!$B44,'ROUND 1 - FOURBALL'!$B:$AC,7,false)</f>
        <v>4</v>
      </c>
      <c r="F40" s="241">
        <f>vlookup('ROUND 1 - FOURBALL'!$B44,'ROUND 1 - FOURBALL'!$B:$AC,8,false)</f>
        <v>3</v>
      </c>
      <c r="G40" s="241">
        <f>vlookup('ROUND 1 - FOURBALL'!$B44,'ROUND 1 - FOURBALL'!$B:$AC,9,false)</f>
        <v>4</v>
      </c>
      <c r="H40" s="241">
        <f>vlookup('ROUND 1 - FOURBALL'!$B44,'ROUND 1 - FOURBALL'!$B:$AC,10,false)</f>
        <v>3</v>
      </c>
      <c r="I40" s="241">
        <f>vlookup('ROUND 1 - FOURBALL'!$B44,'ROUND 1 - FOURBALL'!$B:$AC,11,false)</f>
        <v>4</v>
      </c>
      <c r="J40" s="241">
        <f>vlookup('ROUND 1 - FOURBALL'!$B44,'ROUND 1 - FOURBALL'!$B:$AC,12,false)</f>
        <v>3</v>
      </c>
      <c r="K40" s="241">
        <f>vlookup('ROUND 1 - FOURBALL'!$B44,'ROUND 1 - FOURBALL'!$B:$AC,13,false)</f>
        <v>5</v>
      </c>
      <c r="L40" s="241">
        <f>vlookup('ROUND 1 - FOURBALL'!$B44,'ROUND 1 - FOURBALL'!$B:$AC,14,false)</f>
        <v>4</v>
      </c>
      <c r="M40" s="242">
        <f>vlookup('ROUND 1 - FOURBALL'!$B44,'ROUND 1 - FOURBALL'!$B:$AC,15,false)</f>
        <v>4</v>
      </c>
      <c r="N40" s="243">
        <f>if(isblank(M40),"",sum(E40:M40))</f>
        <v>34</v>
      </c>
      <c r="O40" s="244"/>
      <c r="P40" s="240">
        <f>vlookup('ROUND 1 - FOURBALL'!$B44,'ROUND 1 - FOURBALL'!$B:$AC,18,false)</f>
        <v>6</v>
      </c>
      <c r="Q40" s="241">
        <f>vlookup('ROUND 1 - FOURBALL'!$B44,'ROUND 1 - FOURBALL'!$B:$AC,19,false)</f>
        <v>3</v>
      </c>
      <c r="R40" s="241">
        <f>vlookup('ROUND 1 - FOURBALL'!$B44,'ROUND 1 - FOURBALL'!$B:$AC,20,false)</f>
        <v>5</v>
      </c>
      <c r="S40" s="241">
        <f>vlookup('ROUND 1 - FOURBALL'!$B44,'ROUND 1 - FOURBALL'!$B:$AC,21,false)</f>
        <v>6</v>
      </c>
      <c r="T40" s="241">
        <f>vlookup('ROUND 1 - FOURBALL'!$B44,'ROUND 1 - FOURBALL'!$B:$AC,22,false)</f>
        <v>6</v>
      </c>
      <c r="U40" s="241">
        <f>vlookup('ROUND 1 - FOURBALL'!$B44,'ROUND 1 - FOURBALL'!$B:$AC,23,false)</f>
        <v>5</v>
      </c>
      <c r="V40" s="241">
        <f>vlookup('ROUND 1 - FOURBALL'!$B44,'ROUND 1 - FOURBALL'!$B:$AC,24,false)</f>
        <v>5</v>
      </c>
      <c r="W40" s="241">
        <f>vlookup('ROUND 1 - FOURBALL'!$B44,'ROUND 1 - FOURBALL'!$B:$AC,25,false)</f>
        <v>3</v>
      </c>
      <c r="X40" s="242">
        <f>vlookup('ROUND 1 - FOURBALL'!$B44,'ROUND 1 - FOURBALL'!$B:$AC,26,false)</f>
        <v>4</v>
      </c>
      <c r="Y40" s="243">
        <f>if(isblank(X40),"",sum(P40:X40))</f>
        <v>43</v>
      </c>
      <c r="Z40" s="245">
        <f>if(isblank(X40),"",sum(N40,Y40))</f>
        <v>77</v>
      </c>
      <c r="AA40" s="246"/>
      <c r="AB40" s="39"/>
    </row>
    <row r="41">
      <c r="A41" s="237"/>
      <c r="B41" s="39"/>
      <c r="C41" s="247" t="s">
        <v>171</v>
      </c>
      <c r="D41" s="248"/>
      <c r="E41" s="249">
        <f t="shared" ref="E41:M41" si="42">if(isblank(E40),"",if(and(18-$D39&lt;0,18+E$7&lt;$D39),E40-2-E$6,if(or(E$7&lt;$D39,E$7=$D39),E40-1-E$6,E40-E$6)))</f>
        <v>-1</v>
      </c>
      <c r="F41" s="250">
        <f t="shared" si="42"/>
        <v>-1</v>
      </c>
      <c r="G41" s="250">
        <f t="shared" si="42"/>
        <v>-1</v>
      </c>
      <c r="H41" s="250">
        <f t="shared" si="42"/>
        <v>0</v>
      </c>
      <c r="I41" s="250">
        <f t="shared" si="42"/>
        <v>0</v>
      </c>
      <c r="J41" s="250">
        <f t="shared" si="42"/>
        <v>-2</v>
      </c>
      <c r="K41" s="250">
        <f t="shared" si="42"/>
        <v>0</v>
      </c>
      <c r="L41" s="250">
        <f t="shared" si="42"/>
        <v>1</v>
      </c>
      <c r="M41" s="251">
        <f t="shared" si="42"/>
        <v>-2</v>
      </c>
      <c r="N41" s="243">
        <f>if(isblank(M40),"",if(or(N$7&lt;$D39,N$7=$D39),N40-1-N$6,N40-N$6))</f>
        <v>-3</v>
      </c>
      <c r="O41" s="244"/>
      <c r="P41" s="249">
        <f t="shared" ref="P41:X41" si="43">if(isblank(P40),"",if(and(18-$D39&lt;0,18+P$7&lt;$D39),P40-2-P$6,if(or(P$7&lt;$D39,P$7=$D39),P40-1-P$6,P40-P$6)))</f>
        <v>2</v>
      </c>
      <c r="Q41" s="250">
        <f t="shared" si="43"/>
        <v>0</v>
      </c>
      <c r="R41" s="250">
        <f t="shared" si="43"/>
        <v>-1</v>
      </c>
      <c r="S41" s="250">
        <f t="shared" si="43"/>
        <v>2</v>
      </c>
      <c r="T41" s="250">
        <f t="shared" si="43"/>
        <v>0</v>
      </c>
      <c r="U41" s="250">
        <f t="shared" si="43"/>
        <v>1</v>
      </c>
      <c r="V41" s="250">
        <f t="shared" si="43"/>
        <v>0</v>
      </c>
      <c r="W41" s="250">
        <f t="shared" si="43"/>
        <v>0</v>
      </c>
      <c r="X41" s="251">
        <f t="shared" si="43"/>
        <v>-1</v>
      </c>
      <c r="Y41" s="243">
        <f>if(isblank(X40),"",if(or(Y$7&lt;$D39,Y$7=$D39),Y40-1-Y$6,Y40-Y$6))</f>
        <v>6</v>
      </c>
      <c r="Z41" s="252">
        <f>if(isblank(X40),"",sum(N41,Y41))</f>
        <v>3</v>
      </c>
      <c r="AA41" s="42"/>
      <c r="AB41" s="39"/>
    </row>
    <row r="42">
      <c r="B42" s="1"/>
      <c r="C42" s="253" t="s">
        <v>172</v>
      </c>
      <c r="D42" s="253">
        <v>1.0</v>
      </c>
      <c r="E42" s="255">
        <f t="shared" ref="E42:M42" si="44">if(isblank(E40),"",if(E41=-1,D42+1,if(E41=-2,D42+2,if(E41=-3,D42+3,1))))</f>
        <v>2</v>
      </c>
      <c r="F42" s="256">
        <f t="shared" si="44"/>
        <v>3</v>
      </c>
      <c r="G42" s="256">
        <f t="shared" si="44"/>
        <v>4</v>
      </c>
      <c r="H42" s="256">
        <f t="shared" si="44"/>
        <v>1</v>
      </c>
      <c r="I42" s="256">
        <f t="shared" si="44"/>
        <v>1</v>
      </c>
      <c r="J42" s="256">
        <f t="shared" si="44"/>
        <v>3</v>
      </c>
      <c r="K42" s="256">
        <f t="shared" si="44"/>
        <v>1</v>
      </c>
      <c r="L42" s="256">
        <f t="shared" si="44"/>
        <v>1</v>
      </c>
      <c r="M42" s="257">
        <f t="shared" si="44"/>
        <v>3</v>
      </c>
      <c r="N42" s="258"/>
      <c r="O42" s="259">
        <f>if(isblank(N40),"",if(N41=-1,M42+1,if(N41=-2,M42+2,if(N41=-3,M42+3,1))))</f>
        <v>6</v>
      </c>
      <c r="P42" s="255">
        <f t="shared" ref="P42:X42" si="45">if(isblank(P40),"",if(P41=-1,O42+1,if(P41=-2,O42+2,if(P41=-3,O42+3,1))))</f>
        <v>1</v>
      </c>
      <c r="Q42" s="256">
        <f t="shared" si="45"/>
        <v>1</v>
      </c>
      <c r="R42" s="256">
        <f t="shared" si="45"/>
        <v>2</v>
      </c>
      <c r="S42" s="256">
        <f t="shared" si="45"/>
        <v>1</v>
      </c>
      <c r="T42" s="256">
        <f t="shared" si="45"/>
        <v>1</v>
      </c>
      <c r="U42" s="256">
        <f t="shared" si="45"/>
        <v>1</v>
      </c>
      <c r="V42" s="256">
        <f t="shared" si="45"/>
        <v>1</v>
      </c>
      <c r="W42" s="256">
        <f t="shared" si="45"/>
        <v>1</v>
      </c>
      <c r="X42" s="257">
        <f t="shared" si="45"/>
        <v>2</v>
      </c>
      <c r="Y42" s="258"/>
      <c r="Z42" s="234">
        <f>if(isblank(Y40),"",if(Y41=-1,X42+1,if(Y41=-2,X42+2,if(Y41=-3,X42+3,1))))</f>
        <v>1</v>
      </c>
      <c r="AA42" s="236"/>
      <c r="AB42" s="1"/>
    </row>
    <row r="43">
      <c r="B43" s="1"/>
      <c r="C43" s="261"/>
      <c r="D43" s="261"/>
      <c r="E43" s="262"/>
      <c r="F43" s="262"/>
      <c r="G43" s="262"/>
      <c r="H43" s="263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3"/>
      <c r="W43" s="262"/>
      <c r="X43" s="262"/>
      <c r="Y43" s="262"/>
      <c r="Z43" s="234"/>
      <c r="AA43" s="236"/>
      <c r="AB43" s="1"/>
    </row>
    <row r="44">
      <c r="B44" s="1"/>
      <c r="C44" s="229" t="str">
        <f>'ROUND 1 - FOURBALL'!F45</f>
        <v>ZACH</v>
      </c>
      <c r="D44" s="230">
        <f>vlookup($C44,HANDICAPS!$B$33:$G$48,3,false)</f>
        <v>8</v>
      </c>
      <c r="E44" s="231">
        <f>if(isblank(E45),"",if(E46=-3,16*D47,if(E46=-2,8*D47,if(E46=-1,4*D47,if(E46=0,2*D47,if(E46=1,0,if(E46&gt;1,-4*D47))))))+D45)</f>
        <v>2</v>
      </c>
      <c r="F44" s="232">
        <f t="shared" ref="F44:M44" si="46">if(isblank(F45),"",if(F46=-3,16*E47+E44,if(F46=-2,8*E47+E44,if(F46=-1,4*E47+E44,if(F46=0,2*E47+E44,if(F46=1,0+E44,if(F46&gt;1,-4*E47+E44)))))))</f>
        <v>4</v>
      </c>
      <c r="G44" s="232">
        <f t="shared" si="46"/>
        <v>6</v>
      </c>
      <c r="H44" s="232">
        <f t="shared" si="46"/>
        <v>2</v>
      </c>
      <c r="I44" s="232">
        <f t="shared" si="46"/>
        <v>4</v>
      </c>
      <c r="J44" s="232">
        <f t="shared" si="46"/>
        <v>4</v>
      </c>
      <c r="K44" s="232">
        <f t="shared" si="46"/>
        <v>6</v>
      </c>
      <c r="L44" s="232">
        <f t="shared" si="46"/>
        <v>6</v>
      </c>
      <c r="M44" s="233">
        <f t="shared" si="46"/>
        <v>10</v>
      </c>
      <c r="N44" s="234">
        <f>M44</f>
        <v>10</v>
      </c>
      <c r="O44" s="235"/>
      <c r="P44" s="231">
        <f>if(isblank(P45),"",if(P46=-3,16*O47+O45+N44,if(P46=-2,8*O47+O45+N44,if(P46=-1,4*O47+O45+N44,if(P46=0,2*O47+O45+N44,if(P46=1,0+N44,if(P46&gt;1,-4*O47+O45+N44)))))))</f>
        <v>10</v>
      </c>
      <c r="Q44" s="232">
        <f t="shared" ref="Q44:X44" si="47">if(isblank(Q45),"",if(Q46=-3,16*P47+P44,if(Q46=-2,8*P47+P44,if(Q46=-1,4*P47+P44,if(Q46=0,2*P47+P44,if(Q46=1,0+P44,if(Q46&gt;1,-4*P47+P44)))))))</f>
        <v>12</v>
      </c>
      <c r="R44" s="232">
        <f t="shared" si="47"/>
        <v>14</v>
      </c>
      <c r="S44" s="232">
        <f t="shared" si="47"/>
        <v>14</v>
      </c>
      <c r="T44" s="232">
        <f t="shared" si="47"/>
        <v>14</v>
      </c>
      <c r="U44" s="232">
        <f t="shared" si="47"/>
        <v>14</v>
      </c>
      <c r="V44" s="232">
        <f t="shared" si="47"/>
        <v>18</v>
      </c>
      <c r="W44" s="232">
        <f t="shared" si="47"/>
        <v>22</v>
      </c>
      <c r="X44" s="233">
        <f t="shared" si="47"/>
        <v>24</v>
      </c>
      <c r="Y44" s="234">
        <f>if(isblank(X45),"",X44-N44)</f>
        <v>14</v>
      </c>
      <c r="Z44" s="234">
        <f>if(isblank(X45),0,X44)</f>
        <v>24</v>
      </c>
      <c r="AA44" s="236">
        <f>X47</f>
        <v>1</v>
      </c>
      <c r="AB44" s="1"/>
    </row>
    <row r="45">
      <c r="B45" s="1"/>
      <c r="C45" s="238" t="s">
        <v>170</v>
      </c>
      <c r="D45" s="239"/>
      <c r="E45" s="240">
        <f>vlookup('ROUND 1 - FOURBALL'!$B46,'ROUND 1 - FOURBALL'!$B:$AC,7,false)</f>
        <v>5</v>
      </c>
      <c r="F45" s="241">
        <f>vlookup('ROUND 1 - FOURBALL'!$B46,'ROUND 1 - FOURBALL'!$B:$AC,8,false)</f>
        <v>4</v>
      </c>
      <c r="G45" s="241">
        <f>vlookup('ROUND 1 - FOURBALL'!$B46,'ROUND 1 - FOURBALL'!$B:$AC,9,false)</f>
        <v>5</v>
      </c>
      <c r="H45" s="241">
        <f>vlookup('ROUND 1 - FOURBALL'!$B46,'ROUND 1 - FOURBALL'!$B:$AC,10,false)</f>
        <v>5</v>
      </c>
      <c r="I45" s="241">
        <f>vlookup('ROUND 1 - FOURBALL'!$B46,'ROUND 1 - FOURBALL'!$B:$AC,11,false)</f>
        <v>4</v>
      </c>
      <c r="J45" s="241">
        <f>vlookup('ROUND 1 - FOURBALL'!$B46,'ROUND 1 - FOURBALL'!$B:$AC,12,false)</f>
        <v>6</v>
      </c>
      <c r="K45" s="241">
        <f>vlookup('ROUND 1 - FOURBALL'!$B46,'ROUND 1 - FOURBALL'!$B:$AC,13,false)</f>
        <v>5</v>
      </c>
      <c r="L45" s="241">
        <f>vlookup('ROUND 1 - FOURBALL'!$B46,'ROUND 1 - FOURBALL'!$B:$AC,14,false)</f>
        <v>4</v>
      </c>
      <c r="M45" s="242">
        <f>vlookup('ROUND 1 - FOURBALL'!$B46,'ROUND 1 - FOURBALL'!$B:$AC,15,false)</f>
        <v>5</v>
      </c>
      <c r="N45" s="243">
        <f>if(isblank(M45),"",sum(E45:M45))</f>
        <v>43</v>
      </c>
      <c r="O45" s="244"/>
      <c r="P45" s="240">
        <f>vlookup('ROUND 1 - FOURBALL'!$B46,'ROUND 1 - FOURBALL'!$B:$AC,18,false)</f>
        <v>5</v>
      </c>
      <c r="Q45" s="241">
        <f>vlookup('ROUND 1 - FOURBALL'!$B46,'ROUND 1 - FOURBALL'!$B:$AC,19,false)</f>
        <v>3</v>
      </c>
      <c r="R45" s="241">
        <f>vlookup('ROUND 1 - FOURBALL'!$B46,'ROUND 1 - FOURBALL'!$B:$AC,20,false)</f>
        <v>6</v>
      </c>
      <c r="S45" s="241">
        <f>vlookup('ROUND 1 - FOURBALL'!$B46,'ROUND 1 - FOURBALL'!$B:$AC,21,false)</f>
        <v>5</v>
      </c>
      <c r="T45" s="241">
        <f>vlookup('ROUND 1 - FOURBALL'!$B46,'ROUND 1 - FOURBALL'!$B:$AC,22,false)</f>
        <v>7</v>
      </c>
      <c r="U45" s="241">
        <f>vlookup('ROUND 1 - FOURBALL'!$B46,'ROUND 1 - FOURBALL'!$B:$AC,23,false)</f>
        <v>5</v>
      </c>
      <c r="V45" s="241">
        <f>vlookup('ROUND 1 - FOURBALL'!$B46,'ROUND 1 - FOURBALL'!$B:$AC,24,false)</f>
        <v>4</v>
      </c>
      <c r="W45" s="241">
        <f>vlookup('ROUND 1 - FOURBALL'!$B46,'ROUND 1 - FOURBALL'!$B:$AC,25,false)</f>
        <v>3</v>
      </c>
      <c r="X45" s="242">
        <f>vlookup('ROUND 1 - FOURBALL'!$B46,'ROUND 1 - FOURBALL'!$B:$AC,26,false)</f>
        <v>5</v>
      </c>
      <c r="Y45" s="243">
        <f>if(isblank(X45),"",sum(P45:X45))</f>
        <v>43</v>
      </c>
      <c r="Z45" s="245">
        <f>if(isblank(X45),"",sum(N45,Y45))</f>
        <v>86</v>
      </c>
      <c r="AA45" s="264"/>
      <c r="AB45" s="1"/>
    </row>
    <row r="46">
      <c r="B46" s="1"/>
      <c r="C46" s="247" t="s">
        <v>171</v>
      </c>
      <c r="D46" s="248"/>
      <c r="E46" s="249">
        <f t="shared" ref="E46:M46" si="48">if(isblank(E45),"",if(and(18-$D44&lt;0,18+E$7&lt;$D44),E45-2-E$6,if(or(E$7&lt;$D44,E$7=$D44),E45-1-E$6,E45-E$6)))</f>
        <v>0</v>
      </c>
      <c r="F46" s="250">
        <f t="shared" si="48"/>
        <v>0</v>
      </c>
      <c r="G46" s="250">
        <f t="shared" si="48"/>
        <v>0</v>
      </c>
      <c r="H46" s="250">
        <f t="shared" si="48"/>
        <v>2</v>
      </c>
      <c r="I46" s="250">
        <f t="shared" si="48"/>
        <v>0</v>
      </c>
      <c r="J46" s="250">
        <f t="shared" si="48"/>
        <v>1</v>
      </c>
      <c r="K46" s="250">
        <f t="shared" si="48"/>
        <v>0</v>
      </c>
      <c r="L46" s="250">
        <f t="shared" si="48"/>
        <v>1</v>
      </c>
      <c r="M46" s="251">
        <f t="shared" si="48"/>
        <v>-1</v>
      </c>
      <c r="N46" s="243">
        <f>if(isblank(M45),"",if(or(N$7&lt;$D44,N$7=$D44),N45-1-N$6,N45-N$6))</f>
        <v>6</v>
      </c>
      <c r="O46" s="244"/>
      <c r="P46" s="249">
        <f t="shared" ref="P46:X46" si="49">if(isblank(P45),"",if(and(18-$D44&lt;0,18+P$7&lt;$D44),P45-2-P$6,if(or(P$7&lt;$D44,P$7=$D44),P45-1-P$6,P45-P$6)))</f>
        <v>1</v>
      </c>
      <c r="Q46" s="250">
        <f t="shared" si="49"/>
        <v>0</v>
      </c>
      <c r="R46" s="250">
        <f t="shared" si="49"/>
        <v>0</v>
      </c>
      <c r="S46" s="250">
        <f t="shared" si="49"/>
        <v>1</v>
      </c>
      <c r="T46" s="250">
        <f t="shared" si="49"/>
        <v>1</v>
      </c>
      <c r="U46" s="250">
        <f t="shared" si="49"/>
        <v>1</v>
      </c>
      <c r="V46" s="250">
        <f t="shared" si="49"/>
        <v>-1</v>
      </c>
      <c r="W46" s="250">
        <f t="shared" si="49"/>
        <v>0</v>
      </c>
      <c r="X46" s="251">
        <f t="shared" si="49"/>
        <v>0</v>
      </c>
      <c r="Y46" s="243">
        <f>if(isblank(X45),"",if(or(Y$7&lt;$D44,Y$7=$D44),Y45-1-Y$6,Y45-Y$6))</f>
        <v>6</v>
      </c>
      <c r="Z46" s="252">
        <f>if(isblank(X45),"",sum(N46,Y46))</f>
        <v>12</v>
      </c>
      <c r="AA46" s="236"/>
      <c r="AB46" s="1"/>
    </row>
    <row r="47">
      <c r="B47" s="1"/>
      <c r="C47" s="253" t="s">
        <v>172</v>
      </c>
      <c r="D47" s="253">
        <v>1.0</v>
      </c>
      <c r="E47" s="255">
        <f t="shared" ref="E47:M47" si="50">if(isblank(E45),"",if(E46=-1,D47+1,if(E46=-2,D47+2,if(E46=-3,D47+3,1))))</f>
        <v>1</v>
      </c>
      <c r="F47" s="256">
        <f t="shared" si="50"/>
        <v>1</v>
      </c>
      <c r="G47" s="256">
        <f t="shared" si="50"/>
        <v>1</v>
      </c>
      <c r="H47" s="256">
        <f t="shared" si="50"/>
        <v>1</v>
      </c>
      <c r="I47" s="256">
        <f t="shared" si="50"/>
        <v>1</v>
      </c>
      <c r="J47" s="256">
        <f t="shared" si="50"/>
        <v>1</v>
      </c>
      <c r="K47" s="256">
        <f t="shared" si="50"/>
        <v>1</v>
      </c>
      <c r="L47" s="256">
        <f t="shared" si="50"/>
        <v>1</v>
      </c>
      <c r="M47" s="257">
        <f t="shared" si="50"/>
        <v>2</v>
      </c>
      <c r="N47" s="258"/>
      <c r="O47" s="259">
        <f>if(isblank(N45),"",if(N46=-1,M47+1,if(N46=-2,M47+2,if(N46=-3,M47+3,1))))</f>
        <v>1</v>
      </c>
      <c r="P47" s="255">
        <f t="shared" ref="P47:X47" si="51">if(isblank(P45),"",if(P46=-1,O47+1,if(P46=-2,O47+2,if(P46=-3,O47+3,1))))</f>
        <v>1</v>
      </c>
      <c r="Q47" s="256">
        <f t="shared" si="51"/>
        <v>1</v>
      </c>
      <c r="R47" s="256">
        <f t="shared" si="51"/>
        <v>1</v>
      </c>
      <c r="S47" s="256">
        <f t="shared" si="51"/>
        <v>1</v>
      </c>
      <c r="T47" s="256">
        <f t="shared" si="51"/>
        <v>1</v>
      </c>
      <c r="U47" s="256">
        <f t="shared" si="51"/>
        <v>1</v>
      </c>
      <c r="V47" s="256">
        <f t="shared" si="51"/>
        <v>2</v>
      </c>
      <c r="W47" s="256">
        <f t="shared" si="51"/>
        <v>1</v>
      </c>
      <c r="X47" s="257">
        <f t="shared" si="51"/>
        <v>1</v>
      </c>
      <c r="Y47" s="258"/>
      <c r="Z47" s="234">
        <f>if(isblank(Y45),"",if(Y46=-1,X47+1,if(Y46=-2,X47+2,if(Y46=-3,X47+3,1))))</f>
        <v>1</v>
      </c>
      <c r="AA47" s="236"/>
      <c r="AB47" s="1"/>
    </row>
    <row r="48">
      <c r="B48" s="1"/>
      <c r="C48" s="1"/>
      <c r="D48" s="1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36"/>
      <c r="AB48" s="1"/>
    </row>
    <row r="49">
      <c r="B49" s="1"/>
      <c r="C49" s="229" t="str">
        <f>'ROUND 1 - FOURBALL'!F60</f>
        <v>SCOTT</v>
      </c>
      <c r="D49" s="230">
        <f>vlookup($C49,HANDICAPS!$B$33:$G$48,3,false)</f>
        <v>1</v>
      </c>
      <c r="E49" s="231">
        <f>if(isblank(E50),"",if(E51=-3,16*D52,if(E51=-2,8*D52,if(E51=-1,4*D52,if(E51=0,2*D52,if(E51=1,0,if(E51&gt;1,-4*D52))))))+D50)</f>
        <v>2</v>
      </c>
      <c r="F49" s="232">
        <f t="shared" ref="F49:M49" si="52">if(isblank(F50),"",if(F51=-3,16*E52+E49,if(F51=-2,8*E52+E49,if(F51=-1,4*E52+E49,if(F51=0,2*E52+E49,if(F51=1,0+E49,if(F51&gt;1,-4*E52+E49)))))))</f>
        <v>2</v>
      </c>
      <c r="G49" s="232">
        <f t="shared" si="52"/>
        <v>6</v>
      </c>
      <c r="H49" s="232">
        <f t="shared" si="52"/>
        <v>10</v>
      </c>
      <c r="I49" s="232">
        <f t="shared" si="52"/>
        <v>14</v>
      </c>
      <c r="J49" s="232">
        <f t="shared" si="52"/>
        <v>22</v>
      </c>
      <c r="K49" s="232">
        <f t="shared" si="52"/>
        <v>10</v>
      </c>
      <c r="L49" s="232">
        <f t="shared" si="52"/>
        <v>10</v>
      </c>
      <c r="M49" s="233">
        <f t="shared" si="52"/>
        <v>12</v>
      </c>
      <c r="N49" s="234">
        <f>M49</f>
        <v>12</v>
      </c>
      <c r="O49" s="235"/>
      <c r="P49" s="231">
        <f>if(isblank(P50),"",if(P51=-3,16*O52+O50+N49,if(P51=-2,8*O52+O50+N49,if(P51=-1,4*O52+O50+N49,if(P51=0,2*O52+O50+N49,if(P51=1,0+N49,if(P51&gt;1,-4*O52+O50+N49)))))))</f>
        <v>8</v>
      </c>
      <c r="Q49" s="232">
        <f t="shared" ref="Q49:X49" si="53">if(isblank(Q50),"",if(Q51=-3,16*P52+P49,if(Q51=-2,8*P52+P49,if(Q51=-1,4*P52+P49,if(Q51=0,2*P52+P49,if(Q51=1,0+P49,if(Q51&gt;1,-4*P52+P49)))))))</f>
        <v>10</v>
      </c>
      <c r="R49" s="232">
        <f t="shared" si="53"/>
        <v>12</v>
      </c>
      <c r="S49" s="232">
        <f t="shared" si="53"/>
        <v>16</v>
      </c>
      <c r="T49" s="232">
        <f t="shared" si="53"/>
        <v>20</v>
      </c>
      <c r="U49" s="232">
        <f t="shared" si="53"/>
        <v>20</v>
      </c>
      <c r="V49" s="232">
        <f t="shared" si="53"/>
        <v>20</v>
      </c>
      <c r="W49" s="232">
        <f t="shared" si="53"/>
        <v>22</v>
      </c>
      <c r="X49" s="233">
        <f t="shared" si="53"/>
        <v>24</v>
      </c>
      <c r="Y49" s="234">
        <f>if(isblank(X50),"",X49-N49)</f>
        <v>12</v>
      </c>
      <c r="Z49" s="234">
        <f>if(isblank(X50),0,X49)</f>
        <v>24</v>
      </c>
      <c r="AA49" s="236">
        <f>X52</f>
        <v>1</v>
      </c>
      <c r="AB49" s="1"/>
    </row>
    <row r="50">
      <c r="A50" s="237"/>
      <c r="B50" s="39"/>
      <c r="C50" s="238" t="s">
        <v>170</v>
      </c>
      <c r="D50" s="239"/>
      <c r="E50" s="240">
        <f>vlookup('ROUND 1 - FOURBALL'!$B61,'ROUND 1 - FOURBALL'!$B:$AC,7,false)</f>
        <v>4</v>
      </c>
      <c r="F50" s="241">
        <f>vlookup('ROUND 1 - FOURBALL'!$B61,'ROUND 1 - FOURBALL'!$B:$AC,8,false)</f>
        <v>5</v>
      </c>
      <c r="G50" s="241">
        <f>vlookup('ROUND 1 - FOURBALL'!$B61,'ROUND 1 - FOURBALL'!$B:$AC,9,false)</f>
        <v>3</v>
      </c>
      <c r="H50" s="241">
        <f>vlookup('ROUND 1 - FOURBALL'!$B61,'ROUND 1 - FOURBALL'!$B:$AC,10,false)</f>
        <v>3</v>
      </c>
      <c r="I50" s="241">
        <f>vlookup('ROUND 1 - FOURBALL'!$B61,'ROUND 1 - FOURBALL'!$B:$AC,11,false)</f>
        <v>3</v>
      </c>
      <c r="J50" s="241">
        <f>vlookup('ROUND 1 - FOURBALL'!$B61,'ROUND 1 - FOURBALL'!$B:$AC,12,false)</f>
        <v>4</v>
      </c>
      <c r="K50" s="241">
        <f>vlookup('ROUND 1 - FOURBALL'!$B61,'ROUND 1 - FOURBALL'!$B:$AC,13,false)</f>
        <v>7</v>
      </c>
      <c r="L50" s="241">
        <f>vlookup('ROUND 1 - FOURBALL'!$B61,'ROUND 1 - FOURBALL'!$B:$AC,14,false)</f>
        <v>4</v>
      </c>
      <c r="M50" s="242">
        <f>vlookup('ROUND 1 - FOURBALL'!$B61,'ROUND 1 - FOURBALL'!$B:$AC,15,false)</f>
        <v>5</v>
      </c>
      <c r="N50" s="243">
        <f>if(isblank(M50),"",sum(E50:M50))</f>
        <v>38</v>
      </c>
      <c r="O50" s="244"/>
      <c r="P50" s="240">
        <f>vlookup('ROUND 1 - FOURBALL'!$B61,'ROUND 1 - FOURBALL'!$B:$AC,18,false)</f>
        <v>6</v>
      </c>
      <c r="Q50" s="241">
        <f>vlookup('ROUND 1 - FOURBALL'!$B61,'ROUND 1 - FOURBALL'!$B:$AC,19,false)</f>
        <v>3</v>
      </c>
      <c r="R50" s="241">
        <f>vlookup('ROUND 1 - FOURBALL'!$B61,'ROUND 1 - FOURBALL'!$B:$AC,20,false)</f>
        <v>5</v>
      </c>
      <c r="S50" s="241">
        <f>vlookup('ROUND 1 - FOURBALL'!$B61,'ROUND 1 - FOURBALL'!$B:$AC,21,false)</f>
        <v>3</v>
      </c>
      <c r="T50" s="241">
        <f>vlookup('ROUND 1 - FOURBALL'!$B61,'ROUND 1 - FOURBALL'!$B:$AC,22,false)</f>
        <v>5</v>
      </c>
      <c r="U50" s="241">
        <f>vlookup('ROUND 1 - FOURBALL'!$B61,'ROUND 1 - FOURBALL'!$B:$AC,23,false)</f>
        <v>5</v>
      </c>
      <c r="V50" s="241">
        <f>vlookup('ROUND 1 - FOURBALL'!$B61,'ROUND 1 - FOURBALL'!$B:$AC,24,false)</f>
        <v>5</v>
      </c>
      <c r="W50" s="241">
        <f>vlookup('ROUND 1 - FOURBALL'!$B61,'ROUND 1 - FOURBALL'!$B:$AC,25,false)</f>
        <v>3</v>
      </c>
      <c r="X50" s="242">
        <f>vlookup('ROUND 1 - FOURBALL'!$B61,'ROUND 1 - FOURBALL'!$B:$AC,26,false)</f>
        <v>4</v>
      </c>
      <c r="Y50" s="243">
        <f>if(isblank(X50),"",sum(P50:X50))</f>
        <v>39</v>
      </c>
      <c r="Z50" s="245">
        <f>if(isblank(X50),"",sum(N50,Y50))</f>
        <v>77</v>
      </c>
      <c r="AA50" s="42"/>
      <c r="AB50" s="39"/>
    </row>
    <row r="51">
      <c r="A51" s="237"/>
      <c r="B51" s="39"/>
      <c r="C51" s="247" t="s">
        <v>171</v>
      </c>
      <c r="D51" s="248"/>
      <c r="E51" s="249">
        <f t="shared" ref="E51:M51" si="54">if(isblank(E50),"",if(and(18-$D49&lt;0,18+E$7&lt;$D49),E50-2-E$6,if(or(E$7&lt;$D49,E$7=$D49),E50-1-E$6,E50-E$6)))</f>
        <v>0</v>
      </c>
      <c r="F51" s="250">
        <f t="shared" si="54"/>
        <v>1</v>
      </c>
      <c r="G51" s="250">
        <f t="shared" si="54"/>
        <v>-1</v>
      </c>
      <c r="H51" s="250">
        <f t="shared" si="54"/>
        <v>0</v>
      </c>
      <c r="I51" s="250">
        <f t="shared" si="54"/>
        <v>-1</v>
      </c>
      <c r="J51" s="250">
        <f t="shared" si="54"/>
        <v>-1</v>
      </c>
      <c r="K51" s="250">
        <f t="shared" si="54"/>
        <v>2</v>
      </c>
      <c r="L51" s="250">
        <f t="shared" si="54"/>
        <v>1</v>
      </c>
      <c r="M51" s="251">
        <f t="shared" si="54"/>
        <v>0</v>
      </c>
      <c r="N51" s="243">
        <f>if(isblank(M50),"",if(or(N$7&lt;$D49,N$7=$D49),N50-1-N$6,N50-N$6))</f>
        <v>1</v>
      </c>
      <c r="O51" s="244"/>
      <c r="P51" s="249">
        <f t="shared" ref="P51:X51" si="55">if(isblank(P50),"",if(and(18-$D49&lt;0,18+P$7&lt;$D49),P50-2-P$6,if(or(P$7&lt;$D49,P$7=$D49),P50-1-P$6,P50-P$6)))</f>
        <v>2</v>
      </c>
      <c r="Q51" s="250">
        <f t="shared" si="55"/>
        <v>0</v>
      </c>
      <c r="R51" s="250">
        <f t="shared" si="55"/>
        <v>0</v>
      </c>
      <c r="S51" s="250">
        <f t="shared" si="55"/>
        <v>-1</v>
      </c>
      <c r="T51" s="250">
        <f t="shared" si="55"/>
        <v>0</v>
      </c>
      <c r="U51" s="250">
        <f t="shared" si="55"/>
        <v>1</v>
      </c>
      <c r="V51" s="250">
        <f t="shared" si="55"/>
        <v>1</v>
      </c>
      <c r="W51" s="250">
        <f t="shared" si="55"/>
        <v>0</v>
      </c>
      <c r="X51" s="251">
        <f t="shared" si="55"/>
        <v>0</v>
      </c>
      <c r="Y51" s="243">
        <f>if(isblank(X50),"",if(or(Y$7&lt;$D49,Y$7=$D49),Y50-1-Y$6,Y50-Y$6))</f>
        <v>2</v>
      </c>
      <c r="Z51" s="252">
        <f>if(isblank(X50),"",sum(N51,Y51))</f>
        <v>3</v>
      </c>
      <c r="AA51" s="42"/>
      <c r="AB51" s="39"/>
    </row>
    <row r="52">
      <c r="B52" s="1"/>
      <c r="C52" s="253" t="s">
        <v>172</v>
      </c>
      <c r="D52" s="266">
        <v>1.0</v>
      </c>
      <c r="E52" s="255">
        <f t="shared" ref="E52:M52" si="56">if(isblank(E50),"",if(E51=-1,D52+1,if(E51=-2,D52+2,if(E51=-3,D52+3,1))))</f>
        <v>1</v>
      </c>
      <c r="F52" s="256">
        <f t="shared" si="56"/>
        <v>1</v>
      </c>
      <c r="G52" s="256">
        <f t="shared" si="56"/>
        <v>2</v>
      </c>
      <c r="H52" s="256">
        <f t="shared" si="56"/>
        <v>1</v>
      </c>
      <c r="I52" s="256">
        <f t="shared" si="56"/>
        <v>2</v>
      </c>
      <c r="J52" s="256">
        <f t="shared" si="56"/>
        <v>3</v>
      </c>
      <c r="K52" s="256">
        <f t="shared" si="56"/>
        <v>1</v>
      </c>
      <c r="L52" s="256">
        <f t="shared" si="56"/>
        <v>1</v>
      </c>
      <c r="M52" s="257">
        <f t="shared" si="56"/>
        <v>1</v>
      </c>
      <c r="N52" s="258"/>
      <c r="O52" s="259">
        <f>if(isblank(N50),"",if(N51=-1,M52+1,if(N51=-2,M52+2,if(N51=-3,M52+3,1))))</f>
        <v>1</v>
      </c>
      <c r="P52" s="255">
        <f t="shared" ref="P52:X52" si="57">if(isblank(P50),"",if(P51=-1,O52+1,if(P51=-2,O52+2,if(P51=-3,O52+3,1))))</f>
        <v>1</v>
      </c>
      <c r="Q52" s="256">
        <f t="shared" si="57"/>
        <v>1</v>
      </c>
      <c r="R52" s="256">
        <f t="shared" si="57"/>
        <v>1</v>
      </c>
      <c r="S52" s="256">
        <f t="shared" si="57"/>
        <v>2</v>
      </c>
      <c r="T52" s="256">
        <f t="shared" si="57"/>
        <v>1</v>
      </c>
      <c r="U52" s="256">
        <f t="shared" si="57"/>
        <v>1</v>
      </c>
      <c r="V52" s="256">
        <f t="shared" si="57"/>
        <v>1</v>
      </c>
      <c r="W52" s="256">
        <f t="shared" si="57"/>
        <v>1</v>
      </c>
      <c r="X52" s="257">
        <f t="shared" si="57"/>
        <v>1</v>
      </c>
      <c r="Y52" s="258"/>
      <c r="Z52" s="234">
        <f>if(isblank(Y50),"",if(Y51=-1,X52+1,if(Y51=-2,X52+2,if(Y51=-3,X52+3,1))))</f>
        <v>1</v>
      </c>
      <c r="AA52" s="236"/>
      <c r="AB52" s="1"/>
    </row>
    <row r="53">
      <c r="B53" s="1"/>
      <c r="C53" s="261"/>
      <c r="D53" s="261"/>
      <c r="E53" s="262"/>
      <c r="F53" s="262"/>
      <c r="G53" s="262"/>
      <c r="H53" s="263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3"/>
      <c r="W53" s="262"/>
      <c r="X53" s="262"/>
      <c r="Y53" s="262"/>
      <c r="Z53" s="262"/>
      <c r="AA53" s="236"/>
      <c r="AB53" s="1"/>
    </row>
    <row r="54">
      <c r="B54" s="1"/>
      <c r="C54" s="229" t="str">
        <f>'ROUND 1 - FOURBALL'!F62</f>
        <v>RYAN</v>
      </c>
      <c r="D54" s="230">
        <f>vlookup($C54,HANDICAPS!$B$33:$G$48,3,false)</f>
        <v>27</v>
      </c>
      <c r="E54" s="231">
        <f>if(isblank(E55),"",if(E56=-3,16*D57,if(E56=-2,8*D57,if(E56=-1,4*D57,if(E56=0,2*D57,if(E56=1,0,if(E56&gt;1,-4*D57))))))+D55)</f>
        <v>0</v>
      </c>
      <c r="F54" s="232">
        <f t="shared" ref="F54:M54" si="58">if(isblank(F55),"",if(F56=-3,16*E57+E54,if(F56=-2,8*E57+E54,if(F56=-1,4*E57+E54,if(F56=0,2*E57+E54,if(F56=1,0+E54,if(F56&gt;1,-4*E57+E54)))))))</f>
        <v>2</v>
      </c>
      <c r="G54" s="232">
        <f t="shared" si="58"/>
        <v>2</v>
      </c>
      <c r="H54" s="232">
        <f t="shared" si="58"/>
        <v>4</v>
      </c>
      <c r="I54" s="232">
        <f t="shared" si="58"/>
        <v>0</v>
      </c>
      <c r="J54" s="232">
        <f t="shared" si="58"/>
        <v>2</v>
      </c>
      <c r="K54" s="232">
        <f t="shared" si="58"/>
        <v>6</v>
      </c>
      <c r="L54" s="232">
        <f t="shared" si="58"/>
        <v>-2</v>
      </c>
      <c r="M54" s="233">
        <f t="shared" si="58"/>
        <v>-2</v>
      </c>
      <c r="N54" s="234">
        <f>M54</f>
        <v>-2</v>
      </c>
      <c r="O54" s="235"/>
      <c r="P54" s="231">
        <f>if(isblank(P55),"",if(P56=-3,16*O57+O55+N54,if(P56=-2,8*O57+O55+N54,if(P56=-1,4*O57+O55+N54,if(P56=0,2*O57+O55+N54,if(P56=1,0+N54,if(P56&gt;1,-4*O57+O55+N54)))))))</f>
        <v>-6</v>
      </c>
      <c r="Q54" s="232">
        <f t="shared" ref="Q54:X54" si="59">if(isblank(Q55),"",if(Q56=-3,16*P57+P54,if(Q56=-2,8*P57+P54,if(Q56=-1,4*P57+P54,if(Q56=0,2*P57+P54,if(Q56=1,0+P54,if(Q56&gt;1,-4*P57+P54)))))))</f>
        <v>-4</v>
      </c>
      <c r="R54" s="232">
        <f t="shared" si="59"/>
        <v>-4</v>
      </c>
      <c r="S54" s="232">
        <f t="shared" si="59"/>
        <v>0</v>
      </c>
      <c r="T54" s="232">
        <f t="shared" si="59"/>
        <v>16</v>
      </c>
      <c r="U54" s="232">
        <f t="shared" si="59"/>
        <v>24</v>
      </c>
      <c r="V54" s="232">
        <f t="shared" si="59"/>
        <v>26</v>
      </c>
      <c r="W54" s="232">
        <f t="shared" si="59"/>
        <v>22</v>
      </c>
      <c r="X54" s="233">
        <f t="shared" si="59"/>
        <v>22</v>
      </c>
      <c r="Y54" s="234">
        <f>if(isblank(X55),"",X54-N54)</f>
        <v>24</v>
      </c>
      <c r="Z54" s="234">
        <f>if(isblank(X55),0,X54)</f>
        <v>22</v>
      </c>
      <c r="AA54" s="236">
        <f>X57</f>
        <v>1</v>
      </c>
      <c r="AB54" s="1"/>
    </row>
    <row r="55">
      <c r="B55" s="1"/>
      <c r="C55" s="238" t="s">
        <v>170</v>
      </c>
      <c r="D55" s="239"/>
      <c r="E55" s="240">
        <f>vlookup('ROUND 1 - FOURBALL'!$B63,'ROUND 1 - FOURBALL'!$B:$AC,7,false)</f>
        <v>7</v>
      </c>
      <c r="F55" s="241">
        <f>vlookup('ROUND 1 - FOURBALL'!$B63,'ROUND 1 - FOURBALL'!$B:$AC,8,false)</f>
        <v>5</v>
      </c>
      <c r="G55" s="241">
        <f>vlookup('ROUND 1 - FOURBALL'!$B63,'ROUND 1 - FOURBALL'!$B:$AC,9,false)</f>
        <v>7</v>
      </c>
      <c r="H55" s="241">
        <f>vlookup('ROUND 1 - FOURBALL'!$B63,'ROUND 1 - FOURBALL'!$B:$AC,10,false)</f>
        <v>4</v>
      </c>
      <c r="I55" s="241">
        <f>vlookup('ROUND 1 - FOURBALL'!$B63,'ROUND 1 - FOURBALL'!$B:$AC,11,false)</f>
        <v>7</v>
      </c>
      <c r="J55" s="241">
        <f>vlookup('ROUND 1 - FOURBALL'!$B63,'ROUND 1 - FOURBALL'!$B:$AC,12,false)</f>
        <v>6</v>
      </c>
      <c r="K55" s="241">
        <f>vlookup('ROUND 1 - FOURBALL'!$B63,'ROUND 1 - FOURBALL'!$B:$AC,13,false)</f>
        <v>5</v>
      </c>
      <c r="L55" s="241">
        <f>vlookup('ROUND 1 - FOURBALL'!$B63,'ROUND 1 - FOURBALL'!$B:$AC,14,false)</f>
        <v>6</v>
      </c>
      <c r="M55" s="242">
        <f>vlookup('ROUND 1 - FOURBALL'!$B63,'ROUND 1 - FOURBALL'!$B:$AC,15,false)</f>
        <v>8</v>
      </c>
      <c r="N55" s="243">
        <f>if(isblank(M55),"",sum(E55:M55))</f>
        <v>55</v>
      </c>
      <c r="O55" s="244"/>
      <c r="P55" s="240">
        <f>vlookup('ROUND 1 - FOURBALL'!$B63,'ROUND 1 - FOURBALL'!$B:$AC,18,false)</f>
        <v>7</v>
      </c>
      <c r="Q55" s="241">
        <f>vlookup('ROUND 1 - FOURBALL'!$B63,'ROUND 1 - FOURBALL'!$B:$AC,19,false)</f>
        <v>4</v>
      </c>
      <c r="R55" s="241">
        <f>vlookup('ROUND 1 - FOURBALL'!$B63,'ROUND 1 - FOURBALL'!$B:$AC,20,false)</f>
        <v>8</v>
      </c>
      <c r="S55" s="241">
        <f>vlookup('ROUND 1 - FOURBALL'!$B63,'ROUND 1 - FOURBALL'!$B:$AC,21,false)</f>
        <v>4</v>
      </c>
      <c r="T55" s="241">
        <f>vlookup('ROUND 1 - FOURBALL'!$B63,'ROUND 1 - FOURBALL'!$B:$AC,22,false)</f>
        <v>5</v>
      </c>
      <c r="U55" s="241">
        <f>vlookup('ROUND 1 - FOURBALL'!$B63,'ROUND 1 - FOURBALL'!$B:$AC,23,false)</f>
        <v>5</v>
      </c>
      <c r="V55" s="241">
        <f>vlookup('ROUND 1 - FOURBALL'!$B63,'ROUND 1 - FOURBALL'!$B:$AC,24,false)</f>
        <v>6</v>
      </c>
      <c r="W55" s="241">
        <f>vlookup('ROUND 1 - FOURBALL'!$B63,'ROUND 1 - FOURBALL'!$B:$AC,25,false)</f>
        <v>6</v>
      </c>
      <c r="X55" s="242">
        <f>vlookup('ROUND 1 - FOURBALL'!$B63,'ROUND 1 - FOURBALL'!$B:$AC,26,false)</f>
        <v>7</v>
      </c>
      <c r="Y55" s="243">
        <f>if(isblank(X55),"",sum(P55:X55))</f>
        <v>52</v>
      </c>
      <c r="Z55" s="245">
        <f>if(isblank(X55),"",sum(N55,Y55))</f>
        <v>107</v>
      </c>
      <c r="AA55" s="236"/>
      <c r="AB55" s="1"/>
    </row>
    <row r="56">
      <c r="B56" s="1"/>
      <c r="C56" s="247"/>
      <c r="D56" s="248"/>
      <c r="E56" s="250">
        <f t="shared" ref="E56:M56" si="60">if(isblank(E55),"",if(and(18-$D54&lt;0,18+E$7&lt;$D54),E55-2-E$6,if(or(E$7&lt;$D54,E$7=$D54),E55-1-E$6,E55-E$6)))</f>
        <v>1</v>
      </c>
      <c r="F56" s="250">
        <f t="shared" si="60"/>
        <v>0</v>
      </c>
      <c r="G56" s="250">
        <f t="shared" si="60"/>
        <v>1</v>
      </c>
      <c r="H56" s="250">
        <f t="shared" si="60"/>
        <v>0</v>
      </c>
      <c r="I56" s="250">
        <f t="shared" si="60"/>
        <v>2</v>
      </c>
      <c r="J56" s="250">
        <f t="shared" si="60"/>
        <v>0</v>
      </c>
      <c r="K56" s="250">
        <f t="shared" si="60"/>
        <v>-1</v>
      </c>
      <c r="L56" s="250">
        <f t="shared" si="60"/>
        <v>2</v>
      </c>
      <c r="M56" s="250">
        <f t="shared" si="60"/>
        <v>1</v>
      </c>
      <c r="N56" s="243">
        <f>if(isblank(M55),"",if(or(N$7&lt;$D54,N$7=$D54),N55-1-N$6,N55-N$6))</f>
        <v>18</v>
      </c>
      <c r="O56" s="244"/>
      <c r="P56" s="249">
        <f t="shared" ref="P56:X56" si="61">if(isblank(P55),"",if(and(18-$D54&lt;0,18+P$7&lt;$D54),P55-2-P$6,if(or(P$7&lt;$D54,P$7=$D54),P55-1-P$6,P55-P$6)))</f>
        <v>2</v>
      </c>
      <c r="Q56" s="250">
        <f t="shared" si="61"/>
        <v>0</v>
      </c>
      <c r="R56" s="250">
        <f t="shared" si="61"/>
        <v>1</v>
      </c>
      <c r="S56" s="250">
        <f t="shared" si="61"/>
        <v>-1</v>
      </c>
      <c r="T56" s="250">
        <f t="shared" si="61"/>
        <v>-2</v>
      </c>
      <c r="U56" s="250">
        <f t="shared" si="61"/>
        <v>0</v>
      </c>
      <c r="V56" s="250">
        <f t="shared" si="61"/>
        <v>0</v>
      </c>
      <c r="W56" s="250">
        <f t="shared" si="61"/>
        <v>2</v>
      </c>
      <c r="X56" s="251">
        <f t="shared" si="61"/>
        <v>1</v>
      </c>
      <c r="Y56" s="243">
        <f>if(isblank(X55),"",if(or(Y$7&lt;$D54,Y$7=$D54),Y55-1-Y$6,Y55-Y$6))</f>
        <v>15</v>
      </c>
      <c r="Z56" s="252">
        <f>if(isblank(X55),"",sum(N56,Y56))</f>
        <v>33</v>
      </c>
      <c r="AA56" s="236"/>
      <c r="AB56" s="1"/>
    </row>
    <row r="57">
      <c r="B57" s="1"/>
      <c r="C57" s="253" t="s">
        <v>172</v>
      </c>
      <c r="D57" s="253">
        <v>1.0</v>
      </c>
      <c r="E57" s="255">
        <f t="shared" ref="E57:M57" si="62">if(isblank(E55),"",if(E56=-1,D57+1,if(E56=-2,D57+2,if(E56=-3,D57+3,1))))</f>
        <v>1</v>
      </c>
      <c r="F57" s="256">
        <f t="shared" si="62"/>
        <v>1</v>
      </c>
      <c r="G57" s="256">
        <f t="shared" si="62"/>
        <v>1</v>
      </c>
      <c r="H57" s="256">
        <f t="shared" si="62"/>
        <v>1</v>
      </c>
      <c r="I57" s="256">
        <f t="shared" si="62"/>
        <v>1</v>
      </c>
      <c r="J57" s="256">
        <f t="shared" si="62"/>
        <v>1</v>
      </c>
      <c r="K57" s="256">
        <f t="shared" si="62"/>
        <v>2</v>
      </c>
      <c r="L57" s="256">
        <f t="shared" si="62"/>
        <v>1</v>
      </c>
      <c r="M57" s="257">
        <f t="shared" si="62"/>
        <v>1</v>
      </c>
      <c r="N57" s="258"/>
      <c r="O57" s="259">
        <f>if(isblank(N55),"",if(N56=-1,M57+1,if(N56=-2,M57+2,if(N56=-3,M57+3,1))))</f>
        <v>1</v>
      </c>
      <c r="P57" s="255">
        <f t="shared" ref="P57:X57" si="63">if(isblank(P55),"",if(P56=-1,O57+1,if(P56=-2,O57+2,if(P56=-3,O57+3,1))))</f>
        <v>1</v>
      </c>
      <c r="Q57" s="256">
        <f t="shared" si="63"/>
        <v>1</v>
      </c>
      <c r="R57" s="256">
        <f t="shared" si="63"/>
        <v>1</v>
      </c>
      <c r="S57" s="256">
        <f t="shared" si="63"/>
        <v>2</v>
      </c>
      <c r="T57" s="256">
        <f t="shared" si="63"/>
        <v>4</v>
      </c>
      <c r="U57" s="256">
        <f t="shared" si="63"/>
        <v>1</v>
      </c>
      <c r="V57" s="256">
        <f t="shared" si="63"/>
        <v>1</v>
      </c>
      <c r="W57" s="256">
        <f t="shared" si="63"/>
        <v>1</v>
      </c>
      <c r="X57" s="257">
        <f t="shared" si="63"/>
        <v>1</v>
      </c>
      <c r="Y57" s="258"/>
      <c r="Z57" s="234">
        <f>if(isblank(Y55),"",if(Y56=-1,X57+1,if(Y56=-2,X57+2,if(Y56=-3,X57+3,1))))</f>
        <v>1</v>
      </c>
      <c r="AA57" s="236"/>
      <c r="AB57" s="1"/>
    </row>
    <row r="58">
      <c r="B58" s="1"/>
      <c r="C58" s="1"/>
      <c r="D58" s="1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36"/>
      <c r="AB58" s="1"/>
    </row>
    <row r="59">
      <c r="B59" s="1"/>
      <c r="C59" s="229" t="str">
        <f>'ROUND 1 - FOURBALL'!F68</f>
        <v>DANNY</v>
      </c>
      <c r="D59" s="230">
        <f>vlookup($C59,HANDICAPS!$B$33:$G$48,3,false)</f>
        <v>8</v>
      </c>
      <c r="E59" s="231">
        <f>if(isblank(E60),"",if(E61=-3,16*D62,if(E61=-2,8*D62,if(E61=-1,4*D62,if(E61=0,2*D62,if(E61=1,0,if(E61&gt;1,-4*D62))))))+D60)</f>
        <v>4</v>
      </c>
      <c r="F59" s="232">
        <f t="shared" ref="F59:M59" si="64">if(isblank(F60),"",if(F61=-3,16*E62+E59,if(F61=-2,8*E62+E59,if(F61=-1,4*E62+E59,if(F61=0,2*E62+E59,if(F61=1,0+E59,if(F61&gt;1,-4*E62+E59)))))))</f>
        <v>4</v>
      </c>
      <c r="G59" s="232">
        <f t="shared" si="64"/>
        <v>6</v>
      </c>
      <c r="H59" s="232">
        <f t="shared" si="64"/>
        <v>10</v>
      </c>
      <c r="I59" s="232">
        <f t="shared" si="64"/>
        <v>10</v>
      </c>
      <c r="J59" s="232">
        <f t="shared" si="64"/>
        <v>12</v>
      </c>
      <c r="K59" s="232">
        <f t="shared" si="64"/>
        <v>8</v>
      </c>
      <c r="L59" s="232">
        <f t="shared" si="64"/>
        <v>8</v>
      </c>
      <c r="M59" s="233">
        <f t="shared" si="64"/>
        <v>8</v>
      </c>
      <c r="N59" s="234">
        <f>M59</f>
        <v>8</v>
      </c>
      <c r="O59" s="235"/>
      <c r="P59" s="231">
        <f>if(isblank(P60),"",if(P61=-3,16*O62+O60+N59,if(P61=-2,8*O62+O60+N59,if(P61=-1,4*O62+O60+N59,if(P61=0,2*O62+O60+N59,if(P61=1,0+N59,if(P61&gt;1,-4*O62+O60+N59)))))))</f>
        <v>8</v>
      </c>
      <c r="Q59" s="232">
        <f t="shared" ref="Q59:X59" si="65">if(isblank(Q60),"",if(Q61=-3,16*P62+P59,if(Q61=-2,8*P62+P59,if(Q61=-1,4*P62+P59,if(Q61=0,2*P62+P59,if(Q61=1,0+P59,if(Q61&gt;1,-4*P62+P59)))))))</f>
        <v>12</v>
      </c>
      <c r="R59" s="232">
        <f t="shared" si="65"/>
        <v>16</v>
      </c>
      <c r="S59" s="232">
        <f t="shared" si="65"/>
        <v>12</v>
      </c>
      <c r="T59" s="232">
        <f t="shared" si="65"/>
        <v>14</v>
      </c>
      <c r="U59" s="232">
        <f t="shared" si="65"/>
        <v>14</v>
      </c>
      <c r="V59" s="232">
        <f t="shared" si="65"/>
        <v>18</v>
      </c>
      <c r="W59" s="232">
        <f t="shared" si="65"/>
        <v>10</v>
      </c>
      <c r="X59" s="233">
        <f t="shared" si="65"/>
        <v>10</v>
      </c>
      <c r="Y59" s="234">
        <f>if(isblank(X60),"",X59-N59)</f>
        <v>2</v>
      </c>
      <c r="Z59" s="234">
        <f>if(isblank(X60),0,X59)</f>
        <v>10</v>
      </c>
      <c r="AA59" s="236">
        <f>X62</f>
        <v>1</v>
      </c>
      <c r="AB59" s="1"/>
    </row>
    <row r="60">
      <c r="A60" s="237"/>
      <c r="B60" s="39"/>
      <c r="C60" s="238" t="s">
        <v>170</v>
      </c>
      <c r="D60" s="239"/>
      <c r="E60" s="240">
        <f>vlookup('ROUND 1 - FOURBALL'!$B69,'ROUND 1 - FOURBALL'!$B:$AC,7,false)</f>
        <v>4</v>
      </c>
      <c r="F60" s="241">
        <f>vlookup('ROUND 1 - FOURBALL'!$B69,'ROUND 1 - FOURBALL'!$B:$AC,8,false)</f>
        <v>5</v>
      </c>
      <c r="G60" s="241">
        <f>vlookup('ROUND 1 - FOURBALL'!$B69,'ROUND 1 - FOURBALL'!$B:$AC,9,false)</f>
        <v>5</v>
      </c>
      <c r="H60" s="241">
        <f>vlookup('ROUND 1 - FOURBALL'!$B69,'ROUND 1 - FOURBALL'!$B:$AC,10,false)</f>
        <v>2</v>
      </c>
      <c r="I60" s="241">
        <f>vlookup('ROUND 1 - FOURBALL'!$B69,'ROUND 1 - FOURBALL'!$B:$AC,11,false)</f>
        <v>5</v>
      </c>
      <c r="J60" s="241">
        <f>vlookup('ROUND 1 - FOURBALL'!$B69,'ROUND 1 - FOURBALL'!$B:$AC,12,false)</f>
        <v>5</v>
      </c>
      <c r="K60" s="241">
        <f>vlookup('ROUND 1 - FOURBALL'!$B69,'ROUND 1 - FOURBALL'!$B:$AC,13,false)</f>
        <v>7</v>
      </c>
      <c r="L60" s="241">
        <f>vlookup('ROUND 1 - FOURBALL'!$B69,'ROUND 1 - FOURBALL'!$B:$AC,14,false)</f>
        <v>4</v>
      </c>
      <c r="M60" s="242">
        <f>vlookup('ROUND 1 - FOURBALL'!$B69,'ROUND 1 - FOURBALL'!$B:$AC,15,false)</f>
        <v>7</v>
      </c>
      <c r="N60" s="243">
        <f>if(isblank(M60),"",sum(E60:M60))</f>
        <v>44</v>
      </c>
      <c r="O60" s="244"/>
      <c r="P60" s="240">
        <f>vlookup('ROUND 1 - FOURBALL'!$B69,'ROUND 1 - FOURBALL'!$B:$AC,18,false)</f>
        <v>5</v>
      </c>
      <c r="Q60" s="241">
        <f>vlookup('ROUND 1 - FOURBALL'!$B69,'ROUND 1 - FOURBALL'!$B:$AC,19,false)</f>
        <v>2</v>
      </c>
      <c r="R60" s="241">
        <f>vlookup('ROUND 1 - FOURBALL'!$B69,'ROUND 1 - FOURBALL'!$B:$AC,20,false)</f>
        <v>6</v>
      </c>
      <c r="S60" s="241">
        <f>vlookup('ROUND 1 - FOURBALL'!$B69,'ROUND 1 - FOURBALL'!$B:$AC,21,false)</f>
        <v>6</v>
      </c>
      <c r="T60" s="241">
        <f>vlookup('ROUND 1 - FOURBALL'!$B69,'ROUND 1 - FOURBALL'!$B:$AC,22,false)</f>
        <v>6</v>
      </c>
      <c r="U60" s="241">
        <f>vlookup('ROUND 1 - FOURBALL'!$B69,'ROUND 1 - FOURBALL'!$B:$AC,23,false)</f>
        <v>5</v>
      </c>
      <c r="V60" s="241">
        <f>vlookup('ROUND 1 - FOURBALL'!$B69,'ROUND 1 - FOURBALL'!$B:$AC,24,false)</f>
        <v>4</v>
      </c>
      <c r="W60" s="241">
        <f>vlookup('ROUND 1 - FOURBALL'!$B69,'ROUND 1 - FOURBALL'!$B:$AC,25,false)</f>
        <v>5</v>
      </c>
      <c r="X60" s="242">
        <f>vlookup('ROUND 1 - FOURBALL'!$B69,'ROUND 1 - FOURBALL'!$B:$AC,26,false)</f>
        <v>6</v>
      </c>
      <c r="Y60" s="243">
        <f>if(isblank(X60),"",sum(P60:X60))</f>
        <v>45</v>
      </c>
      <c r="Z60" s="245">
        <f>if(isblank(X60),"",sum(N60,Y60))</f>
        <v>89</v>
      </c>
      <c r="AA60" s="42"/>
      <c r="AB60" s="39"/>
    </row>
    <row r="61">
      <c r="A61" s="237"/>
      <c r="B61" s="39"/>
      <c r="C61" s="247" t="s">
        <v>171</v>
      </c>
      <c r="D61" s="248"/>
      <c r="E61" s="249">
        <f t="shared" ref="E61:M61" si="66">if(isblank(E60),"",if(and(18-$D59&lt;0,18+E$7&lt;$D59),E60-2-E$6,if(or(E$7&lt;$D59,E$7=$D59),E60-1-E$6,E60-E$6)))</f>
        <v>-1</v>
      </c>
      <c r="F61" s="250">
        <f t="shared" si="66"/>
        <v>1</v>
      </c>
      <c r="G61" s="250">
        <f t="shared" si="66"/>
        <v>0</v>
      </c>
      <c r="H61" s="250">
        <f t="shared" si="66"/>
        <v>-1</v>
      </c>
      <c r="I61" s="250">
        <f t="shared" si="66"/>
        <v>1</v>
      </c>
      <c r="J61" s="250">
        <f t="shared" si="66"/>
        <v>0</v>
      </c>
      <c r="K61" s="250">
        <f t="shared" si="66"/>
        <v>2</v>
      </c>
      <c r="L61" s="250">
        <f t="shared" si="66"/>
        <v>1</v>
      </c>
      <c r="M61" s="251">
        <f t="shared" si="66"/>
        <v>1</v>
      </c>
      <c r="N61" s="243">
        <f>if(isblank(M60),"",if(or(N$7&lt;$D59,N$7=$D59),N60-1-N$6,N60-N$6))</f>
        <v>7</v>
      </c>
      <c r="O61" s="244"/>
      <c r="P61" s="249">
        <f t="shared" ref="P61:X61" si="67">if(isblank(P60),"",if(and(18-$D59&lt;0,18+P$7&lt;$D59),P60-2-P$6,if(or(P$7&lt;$D59,P$7=$D59),P60-1-P$6,P60-P$6)))</f>
        <v>1</v>
      </c>
      <c r="Q61" s="250">
        <f t="shared" si="67"/>
        <v>-1</v>
      </c>
      <c r="R61" s="250">
        <f t="shared" si="67"/>
        <v>0</v>
      </c>
      <c r="S61" s="250">
        <f t="shared" si="67"/>
        <v>2</v>
      </c>
      <c r="T61" s="250">
        <f t="shared" si="67"/>
        <v>0</v>
      </c>
      <c r="U61" s="250">
        <f t="shared" si="67"/>
        <v>1</v>
      </c>
      <c r="V61" s="250">
        <f t="shared" si="67"/>
        <v>-1</v>
      </c>
      <c r="W61" s="250">
        <f t="shared" si="67"/>
        <v>2</v>
      </c>
      <c r="X61" s="251">
        <f t="shared" si="67"/>
        <v>1</v>
      </c>
      <c r="Y61" s="243">
        <f>if(isblank(X60),"",if(or(Y$7&lt;$D59,Y$7=$D59),Y60-1-Y$6,Y60-Y$6))</f>
        <v>8</v>
      </c>
      <c r="Z61" s="252">
        <f>if(isblank(X60),"",sum(N61,Y61))</f>
        <v>15</v>
      </c>
      <c r="AA61" s="42"/>
      <c r="AB61" s="39"/>
    </row>
    <row r="62">
      <c r="B62" s="1"/>
      <c r="C62" s="253" t="s">
        <v>172</v>
      </c>
      <c r="D62" s="253">
        <v>1.0</v>
      </c>
      <c r="E62" s="255">
        <f t="shared" ref="E62:M62" si="68">if(isblank(E60),"",if(E61=-1,D62+1,if(E61=-2,D62+2,if(E61=-3,D62+3,1))))</f>
        <v>2</v>
      </c>
      <c r="F62" s="256">
        <f t="shared" si="68"/>
        <v>1</v>
      </c>
      <c r="G62" s="256">
        <f t="shared" si="68"/>
        <v>1</v>
      </c>
      <c r="H62" s="256">
        <f t="shared" si="68"/>
        <v>2</v>
      </c>
      <c r="I62" s="256">
        <f t="shared" si="68"/>
        <v>1</v>
      </c>
      <c r="J62" s="256">
        <f t="shared" si="68"/>
        <v>1</v>
      </c>
      <c r="K62" s="256">
        <f t="shared" si="68"/>
        <v>1</v>
      </c>
      <c r="L62" s="256">
        <f t="shared" si="68"/>
        <v>1</v>
      </c>
      <c r="M62" s="257">
        <f t="shared" si="68"/>
        <v>1</v>
      </c>
      <c r="N62" s="258"/>
      <c r="O62" s="259">
        <f>if(isblank(N60),"",if(N61=-1,M62+1,if(N61=-2,M62+2,if(N61=-3,M62+3,1))))</f>
        <v>1</v>
      </c>
      <c r="P62" s="255">
        <f t="shared" ref="P62:X62" si="69">if(isblank(P60),"",if(P61=-1,O62+1,if(P61=-2,O62+2,if(P61=-3,O62+3,1))))</f>
        <v>1</v>
      </c>
      <c r="Q62" s="256">
        <f t="shared" si="69"/>
        <v>2</v>
      </c>
      <c r="R62" s="256">
        <f t="shared" si="69"/>
        <v>1</v>
      </c>
      <c r="S62" s="256">
        <f t="shared" si="69"/>
        <v>1</v>
      </c>
      <c r="T62" s="256">
        <f t="shared" si="69"/>
        <v>1</v>
      </c>
      <c r="U62" s="256">
        <f t="shared" si="69"/>
        <v>1</v>
      </c>
      <c r="V62" s="256">
        <f t="shared" si="69"/>
        <v>2</v>
      </c>
      <c r="W62" s="256">
        <f t="shared" si="69"/>
        <v>1</v>
      </c>
      <c r="X62" s="257">
        <f t="shared" si="69"/>
        <v>1</v>
      </c>
      <c r="Y62" s="258"/>
      <c r="Z62" s="234">
        <f>if(isblank(Y60),"",if(Y61=-1,X62+1,if(Y61=-2,X62+2,if(Y61=-3,X62+3,1))))</f>
        <v>1</v>
      </c>
      <c r="AA62" s="236"/>
      <c r="AB62" s="1"/>
    </row>
    <row r="63">
      <c r="B63" s="1"/>
      <c r="C63" s="261"/>
      <c r="D63" s="261"/>
      <c r="E63" s="262"/>
      <c r="F63" s="262"/>
      <c r="G63" s="262"/>
      <c r="H63" s="263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3"/>
      <c r="W63" s="262"/>
      <c r="X63" s="262"/>
      <c r="Y63" s="262"/>
      <c r="Z63" s="262"/>
      <c r="AA63" s="236"/>
      <c r="AB63" s="1"/>
    </row>
    <row r="64">
      <c r="B64" s="1"/>
      <c r="C64" s="229" t="str">
        <f>'ROUND 1 - FOURBALL'!F70</f>
        <v>SKYLAR</v>
      </c>
      <c r="D64" s="230">
        <f>vlookup($C64,HANDICAPS!$B$33:$G$48,3,false)</f>
        <v>23</v>
      </c>
      <c r="E64" s="231">
        <f>if(isblank(E65),"",if(E66=-3,16*D67,if(E66=-2,8*D67,if(E66=-1,4*D67,if(E66=0,2*D67,if(E66=1,0,if(E66&gt;1,-4*D67))))))+D65)</f>
        <v>-4</v>
      </c>
      <c r="F64" s="232">
        <f t="shared" ref="F64:M64" si="70">if(isblank(F65),"",if(F66=-3,16*E67+E64,if(F66=-2,8*E67+E64,if(F66=-1,4*E67+E64,if(F66=0,2*E67+E64,if(F66=1,0+E64,if(F66&gt;1,-4*E67+E64)))))))</f>
        <v>-4</v>
      </c>
      <c r="G64" s="232">
        <f t="shared" si="70"/>
        <v>-2</v>
      </c>
      <c r="H64" s="232">
        <f t="shared" si="70"/>
        <v>0</v>
      </c>
      <c r="I64" s="232">
        <f t="shared" si="70"/>
        <v>0</v>
      </c>
      <c r="J64" s="232">
        <f t="shared" si="70"/>
        <v>2</v>
      </c>
      <c r="K64" s="232">
        <f t="shared" si="70"/>
        <v>4</v>
      </c>
      <c r="L64" s="232">
        <f t="shared" si="70"/>
        <v>6</v>
      </c>
      <c r="M64" s="233">
        <f t="shared" si="70"/>
        <v>10</v>
      </c>
      <c r="N64" s="234">
        <f>M64</f>
        <v>10</v>
      </c>
      <c r="O64" s="235"/>
      <c r="P64" s="231">
        <f>if(isblank(P65),"",if(P66=-3,16*O67+O65+N64,if(P66=-2,8*O67+O65+N64,if(P66=-1,4*O67+O65+N64,if(P66=0,2*O67+O65+N64,if(P66=1,0+N64,if(P66&gt;1,-4*O67+O65+N64)))))))</f>
        <v>12</v>
      </c>
      <c r="Q64" s="232">
        <f t="shared" ref="Q64:X64" si="71">if(isblank(Q65),"",if(Q66=-3,16*P67+P64,if(Q66=-2,8*P67+P64,if(Q66=-1,4*P67+P64,if(Q66=0,2*P67+P64,if(Q66=1,0+P64,if(Q66&gt;1,-4*P67+P64)))))))</f>
        <v>16</v>
      </c>
      <c r="R64" s="232">
        <f t="shared" si="71"/>
        <v>8</v>
      </c>
      <c r="S64" s="232">
        <f t="shared" si="71"/>
        <v>4</v>
      </c>
      <c r="T64" s="232">
        <f t="shared" si="71"/>
        <v>4</v>
      </c>
      <c r="U64" s="232">
        <f t="shared" si="71"/>
        <v>0</v>
      </c>
      <c r="V64" s="232">
        <f t="shared" si="71"/>
        <v>2</v>
      </c>
      <c r="W64" s="232">
        <f t="shared" si="71"/>
        <v>-2</v>
      </c>
      <c r="X64" s="233">
        <f t="shared" si="71"/>
        <v>0</v>
      </c>
      <c r="Y64" s="234">
        <f>if(isblank(X65),"",X64-N64)</f>
        <v>-10</v>
      </c>
      <c r="Z64" s="234">
        <f>if(isblank(X65),0,X64)</f>
        <v>0</v>
      </c>
      <c r="AA64" s="236">
        <f>X67</f>
        <v>1</v>
      </c>
      <c r="AB64" s="1"/>
    </row>
    <row r="65">
      <c r="B65" s="1"/>
      <c r="C65" s="238" t="s">
        <v>170</v>
      </c>
      <c r="D65" s="239"/>
      <c r="E65" s="240">
        <f>vlookup('ROUND 1 - FOURBALL'!$B71,'ROUND 1 - FOURBALL'!$B:$AC,7,false)</f>
        <v>7</v>
      </c>
      <c r="F65" s="241">
        <f>vlookup('ROUND 1 - FOURBALL'!$B71,'ROUND 1 - FOURBALL'!$B:$AC,8,false)</f>
        <v>6</v>
      </c>
      <c r="G65" s="241">
        <f>vlookup('ROUND 1 - FOURBALL'!$B71,'ROUND 1 - FOURBALL'!$B:$AC,9,false)</f>
        <v>5</v>
      </c>
      <c r="H65" s="241">
        <f>vlookup('ROUND 1 - FOURBALL'!$B71,'ROUND 1 - FOURBALL'!$B:$AC,10,false)</f>
        <v>4</v>
      </c>
      <c r="I65" s="241">
        <f>vlookup('ROUND 1 - FOURBALL'!$B71,'ROUND 1 - FOURBALL'!$B:$AC,11,false)</f>
        <v>6</v>
      </c>
      <c r="J65" s="241">
        <f>vlookup('ROUND 1 - FOURBALL'!$B71,'ROUND 1 - FOURBALL'!$B:$AC,12,false)</f>
        <v>6</v>
      </c>
      <c r="K65" s="241">
        <f>vlookup('ROUND 1 - FOURBALL'!$B71,'ROUND 1 - FOURBALL'!$B:$AC,13,false)</f>
        <v>6</v>
      </c>
      <c r="L65" s="241">
        <f>vlookup('ROUND 1 - FOURBALL'!$B71,'ROUND 1 - FOURBALL'!$B:$AC,14,false)</f>
        <v>4</v>
      </c>
      <c r="M65" s="242">
        <f>vlookup('ROUND 1 - FOURBALL'!$B71,'ROUND 1 - FOURBALL'!$B:$AC,15,false)</f>
        <v>6</v>
      </c>
      <c r="N65" s="243">
        <f>if(isblank(M65),"",sum(E65:M65))</f>
        <v>50</v>
      </c>
      <c r="O65" s="244"/>
      <c r="P65" s="240">
        <f>vlookup('ROUND 1 - FOURBALL'!$B71,'ROUND 1 - FOURBALL'!$B:$AC,18,false)</f>
        <v>5</v>
      </c>
      <c r="Q65" s="241">
        <f>vlookup('ROUND 1 - FOURBALL'!$B71,'ROUND 1 - FOURBALL'!$B:$AC,19,false)</f>
        <v>3</v>
      </c>
      <c r="R65" s="241">
        <f>vlookup('ROUND 1 - FOURBALL'!$B71,'ROUND 1 - FOURBALL'!$B:$AC,20,false)</f>
        <v>9</v>
      </c>
      <c r="S65" s="241">
        <f>vlookup('ROUND 1 - FOURBALL'!$B71,'ROUND 1 - FOURBALL'!$B:$AC,21,false)</f>
        <v>8</v>
      </c>
      <c r="T65" s="241">
        <f>vlookup('ROUND 1 - FOURBALL'!$B71,'ROUND 1 - FOURBALL'!$B:$AC,22,false)</f>
        <v>8</v>
      </c>
      <c r="U65" s="241">
        <f>vlookup('ROUND 1 - FOURBALL'!$B71,'ROUND 1 - FOURBALL'!$B:$AC,23,false)</f>
        <v>8</v>
      </c>
      <c r="V65" s="241">
        <f>vlookup('ROUND 1 - FOURBALL'!$B71,'ROUND 1 - FOURBALL'!$B:$AC,24,false)</f>
        <v>6</v>
      </c>
      <c r="W65" s="241">
        <f>vlookup('ROUND 1 - FOURBALL'!$B71,'ROUND 1 - FOURBALL'!$B:$AC,25,false)</f>
        <v>6</v>
      </c>
      <c r="X65" s="242">
        <f>vlookup('ROUND 1 - FOURBALL'!$B71,'ROUND 1 - FOURBALL'!$B:$AC,26,false)</f>
        <v>5</v>
      </c>
      <c r="Y65" s="243">
        <f>if(isblank(X65),"",sum(P65:X65))</f>
        <v>58</v>
      </c>
      <c r="Z65" s="245">
        <f>if(isblank(X65),"",sum(N65,Y65))</f>
        <v>108</v>
      </c>
      <c r="AA65" s="236"/>
      <c r="AB65" s="1"/>
    </row>
    <row r="66">
      <c r="B66" s="1"/>
      <c r="C66" s="247" t="s">
        <v>171</v>
      </c>
      <c r="D66" s="248"/>
      <c r="E66" s="249">
        <f t="shared" ref="E66:M66" si="72">if(isblank(E65),"",if(and(18-$D64&lt;0,18+E$7&lt;$D64),E65-2-E$6,if(or(E$7&lt;$D64,E$7=$D64),E65-1-E$6,E65-E$6)))</f>
        <v>2</v>
      </c>
      <c r="F66" s="250">
        <f t="shared" si="72"/>
        <v>1</v>
      </c>
      <c r="G66" s="250">
        <f t="shared" si="72"/>
        <v>0</v>
      </c>
      <c r="H66" s="250">
        <f t="shared" si="72"/>
        <v>0</v>
      </c>
      <c r="I66" s="250">
        <f t="shared" si="72"/>
        <v>1</v>
      </c>
      <c r="J66" s="250">
        <f t="shared" si="72"/>
        <v>0</v>
      </c>
      <c r="K66" s="250">
        <f t="shared" si="72"/>
        <v>0</v>
      </c>
      <c r="L66" s="250">
        <f t="shared" si="72"/>
        <v>0</v>
      </c>
      <c r="M66" s="251">
        <f t="shared" si="72"/>
        <v>-1</v>
      </c>
      <c r="N66" s="243">
        <f>if(isblank(M65),"",if(or(N$7&lt;$D64,N$7=$D64),N65-1-N$6,N65-N$6))</f>
        <v>13</v>
      </c>
      <c r="O66" s="244"/>
      <c r="P66" s="249">
        <f t="shared" ref="P66:X66" si="73">if(isblank(P65),"",if(and(18-$D64&lt;0,18+P$7&lt;$D64),P65-2-P$6,if(or(P$7&lt;$D64,P$7=$D64),P65-1-P$6,P65-P$6)))</f>
        <v>0</v>
      </c>
      <c r="Q66" s="250">
        <f t="shared" si="73"/>
        <v>-1</v>
      </c>
      <c r="R66" s="250">
        <f t="shared" si="73"/>
        <v>3</v>
      </c>
      <c r="S66" s="250">
        <f t="shared" si="73"/>
        <v>3</v>
      </c>
      <c r="T66" s="250">
        <f t="shared" si="73"/>
        <v>1</v>
      </c>
      <c r="U66" s="250">
        <f t="shared" si="73"/>
        <v>3</v>
      </c>
      <c r="V66" s="250">
        <f t="shared" si="73"/>
        <v>0</v>
      </c>
      <c r="W66" s="250">
        <f t="shared" si="73"/>
        <v>2</v>
      </c>
      <c r="X66" s="251">
        <f t="shared" si="73"/>
        <v>0</v>
      </c>
      <c r="Y66" s="243">
        <f>if(isblank(X65),"",if(or(Y$7&lt;$D64,Y$7=$D64),Y65-1-Y$6,Y65-Y$6))</f>
        <v>21</v>
      </c>
      <c r="Z66" s="252">
        <f>if(isblank(X65),"",sum(N66,Y66))</f>
        <v>34</v>
      </c>
      <c r="AA66" s="236"/>
      <c r="AB66" s="1"/>
    </row>
    <row r="67">
      <c r="B67" s="1"/>
      <c r="C67" s="253" t="s">
        <v>172</v>
      </c>
      <c r="D67" s="253">
        <v>1.0</v>
      </c>
      <c r="E67" s="255">
        <f t="shared" ref="E67:M67" si="74">if(isblank(E65),"",if(E66=-1,D67+1,if(E66=-2,D67+2,if(E66=-3,D67+3,1))))</f>
        <v>1</v>
      </c>
      <c r="F67" s="256">
        <f t="shared" si="74"/>
        <v>1</v>
      </c>
      <c r="G67" s="256">
        <f t="shared" si="74"/>
        <v>1</v>
      </c>
      <c r="H67" s="256">
        <f t="shared" si="74"/>
        <v>1</v>
      </c>
      <c r="I67" s="256">
        <f t="shared" si="74"/>
        <v>1</v>
      </c>
      <c r="J67" s="256">
        <f t="shared" si="74"/>
        <v>1</v>
      </c>
      <c r="K67" s="256">
        <f t="shared" si="74"/>
        <v>1</v>
      </c>
      <c r="L67" s="256">
        <f t="shared" si="74"/>
        <v>1</v>
      </c>
      <c r="M67" s="257">
        <f t="shared" si="74"/>
        <v>2</v>
      </c>
      <c r="N67" s="258"/>
      <c r="O67" s="259">
        <f>if(isblank(N65),"",if(N66=-1,M67+1,if(N66=-2,M67+2,if(N66=-3,M67+3,1))))</f>
        <v>1</v>
      </c>
      <c r="P67" s="255">
        <f t="shared" ref="P67:X67" si="75">if(isblank(P65),"",if(P66=-1,O67+1,if(P66=-2,O67+2,if(P66=-3,O67+3,1))))</f>
        <v>1</v>
      </c>
      <c r="Q67" s="256">
        <f t="shared" si="75"/>
        <v>2</v>
      </c>
      <c r="R67" s="256">
        <f t="shared" si="75"/>
        <v>1</v>
      </c>
      <c r="S67" s="256">
        <f t="shared" si="75"/>
        <v>1</v>
      </c>
      <c r="T67" s="256">
        <f t="shared" si="75"/>
        <v>1</v>
      </c>
      <c r="U67" s="256">
        <f t="shared" si="75"/>
        <v>1</v>
      </c>
      <c r="V67" s="256">
        <f t="shared" si="75"/>
        <v>1</v>
      </c>
      <c r="W67" s="256">
        <f t="shared" si="75"/>
        <v>1</v>
      </c>
      <c r="X67" s="257">
        <f t="shared" si="75"/>
        <v>1</v>
      </c>
      <c r="Y67" s="258"/>
      <c r="Z67" s="234">
        <f>if(isblank(Y65),"",if(Y66=-1,X67+1,if(Y66=-2,X67+2,if(Y66=-3,X67+3,1))))</f>
        <v>1</v>
      </c>
      <c r="AA67" s="236"/>
      <c r="AB67" s="1"/>
    </row>
    <row r="68">
      <c r="B68" s="1"/>
      <c r="C68" s="1"/>
      <c r="D68" s="1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36"/>
      <c r="AB68" s="1"/>
    </row>
    <row r="69">
      <c r="B69" s="1"/>
      <c r="C69" s="229" t="str">
        <f>'ROUND 1 - FOURBALL'!F85</f>
        <v>ERIC</v>
      </c>
      <c r="D69" s="230">
        <f>vlookup($C69,HANDICAPS!$B$33:$G$48,3,false)</f>
        <v>16</v>
      </c>
      <c r="E69" s="231">
        <f>if(isblank(E70),"",if(E71=-3,16*D72,if(E71=-2,8*D72,if(E71=-1,4*D72,if(E71=0,2*D72,if(E71=1,0,if(E71&gt;1,-4*D72))))))+D70)</f>
        <v>2</v>
      </c>
      <c r="F69" s="232">
        <f t="shared" ref="F69:M69" si="76">if(isblank(F70),"",if(F71=-3,16*E72+E69,if(F71=-2,8*E72+E69,if(F71=-1,4*E72+E69,if(F71=0,2*E72+E69,if(F71=1,0+E69,if(F71&gt;1,-4*E72+E69)))))))</f>
        <v>6</v>
      </c>
      <c r="G69" s="232">
        <f t="shared" si="76"/>
        <v>-2</v>
      </c>
      <c r="H69" s="232">
        <f t="shared" si="76"/>
        <v>2</v>
      </c>
      <c r="I69" s="232">
        <f t="shared" si="76"/>
        <v>6</v>
      </c>
      <c r="J69" s="232">
        <f t="shared" si="76"/>
        <v>2</v>
      </c>
      <c r="K69" s="232">
        <f t="shared" si="76"/>
        <v>4</v>
      </c>
      <c r="L69" s="232">
        <f t="shared" si="76"/>
        <v>6</v>
      </c>
      <c r="M69" s="233">
        <f t="shared" si="76"/>
        <v>10</v>
      </c>
      <c r="N69" s="234">
        <f>M69</f>
        <v>10</v>
      </c>
      <c r="O69" s="235"/>
      <c r="P69" s="231">
        <f>if(isblank(P70),"",if(P71=-3,16*O72+O70+N69,if(P71=-2,8*O72+O70+N69,if(P71=-1,4*O72+O70+N69,if(P71=0,2*O72+O70+N69,if(P71=1,0+N69,if(P71&gt;1,-4*O72+O70+N69)))))))</f>
        <v>6</v>
      </c>
      <c r="Q69" s="232">
        <f t="shared" ref="Q69:X69" si="77">if(isblank(Q70),"",if(Q71=-3,16*P72+P69,if(Q71=-2,8*P72+P69,if(Q71=-1,4*P72+P69,if(Q71=0,2*P72+P69,if(Q71=1,0+P69,if(Q71&gt;1,-4*P72+P69)))))))</f>
        <v>6</v>
      </c>
      <c r="R69" s="232">
        <f t="shared" si="77"/>
        <v>8</v>
      </c>
      <c r="S69" s="232">
        <f t="shared" si="77"/>
        <v>12</v>
      </c>
      <c r="T69" s="232">
        <f t="shared" si="77"/>
        <v>12</v>
      </c>
      <c r="U69" s="232">
        <f t="shared" si="77"/>
        <v>8</v>
      </c>
      <c r="V69" s="232">
        <f t="shared" si="77"/>
        <v>12</v>
      </c>
      <c r="W69" s="232">
        <f t="shared" si="77"/>
        <v>12</v>
      </c>
      <c r="X69" s="233">
        <f t="shared" si="77"/>
        <v>16</v>
      </c>
      <c r="Y69" s="234">
        <f>if(isblank(X70),"",X69-N69)</f>
        <v>6</v>
      </c>
      <c r="Z69" s="234">
        <f>if(isblank(X70),0,X69)</f>
        <v>16</v>
      </c>
      <c r="AA69" s="236">
        <f>X72</f>
        <v>2</v>
      </c>
      <c r="AB69" s="1"/>
    </row>
    <row r="70">
      <c r="A70" s="237"/>
      <c r="B70" s="39"/>
      <c r="C70" s="238" t="s">
        <v>170</v>
      </c>
      <c r="D70" s="239"/>
      <c r="E70" s="240">
        <f>vlookup('ROUND 1 - FOURBALL'!$B86,'ROUND 1 - FOURBALL'!$B:$AC,7,false)</f>
        <v>5</v>
      </c>
      <c r="F70" s="241">
        <f>vlookup('ROUND 1 - FOURBALL'!$B86,'ROUND 1 - FOURBALL'!$B:$AC,8,false)</f>
        <v>4</v>
      </c>
      <c r="G70" s="241">
        <f>vlookup('ROUND 1 - FOURBALL'!$B86,'ROUND 1 - FOURBALL'!$B:$AC,9,false)</f>
        <v>8</v>
      </c>
      <c r="H70" s="241">
        <f>vlookup('ROUND 1 - FOURBALL'!$B86,'ROUND 1 - FOURBALL'!$B:$AC,10,false)</f>
        <v>2</v>
      </c>
      <c r="I70" s="241">
        <f>vlookup('ROUND 1 - FOURBALL'!$B86,'ROUND 1 - FOURBALL'!$B:$AC,11,false)</f>
        <v>5</v>
      </c>
      <c r="J70" s="241">
        <f>vlookup('ROUND 1 - FOURBALL'!$B86,'ROUND 1 - FOURBALL'!$B:$AC,12,false)</f>
        <v>7</v>
      </c>
      <c r="K70" s="241">
        <f>vlookup('ROUND 1 - FOURBALL'!$B86,'ROUND 1 - FOURBALL'!$B:$AC,13,false)</f>
        <v>6</v>
      </c>
      <c r="L70" s="241">
        <f>vlookup('ROUND 1 - FOURBALL'!$B86,'ROUND 1 - FOURBALL'!$B:$AC,14,false)</f>
        <v>4</v>
      </c>
      <c r="M70" s="242">
        <f>vlookup('ROUND 1 - FOURBALL'!$B86,'ROUND 1 - FOURBALL'!$B:$AC,15,false)</f>
        <v>5</v>
      </c>
      <c r="N70" s="243">
        <f>if(isblank(M70),"",sum(E70:M70))</f>
        <v>46</v>
      </c>
      <c r="O70" s="244"/>
      <c r="P70" s="240">
        <f>vlookup('ROUND 1 - FOURBALL'!$B86,'ROUND 1 - FOURBALL'!$B:$AC,18,false)</f>
        <v>8</v>
      </c>
      <c r="Q70" s="241">
        <f>vlookup('ROUND 1 - FOURBALL'!$B86,'ROUND 1 - FOURBALL'!$B:$AC,19,false)</f>
        <v>4</v>
      </c>
      <c r="R70" s="241">
        <f>vlookup('ROUND 1 - FOURBALL'!$B86,'ROUND 1 - FOURBALL'!$B:$AC,20,false)</f>
        <v>6</v>
      </c>
      <c r="S70" s="241">
        <f>vlookup('ROUND 1 - FOURBALL'!$B86,'ROUND 1 - FOURBALL'!$B:$AC,21,false)</f>
        <v>4</v>
      </c>
      <c r="T70" s="241">
        <f>vlookup('ROUND 1 - FOURBALL'!$B86,'ROUND 1 - FOURBALL'!$B:$AC,22,false)</f>
        <v>7</v>
      </c>
      <c r="U70" s="241">
        <f>vlookup('ROUND 1 - FOURBALL'!$B86,'ROUND 1 - FOURBALL'!$B:$AC,23,false)</f>
        <v>7</v>
      </c>
      <c r="V70" s="241">
        <f>vlookup('ROUND 1 - FOURBALL'!$B86,'ROUND 1 - FOURBALL'!$B:$AC,24,false)</f>
        <v>4</v>
      </c>
      <c r="W70" s="241">
        <f>vlookup('ROUND 1 - FOURBALL'!$B86,'ROUND 1 - FOURBALL'!$B:$AC,25,false)</f>
        <v>5</v>
      </c>
      <c r="X70" s="242">
        <f>vlookup('ROUND 1 - FOURBALL'!$B86,'ROUND 1 - FOURBALL'!$B:$AC,26,false)</f>
        <v>4</v>
      </c>
      <c r="Y70" s="243">
        <f>if(isblank(X70),"",sum(P70:X70))</f>
        <v>49</v>
      </c>
      <c r="Z70" s="245">
        <f>if(isblank(X70),"",sum(N70,Y70))</f>
        <v>95</v>
      </c>
      <c r="AA70" s="42"/>
      <c r="AB70" s="39"/>
    </row>
    <row r="71">
      <c r="A71" s="237"/>
      <c r="B71" s="39"/>
      <c r="C71" s="247" t="s">
        <v>171</v>
      </c>
      <c r="D71" s="248"/>
      <c r="E71" s="249">
        <f t="shared" ref="E71:M71" si="78">if(isblank(E70),"",if(and(18-$D69&lt;0,18+E$7&lt;$D69),E70-2-E$6,if(or(E$7&lt;$D69,E$7=$D69),E70-1-E$6,E70-E$6)))</f>
        <v>0</v>
      </c>
      <c r="F71" s="250">
        <f t="shared" si="78"/>
        <v>-1</v>
      </c>
      <c r="G71" s="250">
        <f t="shared" si="78"/>
        <v>3</v>
      </c>
      <c r="H71" s="250">
        <f t="shared" si="78"/>
        <v>-1</v>
      </c>
      <c r="I71" s="250">
        <f t="shared" si="78"/>
        <v>0</v>
      </c>
      <c r="J71" s="250">
        <f t="shared" si="78"/>
        <v>2</v>
      </c>
      <c r="K71" s="250">
        <f t="shared" si="78"/>
        <v>0</v>
      </c>
      <c r="L71" s="250">
        <f t="shared" si="78"/>
        <v>0</v>
      </c>
      <c r="M71" s="251">
        <f t="shared" si="78"/>
        <v>-1</v>
      </c>
      <c r="N71" s="243">
        <f>if(isblank(M70),"",if(or(N$7&lt;$D69,N$7=$D69),N70-1-N$6,N70-N$6))</f>
        <v>9</v>
      </c>
      <c r="O71" s="244"/>
      <c r="P71" s="249">
        <f t="shared" ref="P71:X71" si="79">if(isblank(P70),"",if(and(18-$D69&lt;0,18+P$7&lt;$D69),P70-2-P$6,if(or(P$7&lt;$D69,P$7=$D69),P70-1-P$6,P70-P$6)))</f>
        <v>3</v>
      </c>
      <c r="Q71" s="250">
        <f t="shared" si="79"/>
        <v>1</v>
      </c>
      <c r="R71" s="250">
        <f t="shared" si="79"/>
        <v>0</v>
      </c>
      <c r="S71" s="250">
        <f t="shared" si="79"/>
        <v>-1</v>
      </c>
      <c r="T71" s="250">
        <f t="shared" si="79"/>
        <v>1</v>
      </c>
      <c r="U71" s="250">
        <f t="shared" si="79"/>
        <v>2</v>
      </c>
      <c r="V71" s="250">
        <f t="shared" si="79"/>
        <v>-1</v>
      </c>
      <c r="W71" s="250">
        <f t="shared" si="79"/>
        <v>1</v>
      </c>
      <c r="X71" s="251">
        <f t="shared" si="79"/>
        <v>-1</v>
      </c>
      <c r="Y71" s="243">
        <f>if(isblank(X70),"",if(or(Y$7&lt;$D69,Y$7=$D69),Y70-1-Y$6,Y70-Y$6))</f>
        <v>12</v>
      </c>
      <c r="Z71" s="252">
        <f>if(isblank(X70),"",sum(N71,Y71))</f>
        <v>21</v>
      </c>
      <c r="AA71" s="42"/>
      <c r="AB71" s="39"/>
    </row>
    <row r="72">
      <c r="B72" s="1"/>
      <c r="C72" s="253" t="s">
        <v>172</v>
      </c>
      <c r="D72" s="253">
        <v>1.0</v>
      </c>
      <c r="E72" s="255">
        <f t="shared" ref="E72:M72" si="80">if(isblank(E70),"",if(E71=-1,D72+1,if(E71=-2,D72+2,if(E71=-3,D72+3,1))))</f>
        <v>1</v>
      </c>
      <c r="F72" s="256">
        <f t="shared" si="80"/>
        <v>2</v>
      </c>
      <c r="G72" s="256">
        <f t="shared" si="80"/>
        <v>1</v>
      </c>
      <c r="H72" s="256">
        <f t="shared" si="80"/>
        <v>2</v>
      </c>
      <c r="I72" s="256">
        <f t="shared" si="80"/>
        <v>1</v>
      </c>
      <c r="J72" s="256">
        <f t="shared" si="80"/>
        <v>1</v>
      </c>
      <c r="K72" s="256">
        <f t="shared" si="80"/>
        <v>1</v>
      </c>
      <c r="L72" s="256">
        <f t="shared" si="80"/>
        <v>1</v>
      </c>
      <c r="M72" s="257">
        <f t="shared" si="80"/>
        <v>2</v>
      </c>
      <c r="N72" s="258"/>
      <c r="O72" s="259">
        <f>if(isblank(N70),"",if(N71=-1,M72+1,if(N71=-2,M72+2,if(N71=-3,M72+3,1))))</f>
        <v>1</v>
      </c>
      <c r="P72" s="255">
        <f t="shared" ref="P72:X72" si="81">if(isblank(P70),"",if(P71=-1,O72+1,if(P71=-2,O72+2,if(P71=-3,O72+3,1))))</f>
        <v>1</v>
      </c>
      <c r="Q72" s="256">
        <f t="shared" si="81"/>
        <v>1</v>
      </c>
      <c r="R72" s="256">
        <f t="shared" si="81"/>
        <v>1</v>
      </c>
      <c r="S72" s="256">
        <f t="shared" si="81"/>
        <v>2</v>
      </c>
      <c r="T72" s="256">
        <f t="shared" si="81"/>
        <v>1</v>
      </c>
      <c r="U72" s="256">
        <f t="shared" si="81"/>
        <v>1</v>
      </c>
      <c r="V72" s="256">
        <f t="shared" si="81"/>
        <v>2</v>
      </c>
      <c r="W72" s="256">
        <f t="shared" si="81"/>
        <v>1</v>
      </c>
      <c r="X72" s="257">
        <f t="shared" si="81"/>
        <v>2</v>
      </c>
      <c r="Y72" s="258"/>
      <c r="Z72" s="234">
        <f>if(isblank(Y70),"",if(Y71=-1,X72+1,if(Y71=-2,X72+2,if(Y71=-3,X72+3,1))))</f>
        <v>1</v>
      </c>
      <c r="AA72" s="236"/>
      <c r="AB72" s="1"/>
    </row>
    <row r="73">
      <c r="B73" s="1"/>
      <c r="C73" s="261"/>
      <c r="D73" s="261"/>
      <c r="E73" s="262"/>
      <c r="F73" s="262"/>
      <c r="G73" s="262"/>
      <c r="H73" s="263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3"/>
      <c r="W73" s="262"/>
      <c r="X73" s="262"/>
      <c r="Y73" s="262"/>
      <c r="Z73" s="262"/>
      <c r="AA73" s="236"/>
      <c r="AB73" s="1"/>
    </row>
    <row r="74">
      <c r="B74" s="1"/>
      <c r="C74" s="229" t="str">
        <f>'ROUND 1 - FOURBALL'!F87</f>
        <v>KIP</v>
      </c>
      <c r="D74" s="230">
        <f>vlookup($C74,HANDICAPS!$B$33:$G$48,3,false)</f>
        <v>23</v>
      </c>
      <c r="E74" s="231">
        <f>if(isblank(E75),"",if(E76=-3,16*D77,if(E76=-2,8*D77,if(E76=-1,4*D77,if(E76=0,2*D77,if(E76=1,0,if(E76&gt;1,-4*D77))))))+D75)</f>
        <v>-4</v>
      </c>
      <c r="F74" s="232">
        <f t="shared" ref="F74:M74" si="82">if(isblank(F75),"",if(F76=-3,16*E77+E74,if(F76=-2,8*E77+E74,if(F76=-1,4*E77+E74,if(F76=0,2*E77+E74,if(F76=1,0+E74,if(F76&gt;1,-4*E77+E74)))))))</f>
        <v>-2</v>
      </c>
      <c r="G74" s="232">
        <f t="shared" si="82"/>
        <v>0</v>
      </c>
      <c r="H74" s="232">
        <f t="shared" si="82"/>
        <v>2</v>
      </c>
      <c r="I74" s="232">
        <f t="shared" si="82"/>
        <v>-2</v>
      </c>
      <c r="J74" s="232">
        <f t="shared" si="82"/>
        <v>0</v>
      </c>
      <c r="K74" s="232">
        <f t="shared" si="82"/>
        <v>4</v>
      </c>
      <c r="L74" s="232">
        <f t="shared" si="82"/>
        <v>8</v>
      </c>
      <c r="M74" s="233">
        <f t="shared" si="82"/>
        <v>10</v>
      </c>
      <c r="N74" s="234">
        <f>M74</f>
        <v>10</v>
      </c>
      <c r="O74" s="235"/>
      <c r="P74" s="231">
        <f>if(isblank(P75),"",if(P76=-3,16*O77+O75+N74,if(P76=-2,8*O77+O75+N74,if(P76=-1,4*O77+O75+N74,if(P76=0,2*O77+O75+N74,if(P76=1,0+N74,if(P76&gt;1,-4*O77+O75+N74)))))))</f>
        <v>6</v>
      </c>
      <c r="Q74" s="232">
        <f t="shared" ref="Q74:X74" si="83">if(isblank(Q75),"",if(Q76=-3,16*P77+P74,if(Q76=-2,8*P77+P74,if(Q76=-1,4*P77+P74,if(Q76=0,2*P77+P74,if(Q76=1,0+P74,if(Q76&gt;1,-4*P77+P74)))))))</f>
        <v>2</v>
      </c>
      <c r="R74" s="232">
        <f t="shared" si="83"/>
        <v>-2</v>
      </c>
      <c r="S74" s="232">
        <f t="shared" si="83"/>
        <v>0</v>
      </c>
      <c r="T74" s="232">
        <f t="shared" si="83"/>
        <v>-4</v>
      </c>
      <c r="U74" s="232">
        <f t="shared" si="83"/>
        <v>-4</v>
      </c>
      <c r="V74" s="232">
        <f t="shared" si="83"/>
        <v>4</v>
      </c>
      <c r="W74" s="232">
        <f t="shared" si="83"/>
        <v>-8</v>
      </c>
      <c r="X74" s="233">
        <f t="shared" si="83"/>
        <v>-12</v>
      </c>
      <c r="Y74" s="234">
        <f>if(isblank(X75),"",X74-N74)</f>
        <v>-22</v>
      </c>
      <c r="Z74" s="234">
        <f>if(isblank(X75),0,X74)</f>
        <v>-12</v>
      </c>
      <c r="AA74" s="236">
        <f>X77</f>
        <v>1</v>
      </c>
      <c r="AB74" s="1"/>
    </row>
    <row r="75">
      <c r="B75" s="1"/>
      <c r="C75" s="238" t="s">
        <v>170</v>
      </c>
      <c r="D75" s="239"/>
      <c r="E75" s="240">
        <f>vlookup('ROUND 1 - FOURBALL'!$B88,'ROUND 1 - FOURBALL'!$B:$AC,7,false)</f>
        <v>7</v>
      </c>
      <c r="F75" s="241">
        <f>vlookup('ROUND 1 - FOURBALL'!$B88,'ROUND 1 - FOURBALL'!$B:$AC,8,false)</f>
        <v>5</v>
      </c>
      <c r="G75" s="241">
        <f>vlookup('ROUND 1 - FOURBALL'!$B88,'ROUND 1 - FOURBALL'!$B:$AC,9,false)</f>
        <v>5</v>
      </c>
      <c r="H75" s="241">
        <f>vlookup('ROUND 1 - FOURBALL'!$B88,'ROUND 1 - FOURBALL'!$B:$AC,10,false)</f>
        <v>4</v>
      </c>
      <c r="I75" s="241">
        <f>vlookup('ROUND 1 - FOURBALL'!$B88,'ROUND 1 - FOURBALL'!$B:$AC,11,false)</f>
        <v>7</v>
      </c>
      <c r="J75" s="241">
        <f>vlookup('ROUND 1 - FOURBALL'!$B88,'ROUND 1 - FOURBALL'!$B:$AC,12,false)</f>
        <v>6</v>
      </c>
      <c r="K75" s="241">
        <f>vlookup('ROUND 1 - FOURBALL'!$B88,'ROUND 1 - FOURBALL'!$B:$AC,13,false)</f>
        <v>5</v>
      </c>
      <c r="L75" s="241">
        <f>vlookup('ROUND 1 - FOURBALL'!$B88,'ROUND 1 - FOURBALL'!$B:$AC,14,false)</f>
        <v>4</v>
      </c>
      <c r="M75" s="242">
        <f>vlookup('ROUND 1 - FOURBALL'!$B88,'ROUND 1 - FOURBALL'!$B:$AC,15,false)</f>
        <v>7</v>
      </c>
      <c r="N75" s="243">
        <f>if(isblank(M75),"",sum(E75:M75))</f>
        <v>50</v>
      </c>
      <c r="O75" s="244"/>
      <c r="P75" s="240">
        <f>vlookup('ROUND 1 - FOURBALL'!$B88,'ROUND 1 - FOURBALL'!$B:$AC,18,false)</f>
        <v>7</v>
      </c>
      <c r="Q75" s="241">
        <f>vlookup('ROUND 1 - FOURBALL'!$B88,'ROUND 1 - FOURBALL'!$B:$AC,19,false)</f>
        <v>6</v>
      </c>
      <c r="R75" s="241">
        <f>vlookup('ROUND 1 - FOURBALL'!$B88,'ROUND 1 - FOURBALL'!$B:$AC,20,false)</f>
        <v>9</v>
      </c>
      <c r="S75" s="241">
        <f>vlookup('ROUND 1 - FOURBALL'!$B88,'ROUND 1 - FOURBALL'!$B:$AC,21,false)</f>
        <v>5</v>
      </c>
      <c r="T75" s="241">
        <f>vlookup('ROUND 1 - FOURBALL'!$B88,'ROUND 1 - FOURBALL'!$B:$AC,22,false)</f>
        <v>9</v>
      </c>
      <c r="U75" s="241">
        <f>vlookup('ROUND 1 - FOURBALL'!$B88,'ROUND 1 - FOURBALL'!$B:$AC,23,false)</f>
        <v>6</v>
      </c>
      <c r="V75" s="241">
        <f>vlookup('ROUND 1 - FOURBALL'!$B88,'ROUND 1 - FOURBALL'!$B:$AC,24,false)</f>
        <v>4</v>
      </c>
      <c r="W75" s="241">
        <f>vlookup('ROUND 1 - FOURBALL'!$B88,'ROUND 1 - FOURBALL'!$B:$AC,25,false)</f>
        <v>6</v>
      </c>
      <c r="X75" s="242">
        <f>vlookup('ROUND 1 - FOURBALL'!$B88,'ROUND 1 - FOURBALL'!$B:$AC,26,false)</f>
        <v>7</v>
      </c>
      <c r="Y75" s="243">
        <f>if(isblank(X75),"",sum(P75:X75))</f>
        <v>59</v>
      </c>
      <c r="Z75" s="245">
        <f>if(isblank(X75),"",sum(N75,Y75))</f>
        <v>109</v>
      </c>
      <c r="AA75" s="236"/>
      <c r="AB75" s="1"/>
    </row>
    <row r="76">
      <c r="B76" s="1"/>
      <c r="C76" s="247" t="s">
        <v>171</v>
      </c>
      <c r="D76" s="248"/>
      <c r="E76" s="249">
        <f t="shared" ref="E76:M76" si="84">if(isblank(E75),"",if(and(18-$D74&lt;0,18+E$7&lt;$D74),E75-2-E$6,if(or(E$7&lt;$D74,E$7=$D74),E75-1-E$6,E75-E$6)))</f>
        <v>2</v>
      </c>
      <c r="F76" s="250">
        <f t="shared" si="84"/>
        <v>0</v>
      </c>
      <c r="G76" s="250">
        <f t="shared" si="84"/>
        <v>0</v>
      </c>
      <c r="H76" s="250">
        <f t="shared" si="84"/>
        <v>0</v>
      </c>
      <c r="I76" s="250">
        <f t="shared" si="84"/>
        <v>2</v>
      </c>
      <c r="J76" s="250">
        <f t="shared" si="84"/>
        <v>0</v>
      </c>
      <c r="K76" s="250">
        <f t="shared" si="84"/>
        <v>-1</v>
      </c>
      <c r="L76" s="250">
        <f t="shared" si="84"/>
        <v>0</v>
      </c>
      <c r="M76" s="251">
        <f t="shared" si="84"/>
        <v>0</v>
      </c>
      <c r="N76" s="243">
        <f>if(isblank(M75),"",if(or(N$7&lt;$D74,N$7=$D74),N75-1-N$6,N75-N$6))</f>
        <v>13</v>
      </c>
      <c r="O76" s="244"/>
      <c r="P76" s="249">
        <f t="shared" ref="P76:X76" si="85">if(isblank(P75),"",if(and(18-$D74&lt;0,18+P$7&lt;$D74),P75-2-P$6,if(or(P$7&lt;$D74,P$7=$D74),P75-1-P$6,P75-P$6)))</f>
        <v>2</v>
      </c>
      <c r="Q76" s="250">
        <f t="shared" si="85"/>
        <v>2</v>
      </c>
      <c r="R76" s="250">
        <f t="shared" si="85"/>
        <v>3</v>
      </c>
      <c r="S76" s="250">
        <f t="shared" si="85"/>
        <v>0</v>
      </c>
      <c r="T76" s="250">
        <f t="shared" si="85"/>
        <v>2</v>
      </c>
      <c r="U76" s="250">
        <f t="shared" si="85"/>
        <v>1</v>
      </c>
      <c r="V76" s="250">
        <f t="shared" si="85"/>
        <v>-2</v>
      </c>
      <c r="W76" s="250">
        <f t="shared" si="85"/>
        <v>2</v>
      </c>
      <c r="X76" s="251">
        <f t="shared" si="85"/>
        <v>2</v>
      </c>
      <c r="Y76" s="243">
        <f>if(isblank(X75),"",if(or(Y$7&lt;$D74,Y$7=$D74),Y75-1-Y$6,Y75-Y$6))</f>
        <v>22</v>
      </c>
      <c r="Z76" s="252">
        <f>if(isblank(X75),"",sum(N76,Y76))</f>
        <v>35</v>
      </c>
      <c r="AA76" s="236"/>
      <c r="AB76" s="1"/>
    </row>
    <row r="77">
      <c r="B77" s="1"/>
      <c r="C77" s="253" t="s">
        <v>172</v>
      </c>
      <c r="D77" s="253">
        <v>1.0</v>
      </c>
      <c r="E77" s="255">
        <f t="shared" ref="E77:M77" si="86">if(isblank(E75),"",if(E76=-1,D77+1,if(E76=-2,D77+2,if(E76=-3,D77+3,1))))</f>
        <v>1</v>
      </c>
      <c r="F77" s="256">
        <f t="shared" si="86"/>
        <v>1</v>
      </c>
      <c r="G77" s="256">
        <f t="shared" si="86"/>
        <v>1</v>
      </c>
      <c r="H77" s="256">
        <f t="shared" si="86"/>
        <v>1</v>
      </c>
      <c r="I77" s="256">
        <f t="shared" si="86"/>
        <v>1</v>
      </c>
      <c r="J77" s="256">
        <f t="shared" si="86"/>
        <v>1</v>
      </c>
      <c r="K77" s="256">
        <f t="shared" si="86"/>
        <v>2</v>
      </c>
      <c r="L77" s="256">
        <f t="shared" si="86"/>
        <v>1</v>
      </c>
      <c r="M77" s="257">
        <f t="shared" si="86"/>
        <v>1</v>
      </c>
      <c r="N77" s="258"/>
      <c r="O77" s="259">
        <f>if(isblank(N75),"",if(N76=-1,M77+1,if(N76=-2,M77+2,if(N76=-3,M77+3,1))))</f>
        <v>1</v>
      </c>
      <c r="P77" s="255">
        <f t="shared" ref="P77:X77" si="87">if(isblank(P75),"",if(P76=-1,O77+1,if(P76=-2,O77+2,if(P76=-3,O77+3,1))))</f>
        <v>1</v>
      </c>
      <c r="Q77" s="256">
        <f t="shared" si="87"/>
        <v>1</v>
      </c>
      <c r="R77" s="256">
        <f t="shared" si="87"/>
        <v>1</v>
      </c>
      <c r="S77" s="256">
        <f t="shared" si="87"/>
        <v>1</v>
      </c>
      <c r="T77" s="256">
        <f t="shared" si="87"/>
        <v>1</v>
      </c>
      <c r="U77" s="256">
        <f t="shared" si="87"/>
        <v>1</v>
      </c>
      <c r="V77" s="256">
        <f t="shared" si="87"/>
        <v>3</v>
      </c>
      <c r="W77" s="256">
        <f t="shared" si="87"/>
        <v>1</v>
      </c>
      <c r="X77" s="257">
        <f t="shared" si="87"/>
        <v>1</v>
      </c>
      <c r="Y77" s="258"/>
      <c r="Z77" s="234">
        <f>if(isblank(Y75),"",if(Y76=-1,X77+1,if(Y76=-2,X77+2,if(Y76=-3,X77+3,1))))</f>
        <v>1</v>
      </c>
      <c r="AA77" s="236"/>
      <c r="AB77" s="1"/>
    </row>
    <row r="78">
      <c r="B78" s="1"/>
      <c r="C78" s="1"/>
      <c r="D78" s="1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36"/>
      <c r="AB78" s="1"/>
    </row>
    <row r="79">
      <c r="B79" s="1"/>
      <c r="C79" s="229" t="str">
        <f>'ROUND 1 - FOURBALL'!F93</f>
        <v>WAYS</v>
      </c>
      <c r="D79" s="230">
        <f>vlookup($C79,HANDICAPS!$B$33:$G$48,3,false)</f>
        <v>8</v>
      </c>
      <c r="E79" s="231">
        <f>if(isblank(E80),"",if(E81=-3,16*D82,if(E81=-2,8*D82,if(E81=-1,4*D82,if(E81=0,2*D82,if(E81=1,0,if(E81&gt;1,-4*D82))))))+D80)</f>
        <v>2</v>
      </c>
      <c r="F79" s="232">
        <f t="shared" ref="F79:M79" si="88">if(isblank(F80),"",if(F81=-3,16*E82+E79,if(F81=-2,8*E82+E79,if(F81=-1,4*E82+E79,if(F81=0,2*E82+E79,if(F81=1,0+E79,if(F81&gt;1,-4*E82+E79)))))))</f>
        <v>6</v>
      </c>
      <c r="G79" s="232">
        <f t="shared" si="88"/>
        <v>10</v>
      </c>
      <c r="H79" s="232">
        <f t="shared" si="88"/>
        <v>12</v>
      </c>
      <c r="I79" s="232">
        <f t="shared" si="88"/>
        <v>14</v>
      </c>
      <c r="J79" s="232">
        <f t="shared" si="88"/>
        <v>16</v>
      </c>
      <c r="K79" s="232">
        <f t="shared" si="88"/>
        <v>16</v>
      </c>
      <c r="L79" s="232">
        <f t="shared" si="88"/>
        <v>16</v>
      </c>
      <c r="M79" s="233">
        <f t="shared" si="88"/>
        <v>18</v>
      </c>
      <c r="N79" s="234">
        <f>M79</f>
        <v>18</v>
      </c>
      <c r="O79" s="235"/>
      <c r="P79" s="231">
        <f>if(isblank(P80),"",if(P81=-3,16*O82+O80+N79,if(P81=-2,8*O82+O80+N79,if(P81=-1,4*O82+O80+N79,if(P81=0,2*O82+O80+N79,if(P81=1,0+N79,if(P81&gt;1,-4*O82+O80+N79)))))))</f>
        <v>20</v>
      </c>
      <c r="Q79" s="232">
        <f t="shared" ref="Q79:X79" si="89">if(isblank(Q80),"",if(Q81=-3,16*P82+P79,if(Q81=-2,8*P82+P79,if(Q81=-1,4*P82+P79,if(Q81=0,2*P82+P79,if(Q81=1,0+P79,if(Q81&gt;1,-4*P82+P79)))))))</f>
        <v>16</v>
      </c>
      <c r="R79" s="232">
        <f t="shared" si="89"/>
        <v>18</v>
      </c>
      <c r="S79" s="232">
        <f t="shared" si="89"/>
        <v>18</v>
      </c>
      <c r="T79" s="232">
        <f t="shared" si="89"/>
        <v>20</v>
      </c>
      <c r="U79" s="232">
        <f t="shared" si="89"/>
        <v>24</v>
      </c>
      <c r="V79" s="232">
        <f t="shared" si="89"/>
        <v>32</v>
      </c>
      <c r="W79" s="232">
        <f t="shared" si="89"/>
        <v>20</v>
      </c>
      <c r="X79" s="233">
        <f t="shared" si="89"/>
        <v>24</v>
      </c>
      <c r="Y79" s="234">
        <f>if(isblank(X80),"",X79-N79)</f>
        <v>6</v>
      </c>
      <c r="Z79" s="234">
        <f>if(isblank(X80),0,X79)</f>
        <v>24</v>
      </c>
      <c r="AA79" s="236">
        <f>X82</f>
        <v>2</v>
      </c>
      <c r="AB79" s="1"/>
    </row>
    <row r="80">
      <c r="A80" s="237"/>
      <c r="B80" s="39"/>
      <c r="C80" s="238" t="s">
        <v>170</v>
      </c>
      <c r="D80" s="239"/>
      <c r="E80" s="240">
        <f>vlookup('ROUND 1 - FOURBALL'!$B94,'ROUND 1 - FOURBALL'!$B:$AC,7,false)</f>
        <v>5</v>
      </c>
      <c r="F80" s="241">
        <f>vlookup('ROUND 1 - FOURBALL'!$B94,'ROUND 1 - FOURBALL'!$B:$AC,8,false)</f>
        <v>3</v>
      </c>
      <c r="G80" s="241">
        <f>vlookup('ROUND 1 - FOURBALL'!$B94,'ROUND 1 - FOURBALL'!$B:$AC,9,false)</f>
        <v>5</v>
      </c>
      <c r="H80" s="241">
        <f>vlookup('ROUND 1 - FOURBALL'!$B94,'ROUND 1 - FOURBALL'!$B:$AC,10,false)</f>
        <v>3</v>
      </c>
      <c r="I80" s="241">
        <f>vlookup('ROUND 1 - FOURBALL'!$B94,'ROUND 1 - FOURBALL'!$B:$AC,11,false)</f>
        <v>4</v>
      </c>
      <c r="J80" s="241">
        <f>vlookup('ROUND 1 - FOURBALL'!$B94,'ROUND 1 - FOURBALL'!$B:$AC,12,false)</f>
        <v>5</v>
      </c>
      <c r="K80" s="241">
        <f>vlookup('ROUND 1 - FOURBALL'!$B94,'ROUND 1 - FOURBALL'!$B:$AC,13,false)</f>
        <v>6</v>
      </c>
      <c r="L80" s="241">
        <f>vlookup('ROUND 1 - FOURBALL'!$B94,'ROUND 1 - FOURBALL'!$B:$AC,14,false)</f>
        <v>4</v>
      </c>
      <c r="M80" s="242">
        <f>vlookup('ROUND 1 - FOURBALL'!$B94,'ROUND 1 - FOURBALL'!$B:$AC,15,false)</f>
        <v>6</v>
      </c>
      <c r="N80" s="243">
        <f>if(isblank(M80),"",sum(E80:M80))</f>
        <v>41</v>
      </c>
      <c r="O80" s="244"/>
      <c r="P80" s="240">
        <f>vlookup('ROUND 1 - FOURBALL'!$B94,'ROUND 1 - FOURBALL'!$B:$AC,18,false)</f>
        <v>4</v>
      </c>
      <c r="Q80" s="241">
        <f>vlookup('ROUND 1 - FOURBALL'!$B94,'ROUND 1 - FOURBALL'!$B:$AC,19,false)</f>
        <v>5</v>
      </c>
      <c r="R80" s="241">
        <f>vlookup('ROUND 1 - FOURBALL'!$B94,'ROUND 1 - FOURBALL'!$B:$AC,20,false)</f>
        <v>6</v>
      </c>
      <c r="S80" s="241">
        <f>vlookup('ROUND 1 - FOURBALL'!$B94,'ROUND 1 - FOURBALL'!$B:$AC,21,false)</f>
        <v>5</v>
      </c>
      <c r="T80" s="241">
        <f>vlookup('ROUND 1 - FOURBALL'!$B94,'ROUND 1 - FOURBALL'!$B:$AC,22,false)</f>
        <v>6</v>
      </c>
      <c r="U80" s="241">
        <f>vlookup('ROUND 1 - FOURBALL'!$B94,'ROUND 1 - FOURBALL'!$B:$AC,23,false)</f>
        <v>3</v>
      </c>
      <c r="V80" s="241">
        <f>vlookup('ROUND 1 - FOURBALL'!$B94,'ROUND 1 - FOURBALL'!$B:$AC,24,false)</f>
        <v>4</v>
      </c>
      <c r="W80" s="241">
        <f>vlookup('ROUND 1 - FOURBALL'!$B94,'ROUND 1 - FOURBALL'!$B:$AC,25,false)</f>
        <v>5</v>
      </c>
      <c r="X80" s="242">
        <f>vlookup('ROUND 1 - FOURBALL'!$B94,'ROUND 1 - FOURBALL'!$B:$AC,26,false)</f>
        <v>4</v>
      </c>
      <c r="Y80" s="243">
        <f>if(isblank(X80),"",sum(P80:X80))</f>
        <v>42</v>
      </c>
      <c r="Z80" s="245">
        <f>if(isblank(X80),"",sum(N80,Y80))</f>
        <v>83</v>
      </c>
      <c r="AA80" s="42"/>
      <c r="AB80" s="39"/>
    </row>
    <row r="81">
      <c r="A81" s="237"/>
      <c r="B81" s="39"/>
      <c r="C81" s="247" t="s">
        <v>171</v>
      </c>
      <c r="D81" s="248"/>
      <c r="E81" s="249">
        <f t="shared" ref="E81:M81" si="90">if(isblank(E80),"",if(and(18-$D79&lt;0,18+E$7&lt;$D79),E80-2-E$6,if(or(E$7&lt;$D79,E$7=$D79),E80-1-E$6,E80-E$6)))</f>
        <v>0</v>
      </c>
      <c r="F81" s="250">
        <f t="shared" si="90"/>
        <v>-1</v>
      </c>
      <c r="G81" s="250">
        <f t="shared" si="90"/>
        <v>0</v>
      </c>
      <c r="H81" s="250">
        <f t="shared" si="90"/>
        <v>0</v>
      </c>
      <c r="I81" s="250">
        <f t="shared" si="90"/>
        <v>0</v>
      </c>
      <c r="J81" s="250">
        <f t="shared" si="90"/>
        <v>0</v>
      </c>
      <c r="K81" s="250">
        <f t="shared" si="90"/>
        <v>1</v>
      </c>
      <c r="L81" s="250">
        <f t="shared" si="90"/>
        <v>1</v>
      </c>
      <c r="M81" s="251">
        <f t="shared" si="90"/>
        <v>0</v>
      </c>
      <c r="N81" s="243">
        <f>if(isblank(M80),"",if(or(N$7&lt;$D79,N$7=$D79),N80-1-N$6,N80-N$6))</f>
        <v>4</v>
      </c>
      <c r="O81" s="244"/>
      <c r="P81" s="249">
        <f t="shared" ref="P81:X81" si="91">if(isblank(P80),"",if(and(18-$D79&lt;0,18+P$7&lt;$D79),P80-2-P$6,if(or(P$7&lt;$D79,P$7=$D79),P80-1-P$6,P80-P$6)))</f>
        <v>0</v>
      </c>
      <c r="Q81" s="250">
        <f t="shared" si="91"/>
        <v>2</v>
      </c>
      <c r="R81" s="250">
        <f t="shared" si="91"/>
        <v>0</v>
      </c>
      <c r="S81" s="250">
        <f t="shared" si="91"/>
        <v>1</v>
      </c>
      <c r="T81" s="250">
        <f t="shared" si="91"/>
        <v>0</v>
      </c>
      <c r="U81" s="250">
        <f t="shared" si="91"/>
        <v>-1</v>
      </c>
      <c r="V81" s="250">
        <f t="shared" si="91"/>
        <v>-1</v>
      </c>
      <c r="W81" s="250">
        <f t="shared" si="91"/>
        <v>2</v>
      </c>
      <c r="X81" s="251">
        <f t="shared" si="91"/>
        <v>-1</v>
      </c>
      <c r="Y81" s="243">
        <f>if(isblank(X80),"",if(or(Y$7&lt;$D79,Y$7=$D79),Y80-1-Y$6,Y80-Y$6))</f>
        <v>5</v>
      </c>
      <c r="Z81" s="252">
        <f>if(isblank(X80),"",sum(N81,Y81))</f>
        <v>9</v>
      </c>
      <c r="AA81" s="42"/>
      <c r="AB81" s="39"/>
    </row>
    <row r="82">
      <c r="B82" s="1"/>
      <c r="C82" s="253" t="s">
        <v>172</v>
      </c>
      <c r="D82" s="253">
        <v>1.0</v>
      </c>
      <c r="E82" s="255">
        <f t="shared" ref="E82:M82" si="92">if(isblank(E80),"",if(E81=-1,D82+1,if(E81=-2,D82+2,if(E81=-3,D82+3,1))))</f>
        <v>1</v>
      </c>
      <c r="F82" s="256">
        <f t="shared" si="92"/>
        <v>2</v>
      </c>
      <c r="G82" s="256">
        <f t="shared" si="92"/>
        <v>1</v>
      </c>
      <c r="H82" s="256">
        <f t="shared" si="92"/>
        <v>1</v>
      </c>
      <c r="I82" s="256">
        <f t="shared" si="92"/>
        <v>1</v>
      </c>
      <c r="J82" s="256">
        <f t="shared" si="92"/>
        <v>1</v>
      </c>
      <c r="K82" s="256">
        <f t="shared" si="92"/>
        <v>1</v>
      </c>
      <c r="L82" s="256">
        <f t="shared" si="92"/>
        <v>1</v>
      </c>
      <c r="M82" s="257">
        <f t="shared" si="92"/>
        <v>1</v>
      </c>
      <c r="N82" s="258"/>
      <c r="O82" s="259">
        <f>if(isblank(N80),"",if(N81=-1,M82+1,if(N81=-2,M82+2,if(N81=-3,M82+3,1))))</f>
        <v>1</v>
      </c>
      <c r="P82" s="255">
        <f t="shared" ref="P82:X82" si="93">if(isblank(P80),"",if(P81=-1,O82+1,if(P81=-2,O82+2,if(P81=-3,O82+3,1))))</f>
        <v>1</v>
      </c>
      <c r="Q82" s="256">
        <f t="shared" si="93"/>
        <v>1</v>
      </c>
      <c r="R82" s="256">
        <f t="shared" si="93"/>
        <v>1</v>
      </c>
      <c r="S82" s="256">
        <f t="shared" si="93"/>
        <v>1</v>
      </c>
      <c r="T82" s="256">
        <f t="shared" si="93"/>
        <v>1</v>
      </c>
      <c r="U82" s="256">
        <f t="shared" si="93"/>
        <v>2</v>
      </c>
      <c r="V82" s="256">
        <f t="shared" si="93"/>
        <v>3</v>
      </c>
      <c r="W82" s="256">
        <f t="shared" si="93"/>
        <v>1</v>
      </c>
      <c r="X82" s="257">
        <f t="shared" si="93"/>
        <v>2</v>
      </c>
      <c r="Y82" s="258"/>
      <c r="Z82" s="234">
        <f>if(isblank(Y80),"",if(Y81=-1,X82+1,if(Y81=-2,X82+2,if(Y81=-3,X82+3,1))))</f>
        <v>1</v>
      </c>
      <c r="AA82" s="236"/>
      <c r="AB82" s="1"/>
    </row>
    <row r="83">
      <c r="B83" s="1"/>
      <c r="C83" s="261"/>
      <c r="D83" s="261"/>
      <c r="E83" s="262"/>
      <c r="F83" s="262"/>
      <c r="G83" s="262"/>
      <c r="H83" s="263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3"/>
      <c r="W83" s="262"/>
      <c r="X83" s="262"/>
      <c r="Y83" s="262"/>
      <c r="Z83" s="262"/>
      <c r="AA83" s="236"/>
      <c r="AB83" s="1"/>
    </row>
    <row r="84">
      <c r="B84" s="1"/>
      <c r="C84" s="229" t="str">
        <f>'ROUND 1 - FOURBALL'!F95</f>
        <v>SHEPP</v>
      </c>
      <c r="D84" s="230">
        <f>vlookup($C84,HANDICAPS!$B$33:$G$48,3,false)</f>
        <v>23</v>
      </c>
      <c r="E84" s="231">
        <f>if(isblank(E85),"",if(E86=-3,16*D87,if(E86=-2,8*D87,if(E86=-1,4*D87,if(E86=0,2*D87,if(E86=1,0,if(E86&gt;1,-4*D87))))))+D85)</f>
        <v>-4</v>
      </c>
      <c r="F84" s="232">
        <f t="shared" ref="F84:M84" si="94">if(isblank(F85),"",if(F86=-3,16*E87+E84,if(F86=-2,8*E87+E84,if(F86=-1,4*E87+E84,if(F86=0,2*E87+E84,if(F86=1,0+E84,if(F86&gt;1,-4*E87+E84)))))))</f>
        <v>-2</v>
      </c>
      <c r="G84" s="232">
        <f t="shared" si="94"/>
        <v>-2</v>
      </c>
      <c r="H84" s="232">
        <f t="shared" si="94"/>
        <v>2</v>
      </c>
      <c r="I84" s="232">
        <f t="shared" si="94"/>
        <v>2</v>
      </c>
      <c r="J84" s="232">
        <f t="shared" si="94"/>
        <v>4</v>
      </c>
      <c r="K84" s="232">
        <f t="shared" si="94"/>
        <v>0</v>
      </c>
      <c r="L84" s="232">
        <f t="shared" si="94"/>
        <v>0</v>
      </c>
      <c r="M84" s="233">
        <f t="shared" si="94"/>
        <v>0</v>
      </c>
      <c r="N84" s="234">
        <f>M84</f>
        <v>0</v>
      </c>
      <c r="O84" s="235"/>
      <c r="P84" s="231">
        <f>if(isblank(P85),"",if(P86=-3,16*O87+O85+N84,if(P86=-2,8*O87+O85+N84,if(P86=-1,4*O87+O85+N84,if(P86=0,2*O87+O85+N84,if(P86=1,0+N84,if(P86&gt;1,-4*O87+O85+N84)))))))</f>
        <v>-4</v>
      </c>
      <c r="Q84" s="232">
        <f t="shared" ref="Q84:X84" si="95">if(isblank(Q85),"",if(Q86=-3,16*P87+P84,if(Q86=-2,8*P87+P84,if(Q86=-1,4*P87+P84,if(Q86=0,2*P87+P84,if(Q86=1,0+P84,if(Q86&gt;1,-4*P87+P84)))))))</f>
        <v>-2</v>
      </c>
      <c r="R84" s="232">
        <f t="shared" si="95"/>
        <v>2</v>
      </c>
      <c r="S84" s="232">
        <f t="shared" si="95"/>
        <v>2</v>
      </c>
      <c r="T84" s="232">
        <f t="shared" si="95"/>
        <v>4</v>
      </c>
      <c r="U84" s="232">
        <f t="shared" si="95"/>
        <v>0</v>
      </c>
      <c r="V84" s="232">
        <f t="shared" si="95"/>
        <v>0</v>
      </c>
      <c r="W84" s="232">
        <f t="shared" si="95"/>
        <v>2</v>
      </c>
      <c r="X84" s="233">
        <f t="shared" si="95"/>
        <v>-2</v>
      </c>
      <c r="Y84" s="234">
        <f>if(isblank(X85),"",X84-N84)</f>
        <v>-2</v>
      </c>
      <c r="Z84" s="234">
        <f>if(isblank(X85),0,X84)</f>
        <v>-2</v>
      </c>
      <c r="AA84" s="236">
        <f>X87</f>
        <v>1</v>
      </c>
      <c r="AB84" s="1"/>
    </row>
    <row r="85">
      <c r="B85" s="1"/>
      <c r="C85" s="238" t="s">
        <v>170</v>
      </c>
      <c r="D85" s="239"/>
      <c r="E85" s="240">
        <f>vlookup('ROUND 1 - FOURBALL'!$B96,'ROUND 1 - FOURBALL'!$B:$AC,7,false)</f>
        <v>8</v>
      </c>
      <c r="F85" s="241">
        <f>vlookup('ROUND 1 - FOURBALL'!$B96,'ROUND 1 - FOURBALL'!$B:$AC,8,false)</f>
        <v>5</v>
      </c>
      <c r="G85" s="241">
        <f>vlookup('ROUND 1 - FOURBALL'!$B96,'ROUND 1 - FOURBALL'!$B:$AC,9,false)</f>
        <v>6</v>
      </c>
      <c r="H85" s="241">
        <f>vlookup('ROUND 1 - FOURBALL'!$B96,'ROUND 1 - FOURBALL'!$B:$AC,10,false)</f>
        <v>3</v>
      </c>
      <c r="I85" s="241">
        <f>vlookup('ROUND 1 - FOURBALL'!$B96,'ROUND 1 - FOURBALL'!$B:$AC,11,false)</f>
        <v>6</v>
      </c>
      <c r="J85" s="241">
        <f>vlookup('ROUND 1 - FOURBALL'!$B96,'ROUND 1 - FOURBALL'!$B:$AC,12,false)</f>
        <v>6</v>
      </c>
      <c r="K85" s="241">
        <f>vlookup('ROUND 1 - FOURBALL'!$B96,'ROUND 1 - FOURBALL'!$B:$AC,13,false)</f>
        <v>8</v>
      </c>
      <c r="L85" s="241">
        <f>vlookup('ROUND 1 - FOURBALL'!$B96,'ROUND 1 - FOURBALL'!$B:$AC,14,false)</f>
        <v>5</v>
      </c>
      <c r="M85" s="242">
        <f>vlookup('ROUND 1 - FOURBALL'!$B96,'ROUND 1 - FOURBALL'!$B:$AC,15,false)</f>
        <v>8</v>
      </c>
      <c r="N85" s="243">
        <f>if(isblank(M85),"",sum(E85:M85))</f>
        <v>55</v>
      </c>
      <c r="O85" s="244"/>
      <c r="P85" s="240">
        <f>vlookup('ROUND 1 - FOURBALL'!$B96,'ROUND 1 - FOURBALL'!$B:$AC,18,false)</f>
        <v>7</v>
      </c>
      <c r="Q85" s="241">
        <f>vlookup('ROUND 1 - FOURBALL'!$B96,'ROUND 1 - FOURBALL'!$B:$AC,19,false)</f>
        <v>4</v>
      </c>
      <c r="R85" s="241">
        <f>vlookup('ROUND 1 - FOURBALL'!$B96,'ROUND 1 - FOURBALL'!$B:$AC,20,false)</f>
        <v>5</v>
      </c>
      <c r="S85" s="241">
        <f>vlookup('ROUND 1 - FOURBALL'!$B96,'ROUND 1 - FOURBALL'!$B:$AC,21,false)</f>
        <v>6</v>
      </c>
      <c r="T85" s="241">
        <f>vlookup('ROUND 1 - FOURBALL'!$B96,'ROUND 1 - FOURBALL'!$B:$AC,22,false)</f>
        <v>7</v>
      </c>
      <c r="U85" s="241">
        <f>vlookup('ROUND 1 - FOURBALL'!$B96,'ROUND 1 - FOURBALL'!$B:$AC,23,false)</f>
        <v>7</v>
      </c>
      <c r="V85" s="241">
        <f>vlookup('ROUND 1 - FOURBALL'!$B96,'ROUND 1 - FOURBALL'!$B:$AC,24,false)</f>
        <v>7</v>
      </c>
      <c r="W85" s="241">
        <f>vlookup('ROUND 1 - FOURBALL'!$B96,'ROUND 1 - FOURBALL'!$B:$AC,25,false)</f>
        <v>4</v>
      </c>
      <c r="X85" s="242">
        <f>vlookup('ROUND 1 - FOURBALL'!$B96,'ROUND 1 - FOURBALL'!$B:$AC,26,false)</f>
        <v>7</v>
      </c>
      <c r="Y85" s="243">
        <f>if(isblank(X85),"",sum(P85:X85))</f>
        <v>54</v>
      </c>
      <c r="Z85" s="245">
        <f>if(isblank(X85),"",sum(N85,Y85))</f>
        <v>109</v>
      </c>
      <c r="AA85" s="236"/>
      <c r="AB85" s="1"/>
    </row>
    <row r="86">
      <c r="B86" s="1"/>
      <c r="C86" s="247" t="s">
        <v>171</v>
      </c>
      <c r="D86" s="248"/>
      <c r="E86" s="249">
        <f t="shared" ref="E86:M86" si="96">if(isblank(E85),"",if(and(18-$D84&lt;0,18+E$7&lt;$D84),E85-2-E$6,if(or(E$7&lt;$D84,E$7=$D84),E85-1-E$6,E85-E$6)))</f>
        <v>3</v>
      </c>
      <c r="F86" s="250">
        <f t="shared" si="96"/>
        <v>0</v>
      </c>
      <c r="G86" s="250">
        <f t="shared" si="96"/>
        <v>1</v>
      </c>
      <c r="H86" s="250">
        <f t="shared" si="96"/>
        <v>-1</v>
      </c>
      <c r="I86" s="250">
        <f t="shared" si="96"/>
        <v>1</v>
      </c>
      <c r="J86" s="250">
        <f t="shared" si="96"/>
        <v>0</v>
      </c>
      <c r="K86" s="250">
        <f t="shared" si="96"/>
        <v>2</v>
      </c>
      <c r="L86" s="250">
        <f t="shared" si="96"/>
        <v>1</v>
      </c>
      <c r="M86" s="251">
        <f t="shared" si="96"/>
        <v>1</v>
      </c>
      <c r="N86" s="243">
        <f>if(isblank(M85),"",if(or(N$7&lt;$D84,N$7=$D84),N85-1-N$6,N85-N$6))</f>
        <v>18</v>
      </c>
      <c r="O86" s="244"/>
      <c r="P86" s="249">
        <f t="shared" ref="P86:X86" si="97">if(isblank(P85),"",if(and(18-$D84&lt;0,18+P$7&lt;$D84),P85-2-P$6,if(or(P$7&lt;$D84,P$7=$D84),P85-1-P$6,P85-P$6)))</f>
        <v>2</v>
      </c>
      <c r="Q86" s="250">
        <f t="shared" si="97"/>
        <v>0</v>
      </c>
      <c r="R86" s="250">
        <f t="shared" si="97"/>
        <v>-1</v>
      </c>
      <c r="S86" s="250">
        <f t="shared" si="97"/>
        <v>1</v>
      </c>
      <c r="T86" s="250">
        <f t="shared" si="97"/>
        <v>0</v>
      </c>
      <c r="U86" s="250">
        <f t="shared" si="97"/>
        <v>2</v>
      </c>
      <c r="V86" s="250">
        <f t="shared" si="97"/>
        <v>1</v>
      </c>
      <c r="W86" s="250">
        <f t="shared" si="97"/>
        <v>0</v>
      </c>
      <c r="X86" s="251">
        <f t="shared" si="97"/>
        <v>2</v>
      </c>
      <c r="Y86" s="243">
        <f>if(isblank(X85),"",if(or(Y$7&lt;$D84,Y$7=$D84),Y85-1-Y$6,Y85-Y$6))</f>
        <v>17</v>
      </c>
      <c r="Z86" s="252">
        <f>if(isblank(X85),"",sum(N86,Y86))</f>
        <v>35</v>
      </c>
      <c r="AA86" s="236"/>
      <c r="AB86" s="1"/>
    </row>
    <row r="87">
      <c r="B87" s="1"/>
      <c r="C87" s="253" t="s">
        <v>172</v>
      </c>
      <c r="D87" s="253">
        <v>1.0</v>
      </c>
      <c r="E87" s="255">
        <f t="shared" ref="E87:M87" si="98">if(isblank(E85),"",if(E86=-1,D87+1,if(E86=-2,D87+2,if(E86=-3,D87+3,1))))</f>
        <v>1</v>
      </c>
      <c r="F87" s="256">
        <f t="shared" si="98"/>
        <v>1</v>
      </c>
      <c r="G87" s="256">
        <f t="shared" si="98"/>
        <v>1</v>
      </c>
      <c r="H87" s="256">
        <f t="shared" si="98"/>
        <v>2</v>
      </c>
      <c r="I87" s="256">
        <f t="shared" si="98"/>
        <v>1</v>
      </c>
      <c r="J87" s="256">
        <f t="shared" si="98"/>
        <v>1</v>
      </c>
      <c r="K87" s="256">
        <f t="shared" si="98"/>
        <v>1</v>
      </c>
      <c r="L87" s="256">
        <f t="shared" si="98"/>
        <v>1</v>
      </c>
      <c r="M87" s="257">
        <f t="shared" si="98"/>
        <v>1</v>
      </c>
      <c r="N87" s="258"/>
      <c r="O87" s="259">
        <f>if(isblank(N85),"",if(N86=-1,M87+1,if(N86=-2,M87+2,if(N86=-3,M87+3,1))))</f>
        <v>1</v>
      </c>
      <c r="P87" s="255">
        <f t="shared" ref="P87:X87" si="99">if(isblank(P85),"",if(P86=-1,O87+1,if(P86=-2,O87+2,if(P86=-3,O87+3,1))))</f>
        <v>1</v>
      </c>
      <c r="Q87" s="256">
        <f t="shared" si="99"/>
        <v>1</v>
      </c>
      <c r="R87" s="256">
        <f t="shared" si="99"/>
        <v>2</v>
      </c>
      <c r="S87" s="256">
        <f t="shared" si="99"/>
        <v>1</v>
      </c>
      <c r="T87" s="256">
        <f t="shared" si="99"/>
        <v>1</v>
      </c>
      <c r="U87" s="256">
        <f t="shared" si="99"/>
        <v>1</v>
      </c>
      <c r="V87" s="256">
        <f t="shared" si="99"/>
        <v>1</v>
      </c>
      <c r="W87" s="256">
        <f t="shared" si="99"/>
        <v>1</v>
      </c>
      <c r="X87" s="257">
        <f t="shared" si="99"/>
        <v>1</v>
      </c>
      <c r="Y87" s="258"/>
      <c r="Z87" s="234">
        <f>if(isblank(Y85),"",if(Y86=-1,X87+1,if(Y86=-2,X87+2,if(Y86=-3,X87+3,1))))</f>
        <v>1</v>
      </c>
      <c r="AA87" s="236"/>
      <c r="AB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0"/>
      <c r="AB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40"/>
      <c r="AB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0"/>
      <c r="AB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40"/>
      <c r="AB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0"/>
      <c r="AB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40"/>
      <c r="AB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40"/>
      <c r="AB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40"/>
      <c r="AB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0"/>
      <c r="AB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0"/>
      <c r="AB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0"/>
      <c r="AB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0"/>
      <c r="AB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0"/>
      <c r="AB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0"/>
      <c r="AB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0"/>
      <c r="AB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0"/>
      <c r="AB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0"/>
      <c r="AB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0"/>
      <c r="AB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0"/>
      <c r="AB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0"/>
      <c r="AB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0"/>
      <c r="AB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0"/>
      <c r="AB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0"/>
      <c r="AB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0"/>
      <c r="AB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40"/>
      <c r="AB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0"/>
      <c r="AB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0"/>
      <c r="AB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0"/>
      <c r="AB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0"/>
      <c r="AB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0"/>
      <c r="AB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0"/>
      <c r="AB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0"/>
      <c r="AB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0"/>
      <c r="AB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0"/>
      <c r="AB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0"/>
      <c r="AB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0"/>
      <c r="AB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0"/>
      <c r="AB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0"/>
      <c r="AB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0"/>
      <c r="AB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0"/>
      <c r="AB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0"/>
      <c r="AB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0"/>
      <c r="AB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0"/>
      <c r="AB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0"/>
      <c r="AB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0"/>
      <c r="AB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0"/>
      <c r="AB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0"/>
      <c r="AB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0"/>
      <c r="AB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0"/>
      <c r="AB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0"/>
      <c r="AB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0"/>
      <c r="AB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0"/>
      <c r="AB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0"/>
      <c r="AB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0"/>
      <c r="AB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0"/>
      <c r="AB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0"/>
      <c r="AB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0"/>
      <c r="AB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0"/>
      <c r="AB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0"/>
      <c r="AB146" s="1"/>
    </row>
    <row r="147">
      <c r="B147" s="66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>
      <c r="B148" s="7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B149" s="17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B150" s="173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B151" s="173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B152" s="173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B153" s="173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B154" s="173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B155" s="173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B156" s="173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B157" s="173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B158" s="173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B159" s="173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B160" s="173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B161" s="173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B162" s="173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B163" s="17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0"/>
      <c r="AB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40"/>
      <c r="AB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0"/>
      <c r="AB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0"/>
      <c r="AB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0"/>
      <c r="AB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0"/>
      <c r="AB169" s="1"/>
    </row>
    <row r="170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268"/>
      <c r="AB170" s="39"/>
    </row>
    <row r="171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268"/>
      <c r="AB171" s="39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0"/>
      <c r="AB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0"/>
      <c r="AB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0"/>
      <c r="AB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0"/>
      <c r="AB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0"/>
      <c r="AB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0"/>
      <c r="AB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0"/>
      <c r="AB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0"/>
      <c r="AB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0"/>
      <c r="AB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0"/>
      <c r="AB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0"/>
      <c r="AB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0"/>
      <c r="AB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0"/>
      <c r="AB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0"/>
      <c r="AB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0"/>
      <c r="AB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0"/>
      <c r="AB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0"/>
      <c r="AB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0"/>
      <c r="AB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0"/>
      <c r="AB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0"/>
      <c r="AB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0"/>
      <c r="AB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0"/>
      <c r="AB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0"/>
      <c r="AB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0"/>
      <c r="AB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0"/>
      <c r="AB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0"/>
      <c r="AB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0"/>
      <c r="AB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0"/>
      <c r="AB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0"/>
      <c r="AB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0"/>
      <c r="AB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0"/>
      <c r="AB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0"/>
      <c r="AB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0"/>
      <c r="AB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0"/>
      <c r="AB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0"/>
      <c r="AB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0"/>
      <c r="AB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0"/>
      <c r="AB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0"/>
      <c r="AB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40"/>
      <c r="AB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0"/>
      <c r="AB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0"/>
      <c r="AB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0"/>
      <c r="AB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0"/>
      <c r="AB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0"/>
      <c r="AB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0"/>
      <c r="AB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0"/>
      <c r="AB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0"/>
      <c r="AB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0"/>
      <c r="AB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0"/>
      <c r="AB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0"/>
      <c r="AB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0"/>
      <c r="AB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0"/>
      <c r="AB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0"/>
      <c r="AB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0"/>
      <c r="AB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0"/>
      <c r="AB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0"/>
      <c r="AB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0"/>
      <c r="AB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0"/>
      <c r="AB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0"/>
      <c r="AB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0"/>
      <c r="AB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0"/>
      <c r="AB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0"/>
      <c r="AB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0"/>
      <c r="AB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0"/>
      <c r="AB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0"/>
      <c r="AB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0"/>
      <c r="AB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0"/>
      <c r="AB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40"/>
      <c r="AB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0"/>
      <c r="AB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40"/>
      <c r="AB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0"/>
      <c r="AB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0"/>
      <c r="AB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0"/>
      <c r="AB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0"/>
      <c r="AB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0"/>
      <c r="AB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0"/>
      <c r="AB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0"/>
      <c r="AB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0"/>
      <c r="AB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0"/>
      <c r="AB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0"/>
      <c r="AB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0"/>
      <c r="AB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0"/>
      <c r="AB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0"/>
      <c r="AB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0"/>
      <c r="AB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0"/>
      <c r="AB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0"/>
      <c r="AB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0"/>
      <c r="AB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0"/>
      <c r="AB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0"/>
      <c r="AB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0"/>
      <c r="AB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40"/>
      <c r="AB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0"/>
      <c r="AB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0"/>
      <c r="AB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0"/>
      <c r="AB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0"/>
      <c r="AB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0"/>
      <c r="AB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0"/>
      <c r="AB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0"/>
      <c r="AB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0"/>
      <c r="AB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0"/>
      <c r="AB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0"/>
      <c r="AB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0"/>
      <c r="AB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0"/>
      <c r="AB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0"/>
      <c r="AB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0"/>
      <c r="AB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0"/>
      <c r="AB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0"/>
      <c r="AB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0"/>
      <c r="AB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0"/>
      <c r="AB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0"/>
      <c r="AB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0"/>
      <c r="AB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0"/>
      <c r="AB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0"/>
      <c r="AB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0"/>
      <c r="AB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0"/>
      <c r="AB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0"/>
      <c r="AB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0"/>
      <c r="AB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0"/>
      <c r="AB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0"/>
      <c r="AB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40"/>
      <c r="AB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40"/>
      <c r="AB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40"/>
      <c r="AB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0"/>
      <c r="AB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0"/>
      <c r="AB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0"/>
      <c r="AB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0"/>
      <c r="AB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0"/>
      <c r="AB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40"/>
      <c r="AB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40"/>
      <c r="AB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0"/>
      <c r="AB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0"/>
      <c r="AB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0"/>
      <c r="AB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0"/>
      <c r="AB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0"/>
      <c r="AB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0"/>
      <c r="AB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0"/>
      <c r="AB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0"/>
      <c r="AB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0"/>
      <c r="AB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0"/>
      <c r="AB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0"/>
      <c r="AB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0"/>
      <c r="AB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40"/>
      <c r="AB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0"/>
      <c r="AB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0"/>
      <c r="AB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40"/>
      <c r="AB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0"/>
      <c r="AB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0"/>
      <c r="AB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0"/>
      <c r="AB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0"/>
      <c r="AB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0"/>
      <c r="AB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40"/>
      <c r="AB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0"/>
      <c r="AB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40"/>
      <c r="AB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0"/>
      <c r="AB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0"/>
      <c r="AB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0"/>
      <c r="AB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0"/>
      <c r="AB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0"/>
      <c r="AB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0"/>
      <c r="AB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0"/>
      <c r="AB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0"/>
      <c r="AB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0"/>
      <c r="AB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0"/>
      <c r="AB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40"/>
      <c r="AB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0"/>
      <c r="AB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0"/>
      <c r="AB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0"/>
      <c r="AB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0"/>
      <c r="AB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0"/>
      <c r="AB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0"/>
      <c r="AB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0"/>
      <c r="AB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0"/>
      <c r="AB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0"/>
      <c r="AB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0"/>
      <c r="AB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0"/>
      <c r="AB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0"/>
      <c r="AB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0"/>
      <c r="AB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0"/>
      <c r="AB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0"/>
      <c r="AB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0"/>
      <c r="AB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0"/>
      <c r="AB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0"/>
      <c r="AB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0"/>
      <c r="AB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40"/>
      <c r="AB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0"/>
      <c r="AB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0"/>
      <c r="AB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0"/>
      <c r="AB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0"/>
      <c r="AB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0"/>
      <c r="AB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0"/>
      <c r="AB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0"/>
      <c r="AB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0"/>
      <c r="AB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0"/>
      <c r="AB364" s="1"/>
    </row>
    <row r="365">
      <c r="AA365" s="269"/>
    </row>
    <row r="366">
      <c r="AA366" s="269"/>
    </row>
    <row r="367">
      <c r="AA367" s="269"/>
    </row>
    <row r="368">
      <c r="AA368" s="269"/>
    </row>
    <row r="369">
      <c r="AA369" s="269"/>
    </row>
    <row r="370">
      <c r="AA370" s="269"/>
    </row>
    <row r="371">
      <c r="AA371" s="269"/>
    </row>
    <row r="372">
      <c r="AA372" s="269"/>
    </row>
    <row r="373">
      <c r="AA373" s="269"/>
    </row>
    <row r="374">
      <c r="AA374" s="269"/>
    </row>
    <row r="375">
      <c r="AA375" s="269"/>
    </row>
    <row r="376">
      <c r="AA376" s="269"/>
    </row>
    <row r="377">
      <c r="AA377" s="269"/>
    </row>
    <row r="378">
      <c r="AA378" s="269"/>
    </row>
    <row r="379">
      <c r="AA379" s="269"/>
    </row>
    <row r="380">
      <c r="AA380" s="269"/>
    </row>
    <row r="381">
      <c r="AA381" s="269"/>
    </row>
    <row r="382">
      <c r="AA382" s="269"/>
    </row>
    <row r="383">
      <c r="AA383" s="269"/>
    </row>
    <row r="384">
      <c r="AA384" s="269"/>
    </row>
    <row r="385">
      <c r="AA385" s="269"/>
    </row>
    <row r="386">
      <c r="AA386" s="269"/>
    </row>
    <row r="387">
      <c r="AA387" s="269"/>
    </row>
    <row r="388">
      <c r="AA388" s="269"/>
    </row>
    <row r="389">
      <c r="AA389" s="269"/>
    </row>
    <row r="390">
      <c r="AA390" s="269"/>
    </row>
    <row r="391">
      <c r="AA391" s="269"/>
    </row>
    <row r="392">
      <c r="AA392" s="269"/>
    </row>
    <row r="393">
      <c r="AA393" s="269"/>
    </row>
    <row r="394">
      <c r="AA394" s="269"/>
    </row>
    <row r="395">
      <c r="AA395" s="269"/>
    </row>
    <row r="396">
      <c r="AA396" s="269"/>
    </row>
    <row r="397">
      <c r="AA397" s="269"/>
    </row>
    <row r="398">
      <c r="AA398" s="269"/>
    </row>
    <row r="399">
      <c r="AA399" s="269"/>
    </row>
    <row r="400">
      <c r="AA400" s="269"/>
    </row>
    <row r="401">
      <c r="AA401" s="269"/>
    </row>
    <row r="402">
      <c r="AA402" s="269"/>
    </row>
    <row r="403">
      <c r="AA403" s="269"/>
    </row>
    <row r="404">
      <c r="AA404" s="269"/>
    </row>
    <row r="405">
      <c r="AA405" s="269"/>
    </row>
    <row r="406">
      <c r="AA406" s="269"/>
    </row>
    <row r="407">
      <c r="AA407" s="269"/>
    </row>
    <row r="408">
      <c r="AA408" s="269"/>
    </row>
    <row r="409">
      <c r="AA409" s="269"/>
    </row>
    <row r="410">
      <c r="AA410" s="269"/>
    </row>
    <row r="411">
      <c r="AA411" s="269"/>
    </row>
    <row r="412">
      <c r="AA412" s="269"/>
    </row>
    <row r="413">
      <c r="AA413" s="269"/>
    </row>
    <row r="414">
      <c r="AA414" s="269"/>
    </row>
    <row r="415">
      <c r="AA415" s="269"/>
    </row>
    <row r="416">
      <c r="AA416" s="269"/>
    </row>
    <row r="417">
      <c r="AA417" s="269"/>
    </row>
    <row r="418">
      <c r="AA418" s="269"/>
    </row>
    <row r="419">
      <c r="AA419" s="269"/>
    </row>
    <row r="420">
      <c r="AA420" s="269"/>
    </row>
    <row r="421">
      <c r="AA421" s="269"/>
    </row>
    <row r="422">
      <c r="AA422" s="269"/>
    </row>
    <row r="423">
      <c r="AA423" s="269"/>
    </row>
    <row r="424">
      <c r="AA424" s="269"/>
    </row>
    <row r="425">
      <c r="AA425" s="269"/>
    </row>
    <row r="426">
      <c r="AA426" s="269"/>
    </row>
    <row r="427">
      <c r="AA427" s="269"/>
    </row>
    <row r="428">
      <c r="AA428" s="269"/>
    </row>
    <row r="429">
      <c r="AA429" s="269"/>
    </row>
    <row r="430">
      <c r="AA430" s="269"/>
    </row>
    <row r="431">
      <c r="AA431" s="269"/>
    </row>
    <row r="432">
      <c r="AA432" s="269"/>
    </row>
    <row r="433">
      <c r="AA433" s="269"/>
    </row>
    <row r="434">
      <c r="AA434" s="269"/>
    </row>
    <row r="435">
      <c r="AA435" s="269"/>
    </row>
    <row r="436">
      <c r="AA436" s="269"/>
    </row>
    <row r="437">
      <c r="AA437" s="269"/>
    </row>
    <row r="438">
      <c r="AA438" s="269"/>
    </row>
    <row r="439">
      <c r="AA439" s="269"/>
    </row>
    <row r="440">
      <c r="AA440" s="269"/>
    </row>
    <row r="441">
      <c r="AA441" s="269"/>
    </row>
    <row r="442">
      <c r="AA442" s="269"/>
    </row>
    <row r="443">
      <c r="AA443" s="269"/>
    </row>
    <row r="444">
      <c r="AA444" s="269"/>
    </row>
    <row r="445">
      <c r="AA445" s="269"/>
    </row>
    <row r="446">
      <c r="AA446" s="269"/>
    </row>
    <row r="447">
      <c r="AA447" s="269"/>
    </row>
    <row r="448">
      <c r="AA448" s="269"/>
    </row>
    <row r="449">
      <c r="AA449" s="269"/>
    </row>
    <row r="450">
      <c r="AA450" s="269"/>
    </row>
    <row r="451">
      <c r="AA451" s="269"/>
    </row>
    <row r="452">
      <c r="AA452" s="269"/>
    </row>
    <row r="453">
      <c r="AA453" s="269"/>
    </row>
    <row r="454">
      <c r="AA454" s="269"/>
    </row>
    <row r="455">
      <c r="AA455" s="269"/>
    </row>
    <row r="456">
      <c r="AA456" s="269"/>
    </row>
    <row r="457">
      <c r="AA457" s="269"/>
    </row>
    <row r="458">
      <c r="AA458" s="269"/>
    </row>
    <row r="459">
      <c r="AA459" s="269"/>
    </row>
    <row r="460">
      <c r="AA460" s="269"/>
    </row>
    <row r="461">
      <c r="AA461" s="269"/>
    </row>
    <row r="462">
      <c r="AA462" s="269"/>
    </row>
    <row r="463">
      <c r="AA463" s="269"/>
    </row>
    <row r="464">
      <c r="AA464" s="269"/>
    </row>
    <row r="465">
      <c r="AA465" s="269"/>
    </row>
    <row r="466">
      <c r="AA466" s="269"/>
    </row>
    <row r="467">
      <c r="AA467" s="269"/>
    </row>
    <row r="468">
      <c r="AA468" s="269"/>
    </row>
    <row r="469">
      <c r="AA469" s="269"/>
    </row>
    <row r="470">
      <c r="AA470" s="269"/>
    </row>
    <row r="471">
      <c r="AA471" s="269"/>
    </row>
    <row r="472">
      <c r="AA472" s="269"/>
    </row>
    <row r="473">
      <c r="AA473" s="269"/>
    </row>
    <row r="474">
      <c r="AA474" s="269"/>
    </row>
    <row r="475">
      <c r="AA475" s="269"/>
    </row>
    <row r="476">
      <c r="AA476" s="269"/>
    </row>
    <row r="477">
      <c r="AA477" s="269"/>
    </row>
    <row r="478">
      <c r="AA478" s="269"/>
    </row>
    <row r="479">
      <c r="AA479" s="269"/>
    </row>
    <row r="480">
      <c r="AA480" s="269"/>
    </row>
    <row r="481">
      <c r="AA481" s="269"/>
    </row>
    <row r="482">
      <c r="AA482" s="269"/>
    </row>
    <row r="483">
      <c r="AA483" s="269"/>
    </row>
    <row r="484">
      <c r="AA484" s="269"/>
    </row>
    <row r="485">
      <c r="AA485" s="269"/>
    </row>
    <row r="486">
      <c r="AA486" s="269"/>
    </row>
    <row r="487">
      <c r="AA487" s="269"/>
    </row>
    <row r="488">
      <c r="AA488" s="269"/>
    </row>
    <row r="489">
      <c r="AA489" s="269"/>
    </row>
    <row r="490">
      <c r="AA490" s="269"/>
    </row>
    <row r="491">
      <c r="AA491" s="269"/>
    </row>
    <row r="492">
      <c r="AA492" s="269"/>
    </row>
    <row r="493">
      <c r="AA493" s="269"/>
    </row>
    <row r="494">
      <c r="AA494" s="269"/>
    </row>
    <row r="495">
      <c r="AA495" s="269"/>
    </row>
    <row r="496">
      <c r="AA496" s="269"/>
    </row>
    <row r="497">
      <c r="AA497" s="269"/>
    </row>
    <row r="498">
      <c r="AA498" s="269"/>
    </row>
    <row r="499">
      <c r="AA499" s="269"/>
    </row>
    <row r="500">
      <c r="AA500" s="269"/>
    </row>
    <row r="501">
      <c r="AA501" s="269"/>
    </row>
    <row r="502">
      <c r="AA502" s="269"/>
    </row>
    <row r="503">
      <c r="AA503" s="269"/>
    </row>
    <row r="504">
      <c r="AA504" s="269"/>
    </row>
    <row r="505">
      <c r="AA505" s="269"/>
    </row>
    <row r="506">
      <c r="AA506" s="269"/>
    </row>
    <row r="507">
      <c r="AA507" s="269"/>
    </row>
    <row r="508">
      <c r="AA508" s="269"/>
    </row>
    <row r="509">
      <c r="AA509" s="269"/>
    </row>
    <row r="510">
      <c r="AA510" s="269"/>
    </row>
    <row r="511">
      <c r="AA511" s="269"/>
    </row>
    <row r="512">
      <c r="AA512" s="269"/>
    </row>
    <row r="513">
      <c r="AA513" s="269"/>
    </row>
    <row r="514">
      <c r="AA514" s="269"/>
    </row>
    <row r="515">
      <c r="AA515" s="269"/>
    </row>
    <row r="516">
      <c r="AA516" s="269"/>
    </row>
    <row r="517">
      <c r="AA517" s="269"/>
    </row>
    <row r="518">
      <c r="AA518" s="269"/>
    </row>
    <row r="519">
      <c r="AA519" s="269"/>
    </row>
    <row r="520">
      <c r="AA520" s="269"/>
    </row>
    <row r="521">
      <c r="AA521" s="269"/>
    </row>
    <row r="522">
      <c r="AA522" s="269"/>
    </row>
    <row r="523">
      <c r="AA523" s="269"/>
    </row>
    <row r="524">
      <c r="AA524" s="269"/>
    </row>
    <row r="525">
      <c r="AA525" s="269"/>
    </row>
    <row r="526">
      <c r="AA526" s="269"/>
    </row>
    <row r="527">
      <c r="AA527" s="269"/>
    </row>
    <row r="528">
      <c r="AA528" s="269"/>
    </row>
    <row r="529">
      <c r="AA529" s="269"/>
    </row>
    <row r="530">
      <c r="AA530" s="269"/>
    </row>
    <row r="531">
      <c r="AA531" s="269"/>
    </row>
    <row r="532">
      <c r="AA532" s="269"/>
    </row>
    <row r="533">
      <c r="AA533" s="269"/>
    </row>
    <row r="534">
      <c r="AA534" s="269"/>
    </row>
    <row r="535">
      <c r="AA535" s="269"/>
    </row>
    <row r="536">
      <c r="AA536" s="269"/>
    </row>
    <row r="537">
      <c r="AA537" s="269"/>
    </row>
    <row r="538">
      <c r="AA538" s="269"/>
    </row>
    <row r="539">
      <c r="AA539" s="269"/>
    </row>
    <row r="540">
      <c r="AA540" s="269"/>
    </row>
    <row r="541">
      <c r="AA541" s="269"/>
    </row>
    <row r="542">
      <c r="AA542" s="269"/>
    </row>
    <row r="543">
      <c r="AA543" s="269"/>
    </row>
    <row r="544">
      <c r="AA544" s="269"/>
    </row>
    <row r="545">
      <c r="AA545" s="269"/>
    </row>
    <row r="546">
      <c r="AA546" s="269"/>
    </row>
    <row r="547">
      <c r="AA547" s="269"/>
    </row>
    <row r="548">
      <c r="AA548" s="269"/>
    </row>
    <row r="549">
      <c r="AA549" s="269"/>
    </row>
    <row r="550">
      <c r="AA550" s="269"/>
    </row>
    <row r="551">
      <c r="AA551" s="269"/>
    </row>
    <row r="552">
      <c r="AA552" s="269"/>
    </row>
    <row r="553">
      <c r="AA553" s="269"/>
    </row>
    <row r="554">
      <c r="AA554" s="269"/>
    </row>
    <row r="555">
      <c r="AA555" s="269"/>
    </row>
    <row r="556">
      <c r="AA556" s="269"/>
    </row>
    <row r="557">
      <c r="AA557" s="269"/>
    </row>
    <row r="558">
      <c r="AA558" s="269"/>
    </row>
    <row r="559">
      <c r="AA559" s="269"/>
    </row>
    <row r="560">
      <c r="AA560" s="269"/>
    </row>
    <row r="561">
      <c r="AA561" s="269"/>
    </row>
    <row r="562">
      <c r="AA562" s="269"/>
    </row>
    <row r="563">
      <c r="AA563" s="269"/>
    </row>
    <row r="564">
      <c r="AA564" s="269"/>
    </row>
    <row r="565">
      <c r="AA565" s="269"/>
    </row>
    <row r="566">
      <c r="AA566" s="269"/>
    </row>
    <row r="567">
      <c r="AA567" s="269"/>
    </row>
    <row r="568">
      <c r="AA568" s="269"/>
    </row>
    <row r="569">
      <c r="AA569" s="269"/>
    </row>
    <row r="570">
      <c r="AA570" s="269"/>
    </row>
    <row r="571">
      <c r="AA571" s="269"/>
    </row>
    <row r="572">
      <c r="AA572" s="269"/>
    </row>
    <row r="573">
      <c r="AA573" s="269"/>
    </row>
    <row r="574">
      <c r="AA574" s="269"/>
    </row>
    <row r="575">
      <c r="AA575" s="269"/>
    </row>
    <row r="576">
      <c r="AA576" s="269"/>
    </row>
    <row r="577">
      <c r="AA577" s="269"/>
    </row>
    <row r="578">
      <c r="AA578" s="269"/>
    </row>
    <row r="579">
      <c r="AA579" s="269"/>
    </row>
    <row r="580">
      <c r="AA580" s="269"/>
    </row>
    <row r="581">
      <c r="AA581" s="269"/>
    </row>
    <row r="582">
      <c r="AA582" s="269"/>
    </row>
    <row r="583">
      <c r="AA583" s="269"/>
    </row>
    <row r="584">
      <c r="AA584" s="269"/>
    </row>
    <row r="585">
      <c r="AA585" s="269"/>
    </row>
    <row r="586">
      <c r="AA586" s="269"/>
    </row>
    <row r="587">
      <c r="AA587" s="269"/>
    </row>
    <row r="588">
      <c r="AA588" s="269"/>
    </row>
    <row r="589">
      <c r="AA589" s="269"/>
    </row>
    <row r="590">
      <c r="AA590" s="269"/>
    </row>
    <row r="591">
      <c r="AA591" s="269"/>
    </row>
    <row r="592">
      <c r="AA592" s="269"/>
    </row>
    <row r="593">
      <c r="AA593" s="269"/>
    </row>
    <row r="594">
      <c r="AA594" s="269"/>
    </row>
    <row r="595">
      <c r="AA595" s="269"/>
    </row>
    <row r="596">
      <c r="AA596" s="269"/>
    </row>
    <row r="597">
      <c r="AA597" s="269"/>
    </row>
    <row r="598">
      <c r="AA598" s="269"/>
    </row>
    <row r="599">
      <c r="AA599" s="269"/>
    </row>
    <row r="600">
      <c r="AA600" s="269"/>
    </row>
    <row r="601">
      <c r="AA601" s="269"/>
    </row>
    <row r="602">
      <c r="AA602" s="269"/>
    </row>
    <row r="603">
      <c r="AA603" s="269"/>
    </row>
    <row r="604">
      <c r="AA604" s="269"/>
    </row>
    <row r="605">
      <c r="AA605" s="269"/>
    </row>
    <row r="606">
      <c r="AA606" s="269"/>
    </row>
    <row r="607">
      <c r="AA607" s="269"/>
    </row>
    <row r="608">
      <c r="AA608" s="269"/>
    </row>
    <row r="609">
      <c r="AA609" s="269"/>
    </row>
    <row r="610">
      <c r="AA610" s="269"/>
    </row>
    <row r="611">
      <c r="AA611" s="269"/>
    </row>
    <row r="612">
      <c r="AA612" s="269"/>
    </row>
    <row r="613">
      <c r="AA613" s="269"/>
    </row>
    <row r="614">
      <c r="AA614" s="269"/>
    </row>
    <row r="615">
      <c r="AA615" s="269"/>
    </row>
    <row r="616">
      <c r="AA616" s="269"/>
    </row>
    <row r="617">
      <c r="AA617" s="269"/>
    </row>
    <row r="618">
      <c r="AA618" s="269"/>
    </row>
    <row r="619">
      <c r="AA619" s="269"/>
    </row>
    <row r="620">
      <c r="AA620" s="269"/>
    </row>
    <row r="621">
      <c r="AA621" s="269"/>
    </row>
    <row r="622">
      <c r="AA622" s="269"/>
    </row>
    <row r="623">
      <c r="AA623" s="269"/>
    </row>
    <row r="624">
      <c r="AA624" s="269"/>
    </row>
    <row r="625">
      <c r="AA625" s="269"/>
    </row>
    <row r="626">
      <c r="AA626" s="269"/>
    </row>
    <row r="627">
      <c r="AA627" s="269"/>
    </row>
    <row r="628">
      <c r="AA628" s="269"/>
    </row>
    <row r="629">
      <c r="AA629" s="269"/>
    </row>
    <row r="630">
      <c r="AA630" s="269"/>
    </row>
    <row r="631">
      <c r="AA631" s="269"/>
    </row>
    <row r="632">
      <c r="AA632" s="269"/>
    </row>
    <row r="633">
      <c r="AA633" s="269"/>
    </row>
    <row r="634">
      <c r="AA634" s="269"/>
    </row>
    <row r="635">
      <c r="AA635" s="269"/>
    </row>
    <row r="636">
      <c r="AA636" s="269"/>
    </row>
    <row r="637">
      <c r="AA637" s="269"/>
    </row>
    <row r="638">
      <c r="AA638" s="269"/>
    </row>
    <row r="639">
      <c r="AA639" s="269"/>
    </row>
    <row r="640">
      <c r="AA640" s="269"/>
    </row>
    <row r="641">
      <c r="AA641" s="269"/>
    </row>
    <row r="642">
      <c r="AA642" s="269"/>
    </row>
    <row r="643">
      <c r="AA643" s="269"/>
    </row>
    <row r="644">
      <c r="AA644" s="269"/>
    </row>
    <row r="645">
      <c r="AA645" s="269"/>
    </row>
    <row r="646">
      <c r="AA646" s="269"/>
    </row>
    <row r="647">
      <c r="AA647" s="269"/>
    </row>
    <row r="648">
      <c r="AA648" s="269"/>
    </row>
    <row r="649">
      <c r="AA649" s="269"/>
    </row>
    <row r="650">
      <c r="AA650" s="269"/>
    </row>
    <row r="651">
      <c r="AA651" s="269"/>
    </row>
    <row r="652">
      <c r="AA652" s="269"/>
    </row>
    <row r="653">
      <c r="AA653" s="269"/>
    </row>
    <row r="654">
      <c r="AA654" s="269"/>
    </row>
    <row r="655">
      <c r="AA655" s="269"/>
    </row>
    <row r="656">
      <c r="AA656" s="269"/>
    </row>
    <row r="657">
      <c r="AA657" s="269"/>
    </row>
    <row r="658">
      <c r="AA658" s="269"/>
    </row>
    <row r="659">
      <c r="AA659" s="269"/>
    </row>
    <row r="660">
      <c r="AA660" s="269"/>
    </row>
    <row r="661">
      <c r="AA661" s="269"/>
    </row>
    <row r="662">
      <c r="AA662" s="269"/>
    </row>
    <row r="663">
      <c r="AA663" s="269"/>
    </row>
    <row r="664">
      <c r="AA664" s="269"/>
    </row>
    <row r="665">
      <c r="AA665" s="269"/>
    </row>
    <row r="666">
      <c r="AA666" s="269"/>
    </row>
    <row r="667">
      <c r="AA667" s="269"/>
    </row>
    <row r="668">
      <c r="AA668" s="269"/>
    </row>
    <row r="669">
      <c r="AA669" s="269"/>
    </row>
    <row r="670">
      <c r="AA670" s="269"/>
    </row>
    <row r="671">
      <c r="AA671" s="269"/>
    </row>
    <row r="672">
      <c r="AA672" s="269"/>
    </row>
    <row r="673">
      <c r="AA673" s="269"/>
    </row>
    <row r="674">
      <c r="AA674" s="269"/>
    </row>
    <row r="675">
      <c r="AA675" s="269"/>
    </row>
    <row r="676">
      <c r="AA676" s="269"/>
    </row>
    <row r="677">
      <c r="AA677" s="269"/>
    </row>
    <row r="678">
      <c r="AA678" s="269"/>
    </row>
    <row r="679">
      <c r="AA679" s="269"/>
    </row>
    <row r="680">
      <c r="AA680" s="269"/>
    </row>
    <row r="681">
      <c r="AA681" s="269"/>
    </row>
    <row r="682">
      <c r="AA682" s="269"/>
    </row>
    <row r="683">
      <c r="AA683" s="269"/>
    </row>
    <row r="684">
      <c r="AA684" s="269"/>
    </row>
    <row r="685">
      <c r="AA685" s="269"/>
    </row>
    <row r="686">
      <c r="AA686" s="269"/>
    </row>
    <row r="687">
      <c r="AA687" s="269"/>
    </row>
    <row r="688">
      <c r="AA688" s="269"/>
    </row>
    <row r="689">
      <c r="AA689" s="269"/>
    </row>
    <row r="690">
      <c r="AA690" s="269"/>
    </row>
    <row r="691">
      <c r="AA691" s="269"/>
    </row>
    <row r="692">
      <c r="AA692" s="269"/>
    </row>
    <row r="693">
      <c r="AA693" s="269"/>
    </row>
    <row r="694">
      <c r="AA694" s="269"/>
    </row>
    <row r="695">
      <c r="AA695" s="269"/>
    </row>
    <row r="696">
      <c r="AA696" s="269"/>
    </row>
    <row r="697">
      <c r="AA697" s="269"/>
    </row>
    <row r="698">
      <c r="AA698" s="269"/>
    </row>
    <row r="699">
      <c r="AA699" s="269"/>
    </row>
    <row r="700">
      <c r="AA700" s="269"/>
    </row>
    <row r="701">
      <c r="AA701" s="269"/>
    </row>
    <row r="702">
      <c r="AA702" s="269"/>
    </row>
    <row r="703">
      <c r="AA703" s="269"/>
    </row>
    <row r="704">
      <c r="AA704" s="269"/>
    </row>
    <row r="705">
      <c r="AA705" s="269"/>
    </row>
    <row r="706">
      <c r="AA706" s="269"/>
    </row>
    <row r="707">
      <c r="AA707" s="269"/>
    </row>
    <row r="708">
      <c r="AA708" s="269"/>
    </row>
    <row r="709">
      <c r="AA709" s="269"/>
    </row>
    <row r="710">
      <c r="AA710" s="269"/>
    </row>
    <row r="711">
      <c r="AA711" s="269"/>
    </row>
    <row r="712">
      <c r="AA712" s="269"/>
    </row>
    <row r="713">
      <c r="AA713" s="269"/>
    </row>
    <row r="714">
      <c r="AA714" s="269"/>
    </row>
    <row r="715">
      <c r="AA715" s="269"/>
    </row>
    <row r="716">
      <c r="AA716" s="269"/>
    </row>
    <row r="717">
      <c r="AA717" s="269"/>
    </row>
    <row r="718">
      <c r="AA718" s="269"/>
    </row>
    <row r="719">
      <c r="AA719" s="269"/>
    </row>
    <row r="720">
      <c r="AA720" s="269"/>
    </row>
    <row r="721">
      <c r="AA721" s="269"/>
    </row>
    <row r="722">
      <c r="AA722" s="269"/>
    </row>
    <row r="723">
      <c r="AA723" s="269"/>
    </row>
    <row r="724">
      <c r="AA724" s="269"/>
    </row>
    <row r="725">
      <c r="AA725" s="269"/>
    </row>
    <row r="726">
      <c r="AA726" s="269"/>
    </row>
    <row r="727">
      <c r="AA727" s="269"/>
    </row>
    <row r="728">
      <c r="AA728" s="269"/>
    </row>
    <row r="729">
      <c r="AA729" s="269"/>
    </row>
    <row r="730">
      <c r="AA730" s="269"/>
    </row>
    <row r="731">
      <c r="AA731" s="269"/>
    </row>
    <row r="732">
      <c r="AA732" s="269"/>
    </row>
    <row r="733">
      <c r="AA733" s="269"/>
    </row>
    <row r="734">
      <c r="AA734" s="269"/>
    </row>
    <row r="735">
      <c r="AA735" s="269"/>
    </row>
    <row r="736">
      <c r="AA736" s="269"/>
    </row>
    <row r="737">
      <c r="AA737" s="269"/>
    </row>
    <row r="738">
      <c r="AA738" s="269"/>
    </row>
    <row r="739">
      <c r="AA739" s="269"/>
    </row>
    <row r="740">
      <c r="AA740" s="269"/>
    </row>
    <row r="741">
      <c r="AA741" s="269"/>
    </row>
    <row r="742">
      <c r="AA742" s="269"/>
    </row>
    <row r="743">
      <c r="AA743" s="269"/>
    </row>
    <row r="744">
      <c r="AA744" s="269"/>
    </row>
    <row r="745">
      <c r="AA745" s="269"/>
    </row>
    <row r="746">
      <c r="AA746" s="269"/>
    </row>
    <row r="747">
      <c r="AA747" s="269"/>
    </row>
    <row r="748">
      <c r="AA748" s="269"/>
    </row>
    <row r="749">
      <c r="AA749" s="269"/>
    </row>
    <row r="750">
      <c r="AA750" s="269"/>
    </row>
    <row r="751">
      <c r="AA751" s="269"/>
    </row>
    <row r="752">
      <c r="AA752" s="269"/>
    </row>
    <row r="753">
      <c r="AA753" s="269"/>
    </row>
    <row r="754">
      <c r="AA754" s="269"/>
    </row>
    <row r="755">
      <c r="AA755" s="269"/>
    </row>
    <row r="756">
      <c r="AA756" s="269"/>
    </row>
    <row r="757">
      <c r="AA757" s="269"/>
    </row>
    <row r="758">
      <c r="AA758" s="269"/>
    </row>
    <row r="759">
      <c r="AA759" s="269"/>
    </row>
    <row r="760">
      <c r="AA760" s="269"/>
    </row>
    <row r="761">
      <c r="AA761" s="269"/>
    </row>
    <row r="762">
      <c r="AA762" s="269"/>
    </row>
    <row r="763">
      <c r="AA763" s="269"/>
    </row>
    <row r="764">
      <c r="AA764" s="269"/>
    </row>
    <row r="765">
      <c r="AA765" s="269"/>
    </row>
    <row r="766">
      <c r="AA766" s="269"/>
    </row>
    <row r="767">
      <c r="AA767" s="269"/>
    </row>
    <row r="768">
      <c r="AA768" s="269"/>
    </row>
    <row r="769">
      <c r="AA769" s="269"/>
    </row>
    <row r="770">
      <c r="AA770" s="269"/>
    </row>
    <row r="771">
      <c r="AA771" s="269"/>
    </row>
    <row r="772">
      <c r="AA772" s="269"/>
    </row>
    <row r="773">
      <c r="AA773" s="269"/>
    </row>
    <row r="774">
      <c r="AA774" s="269"/>
    </row>
    <row r="775">
      <c r="AA775" s="269"/>
    </row>
    <row r="776">
      <c r="AA776" s="269"/>
    </row>
    <row r="777">
      <c r="AA777" s="269"/>
    </row>
    <row r="778">
      <c r="AA778" s="269"/>
    </row>
    <row r="779">
      <c r="AA779" s="269"/>
    </row>
    <row r="780">
      <c r="AA780" s="269"/>
    </row>
    <row r="781">
      <c r="AA781" s="269"/>
    </row>
    <row r="782">
      <c r="AA782" s="269"/>
    </row>
    <row r="783">
      <c r="AA783" s="269"/>
    </row>
    <row r="784">
      <c r="AA784" s="269"/>
    </row>
    <row r="785">
      <c r="AA785" s="269"/>
    </row>
    <row r="786">
      <c r="AA786" s="269"/>
    </row>
    <row r="787">
      <c r="AA787" s="269"/>
    </row>
    <row r="788">
      <c r="AA788" s="269"/>
    </row>
    <row r="789">
      <c r="AA789" s="269"/>
    </row>
    <row r="790">
      <c r="AA790" s="269"/>
    </row>
    <row r="791">
      <c r="AA791" s="269"/>
    </row>
    <row r="792">
      <c r="AA792" s="269"/>
    </row>
    <row r="793">
      <c r="AA793" s="269"/>
    </row>
    <row r="794">
      <c r="AA794" s="269"/>
    </row>
    <row r="795">
      <c r="AA795" s="269"/>
    </row>
    <row r="796">
      <c r="AA796" s="269"/>
    </row>
    <row r="797">
      <c r="AA797" s="269"/>
    </row>
    <row r="798">
      <c r="AA798" s="269"/>
    </row>
    <row r="799">
      <c r="AA799" s="269"/>
    </row>
    <row r="800">
      <c r="AA800" s="269"/>
    </row>
    <row r="801">
      <c r="AA801" s="269"/>
    </row>
    <row r="802">
      <c r="AA802" s="269"/>
    </row>
    <row r="803">
      <c r="AA803" s="269"/>
    </row>
    <row r="804">
      <c r="AA804" s="269"/>
    </row>
    <row r="805">
      <c r="AA805" s="269"/>
    </row>
    <row r="806">
      <c r="AA806" s="269"/>
    </row>
    <row r="807">
      <c r="AA807" s="269"/>
    </row>
    <row r="808">
      <c r="AA808" s="269"/>
    </row>
    <row r="809">
      <c r="AA809" s="269"/>
    </row>
    <row r="810">
      <c r="AA810" s="269"/>
    </row>
    <row r="811">
      <c r="AA811" s="269"/>
    </row>
    <row r="812">
      <c r="AA812" s="269"/>
    </row>
    <row r="813">
      <c r="AA813" s="269"/>
    </row>
    <row r="814">
      <c r="AA814" s="269"/>
    </row>
    <row r="815">
      <c r="AA815" s="269"/>
    </row>
    <row r="816">
      <c r="AA816" s="269"/>
    </row>
    <row r="817">
      <c r="AA817" s="269"/>
    </row>
    <row r="818">
      <c r="AA818" s="269"/>
    </row>
    <row r="819">
      <c r="AA819" s="269"/>
    </row>
    <row r="820">
      <c r="AA820" s="269"/>
    </row>
    <row r="821">
      <c r="AA821" s="269"/>
    </row>
    <row r="822">
      <c r="AA822" s="269"/>
    </row>
    <row r="823">
      <c r="AA823" s="269"/>
    </row>
    <row r="824">
      <c r="AA824" s="269"/>
    </row>
    <row r="825">
      <c r="AA825" s="269"/>
    </row>
    <row r="826">
      <c r="AA826" s="269"/>
    </row>
    <row r="827">
      <c r="AA827" s="269"/>
    </row>
    <row r="828">
      <c r="AA828" s="269"/>
    </row>
    <row r="829">
      <c r="AA829" s="269"/>
    </row>
    <row r="830">
      <c r="AA830" s="269"/>
    </row>
    <row r="831">
      <c r="AA831" s="269"/>
    </row>
    <row r="832">
      <c r="AA832" s="269"/>
    </row>
    <row r="833">
      <c r="AA833" s="269"/>
    </row>
    <row r="834">
      <c r="AA834" s="269"/>
    </row>
    <row r="835">
      <c r="AA835" s="269"/>
    </row>
    <row r="836">
      <c r="AA836" s="269"/>
    </row>
    <row r="837">
      <c r="AA837" s="269"/>
    </row>
    <row r="838">
      <c r="AA838" s="269"/>
    </row>
    <row r="839">
      <c r="AA839" s="269"/>
    </row>
    <row r="840">
      <c r="AA840" s="269"/>
    </row>
    <row r="841">
      <c r="AA841" s="269"/>
    </row>
    <row r="842">
      <c r="AA842" s="269"/>
    </row>
    <row r="843">
      <c r="AA843" s="269"/>
    </row>
    <row r="844">
      <c r="AA844" s="269"/>
    </row>
    <row r="845">
      <c r="AA845" s="269"/>
    </row>
    <row r="846">
      <c r="AA846" s="269"/>
    </row>
    <row r="847">
      <c r="AA847" s="269"/>
    </row>
    <row r="848">
      <c r="AA848" s="269"/>
    </row>
    <row r="849">
      <c r="AA849" s="269"/>
    </row>
    <row r="850">
      <c r="AA850" s="269"/>
    </row>
    <row r="851">
      <c r="AA851" s="269"/>
    </row>
    <row r="852">
      <c r="AA852" s="269"/>
    </row>
    <row r="853">
      <c r="AA853" s="269"/>
    </row>
    <row r="854">
      <c r="AA854" s="269"/>
    </row>
    <row r="855">
      <c r="AA855" s="269"/>
    </row>
    <row r="856">
      <c r="AA856" s="269"/>
    </row>
    <row r="857">
      <c r="AA857" s="269"/>
    </row>
    <row r="858">
      <c r="AA858" s="269"/>
    </row>
    <row r="859">
      <c r="AA859" s="269"/>
    </row>
    <row r="860">
      <c r="AA860" s="269"/>
    </row>
    <row r="861">
      <c r="AA861" s="269"/>
    </row>
    <row r="862">
      <c r="AA862" s="269"/>
    </row>
    <row r="863">
      <c r="AA863" s="269"/>
    </row>
    <row r="864">
      <c r="AA864" s="269"/>
    </row>
    <row r="865">
      <c r="AA865" s="269"/>
    </row>
    <row r="866">
      <c r="AA866" s="269"/>
    </row>
    <row r="867">
      <c r="AA867" s="269"/>
    </row>
    <row r="868">
      <c r="AA868" s="269"/>
    </row>
    <row r="869">
      <c r="AA869" s="269"/>
    </row>
    <row r="870">
      <c r="AA870" s="269"/>
    </row>
    <row r="871">
      <c r="AA871" s="269"/>
    </row>
    <row r="872">
      <c r="AA872" s="269"/>
    </row>
    <row r="873">
      <c r="AA873" s="269"/>
    </row>
    <row r="874">
      <c r="AA874" s="269"/>
    </row>
    <row r="875">
      <c r="AA875" s="269"/>
    </row>
    <row r="876">
      <c r="AA876" s="269"/>
    </row>
    <row r="877">
      <c r="AA877" s="269"/>
    </row>
    <row r="878">
      <c r="AA878" s="269"/>
    </row>
    <row r="879">
      <c r="AA879" s="269"/>
    </row>
    <row r="880">
      <c r="AA880" s="269"/>
    </row>
    <row r="881">
      <c r="AA881" s="269"/>
    </row>
    <row r="882">
      <c r="AA882" s="269"/>
    </row>
    <row r="883">
      <c r="AA883" s="269"/>
    </row>
    <row r="884">
      <c r="AA884" s="269"/>
    </row>
    <row r="885">
      <c r="AA885" s="269"/>
    </row>
    <row r="886">
      <c r="AA886" s="269"/>
    </row>
    <row r="887">
      <c r="AA887" s="269"/>
    </row>
    <row r="888">
      <c r="AA888" s="269"/>
    </row>
    <row r="889">
      <c r="AA889" s="269"/>
    </row>
    <row r="890">
      <c r="AA890" s="269"/>
    </row>
    <row r="891">
      <c r="AA891" s="269"/>
    </row>
    <row r="892">
      <c r="AA892" s="269"/>
    </row>
    <row r="893">
      <c r="AA893" s="269"/>
    </row>
    <row r="894">
      <c r="AA894" s="269"/>
    </row>
    <row r="895">
      <c r="AA895" s="269"/>
    </row>
    <row r="896">
      <c r="AA896" s="269"/>
    </row>
    <row r="897">
      <c r="AA897" s="269"/>
    </row>
    <row r="898">
      <c r="AA898" s="269"/>
    </row>
    <row r="899">
      <c r="AA899" s="269"/>
    </row>
    <row r="900">
      <c r="AA900" s="269"/>
    </row>
    <row r="901">
      <c r="AA901" s="269"/>
    </row>
    <row r="902">
      <c r="AA902" s="269"/>
    </row>
    <row r="903">
      <c r="AA903" s="269"/>
    </row>
    <row r="904">
      <c r="AA904" s="269"/>
    </row>
    <row r="905">
      <c r="AA905" s="269"/>
    </row>
    <row r="906">
      <c r="AA906" s="269"/>
    </row>
    <row r="907">
      <c r="AA907" s="269"/>
    </row>
    <row r="908">
      <c r="AA908" s="269"/>
    </row>
    <row r="909">
      <c r="AA909" s="269"/>
    </row>
    <row r="910">
      <c r="AA910" s="269"/>
    </row>
    <row r="911">
      <c r="AA911" s="269"/>
    </row>
    <row r="912">
      <c r="AA912" s="269"/>
    </row>
    <row r="913">
      <c r="AA913" s="269"/>
    </row>
    <row r="914">
      <c r="AA914" s="269"/>
    </row>
    <row r="915">
      <c r="AA915" s="269"/>
    </row>
    <row r="916">
      <c r="AA916" s="269"/>
    </row>
    <row r="917">
      <c r="AA917" s="269"/>
    </row>
    <row r="918">
      <c r="AA918" s="269"/>
    </row>
    <row r="919">
      <c r="AA919" s="269"/>
    </row>
    <row r="920">
      <c r="AA920" s="269"/>
    </row>
    <row r="921">
      <c r="AA921" s="269"/>
    </row>
    <row r="922">
      <c r="AA922" s="269"/>
    </row>
    <row r="923">
      <c r="AA923" s="269"/>
    </row>
    <row r="924">
      <c r="AA924" s="269"/>
    </row>
    <row r="925">
      <c r="AA925" s="269"/>
    </row>
    <row r="926">
      <c r="AA926" s="269"/>
    </row>
    <row r="927">
      <c r="AA927" s="269"/>
    </row>
    <row r="928">
      <c r="AA928" s="269"/>
    </row>
    <row r="929">
      <c r="AA929" s="269"/>
    </row>
    <row r="930">
      <c r="AA930" s="269"/>
    </row>
    <row r="931">
      <c r="AA931" s="269"/>
    </row>
    <row r="932">
      <c r="AA932" s="269"/>
    </row>
    <row r="933">
      <c r="AA933" s="269"/>
    </row>
    <row r="934">
      <c r="AA934" s="269"/>
    </row>
    <row r="935">
      <c r="AA935" s="269"/>
    </row>
    <row r="936">
      <c r="AA936" s="269"/>
    </row>
    <row r="937">
      <c r="AA937" s="269"/>
    </row>
    <row r="938">
      <c r="AA938" s="269"/>
    </row>
    <row r="939">
      <c r="AA939" s="269"/>
    </row>
    <row r="940">
      <c r="AA940" s="269"/>
    </row>
    <row r="941">
      <c r="AA941" s="269"/>
    </row>
    <row r="942">
      <c r="AA942" s="269"/>
    </row>
    <row r="943">
      <c r="AA943" s="269"/>
    </row>
    <row r="944">
      <c r="AA944" s="269"/>
    </row>
    <row r="945">
      <c r="AA945" s="269"/>
    </row>
    <row r="946">
      <c r="AA946" s="269"/>
    </row>
    <row r="947">
      <c r="AA947" s="269"/>
    </row>
    <row r="948">
      <c r="AA948" s="269"/>
    </row>
    <row r="949">
      <c r="AA949" s="269"/>
    </row>
    <row r="950">
      <c r="AA950" s="269"/>
    </row>
    <row r="951">
      <c r="AA951" s="269"/>
    </row>
    <row r="952">
      <c r="AA952" s="269"/>
    </row>
    <row r="953">
      <c r="AA953" s="269"/>
    </row>
    <row r="954">
      <c r="AA954" s="269"/>
    </row>
    <row r="955">
      <c r="AA955" s="269"/>
    </row>
    <row r="956">
      <c r="AA956" s="269"/>
    </row>
    <row r="957">
      <c r="AA957" s="269"/>
    </row>
    <row r="958">
      <c r="AA958" s="269"/>
    </row>
    <row r="959">
      <c r="AA959" s="269"/>
    </row>
    <row r="960">
      <c r="AA960" s="269"/>
    </row>
    <row r="961">
      <c r="AA961" s="269"/>
    </row>
    <row r="962">
      <c r="AA962" s="269"/>
    </row>
    <row r="963">
      <c r="AA963" s="269"/>
    </row>
    <row r="964">
      <c r="AA964" s="269"/>
    </row>
    <row r="965">
      <c r="AA965" s="269"/>
    </row>
    <row r="966">
      <c r="AA966" s="269"/>
    </row>
    <row r="967">
      <c r="AA967" s="269"/>
    </row>
    <row r="968">
      <c r="AA968" s="269"/>
    </row>
    <row r="969">
      <c r="AA969" s="269"/>
    </row>
    <row r="970">
      <c r="AA970" s="269"/>
    </row>
    <row r="971">
      <c r="AA971" s="269"/>
    </row>
    <row r="972">
      <c r="AA972" s="269"/>
    </row>
    <row r="973">
      <c r="AA973" s="269"/>
    </row>
    <row r="974">
      <c r="AA974" s="269"/>
    </row>
    <row r="975">
      <c r="AA975" s="269"/>
    </row>
    <row r="976">
      <c r="AA976" s="269"/>
    </row>
    <row r="977">
      <c r="AA977" s="269"/>
    </row>
    <row r="978">
      <c r="AA978" s="269"/>
    </row>
    <row r="979">
      <c r="AA979" s="269"/>
    </row>
    <row r="980">
      <c r="AA980" s="269"/>
    </row>
    <row r="981">
      <c r="AA981" s="269"/>
    </row>
    <row r="982">
      <c r="AA982" s="269"/>
    </row>
    <row r="983">
      <c r="AA983" s="269"/>
    </row>
    <row r="984">
      <c r="AA984" s="269"/>
    </row>
    <row r="985">
      <c r="AA985" s="269"/>
    </row>
    <row r="986">
      <c r="AA986" s="269"/>
    </row>
    <row r="987">
      <c r="AA987" s="269"/>
    </row>
    <row r="988">
      <c r="AA988" s="269"/>
    </row>
    <row r="989">
      <c r="AA989" s="269"/>
    </row>
    <row r="990">
      <c r="AA990" s="269"/>
    </row>
    <row r="991">
      <c r="AA991" s="269"/>
    </row>
    <row r="992">
      <c r="AA992" s="269"/>
    </row>
    <row r="993">
      <c r="AA993" s="269"/>
    </row>
    <row r="994">
      <c r="AA994" s="269"/>
    </row>
    <row r="995">
      <c r="AA995" s="269"/>
    </row>
    <row r="996">
      <c r="AA996" s="269"/>
    </row>
    <row r="997">
      <c r="AA997" s="269"/>
    </row>
    <row r="998">
      <c r="AA998" s="269"/>
    </row>
    <row r="999">
      <c r="AA999" s="269"/>
    </row>
    <row r="1000">
      <c r="AA1000" s="269"/>
    </row>
    <row r="1001">
      <c r="AA1001" s="269"/>
    </row>
    <row r="1002">
      <c r="AA1002" s="269"/>
    </row>
    <row r="1003">
      <c r="AA1003" s="269"/>
    </row>
    <row r="1004">
      <c r="AA1004" s="269"/>
    </row>
  </sheetData>
  <mergeCells count="6">
    <mergeCell ref="AA1:AB1"/>
    <mergeCell ref="C2:Z2"/>
    <mergeCell ref="AA2:AB2"/>
    <mergeCell ref="G3:K3"/>
    <mergeCell ref="S3:W3"/>
    <mergeCell ref="C4:C7"/>
  </mergeCells>
  <conditionalFormatting sqref="D12:Z12 D17:Z17 D22:Z22 D27:Z27 D32:Z32 D37:Z37 D42:Z42 D47:Z47 D52:Z52 D57:Z57 D62:Z62 D67:Z67 D72:Z72 D77:Z77 D82:Z82 D87:Z87">
    <cfRule type="cellIs" dxfId="2" priority="1" operator="equal">
      <formula>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2" width="12.63"/>
    <col customWidth="1" min="3" max="3" width="4.0"/>
    <col customWidth="1" hidden="1" min="4" max="4" width="3.38"/>
    <col customWidth="1" min="5" max="5" width="0.75"/>
    <col customWidth="1" min="6" max="6" width="32.75"/>
    <col customWidth="1" min="7" max="7" width="9.88"/>
    <col customWidth="1" min="8" max="17" width="5.88"/>
    <col customWidth="1" min="18" max="18" width="1.5"/>
    <col customWidth="1" min="19" max="28" width="5.88"/>
    <col customWidth="1" min="29" max="29" width="7.13"/>
    <col customWidth="1" min="30" max="30" width="1.13"/>
    <col customWidth="1" min="31" max="32" width="20.63"/>
  </cols>
  <sheetData>
    <row r="1" ht="60.0" hidden="1" customHeight="1">
      <c r="A1" s="60"/>
      <c r="B1" s="6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6.75" customHeight="1">
      <c r="A2" s="60"/>
      <c r="B2" s="60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  <c r="AA2" s="4"/>
      <c r="AB2" s="4"/>
      <c r="AC2" s="4"/>
      <c r="AD2" s="5"/>
      <c r="AE2" s="1"/>
      <c r="AF2" s="1"/>
    </row>
    <row r="3">
      <c r="A3" s="60"/>
      <c r="B3" s="60"/>
      <c r="C3" s="1"/>
      <c r="D3" s="6">
        <v>4.0</v>
      </c>
      <c r="E3" s="7"/>
      <c r="F3" s="140" t="s">
        <v>173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2"/>
      <c r="AD3" s="12"/>
      <c r="AE3" s="1"/>
      <c r="AF3" s="1"/>
    </row>
    <row r="4" ht="18.75" customHeight="1">
      <c r="A4" s="60"/>
      <c r="B4" s="60"/>
      <c r="C4" s="1"/>
      <c r="D4" s="1"/>
      <c r="E4" s="7"/>
      <c r="F4" s="1"/>
      <c r="G4" s="1"/>
      <c r="H4" s="1"/>
      <c r="I4" s="1"/>
      <c r="J4" s="13" t="s">
        <v>152</v>
      </c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3" t="s">
        <v>153</v>
      </c>
      <c r="W4" s="14"/>
      <c r="X4" s="14"/>
      <c r="Y4" s="14"/>
      <c r="Z4" s="14"/>
      <c r="AA4" s="1"/>
      <c r="AB4" s="1"/>
      <c r="AC4" s="1"/>
      <c r="AD4" s="12"/>
      <c r="AE4" s="1"/>
      <c r="AF4" s="1"/>
    </row>
    <row r="5" ht="15.0" customHeight="1">
      <c r="A5" s="60"/>
      <c r="B5" s="60"/>
      <c r="C5" s="1"/>
      <c r="D5" s="1"/>
      <c r="E5" s="7"/>
      <c r="F5" s="1"/>
      <c r="G5" s="143" t="s">
        <v>137</v>
      </c>
      <c r="H5" s="143">
        <v>1.0</v>
      </c>
      <c r="I5" s="143">
        <v>2.0</v>
      </c>
      <c r="J5" s="143">
        <v>3.0</v>
      </c>
      <c r="K5" s="143">
        <v>4.0</v>
      </c>
      <c r="L5" s="143">
        <v>5.0</v>
      </c>
      <c r="M5" s="143">
        <v>6.0</v>
      </c>
      <c r="N5" s="143">
        <v>7.0</v>
      </c>
      <c r="O5" s="143">
        <v>8.0</v>
      </c>
      <c r="P5" s="143">
        <v>9.0</v>
      </c>
      <c r="Q5" s="143" t="s">
        <v>138</v>
      </c>
      <c r="R5" s="16"/>
      <c r="S5" s="143">
        <v>1.0</v>
      </c>
      <c r="T5" s="143">
        <v>2.0</v>
      </c>
      <c r="U5" s="143">
        <v>3.0</v>
      </c>
      <c r="V5" s="143">
        <v>4.0</v>
      </c>
      <c r="W5" s="143">
        <v>5.0</v>
      </c>
      <c r="X5" s="143">
        <v>6.0</v>
      </c>
      <c r="Y5" s="143">
        <v>7.0</v>
      </c>
      <c r="Z5" s="143">
        <v>8.0</v>
      </c>
      <c r="AA5" s="143">
        <v>9.0</v>
      </c>
      <c r="AB5" s="143" t="s">
        <v>139</v>
      </c>
      <c r="AC5" s="143" t="s">
        <v>31</v>
      </c>
      <c r="AD5" s="12"/>
      <c r="AE5" s="1"/>
      <c r="AF5" s="1"/>
    </row>
    <row r="6" ht="15.0" customHeight="1">
      <c r="A6" s="60"/>
      <c r="B6" s="60"/>
      <c r="C6" s="1"/>
      <c r="D6" s="1"/>
      <c r="E6" s="7"/>
      <c r="F6" s="144" t="s">
        <v>154</v>
      </c>
      <c r="G6" s="182" t="s">
        <v>104</v>
      </c>
      <c r="H6" s="182">
        <v>375.0</v>
      </c>
      <c r="I6" s="182">
        <v>383.0</v>
      </c>
      <c r="J6" s="182">
        <v>368.0</v>
      </c>
      <c r="K6" s="182">
        <v>151.0</v>
      </c>
      <c r="L6" s="182">
        <v>332.0</v>
      </c>
      <c r="M6" s="182">
        <v>352.0</v>
      </c>
      <c r="N6" s="182">
        <v>490.0</v>
      </c>
      <c r="O6" s="182">
        <v>175.0</v>
      </c>
      <c r="P6" s="182">
        <v>490.0</v>
      </c>
      <c r="Q6" s="182">
        <f t="shared" ref="Q6:Q7" si="1">SUM(H6:P6)</f>
        <v>3116</v>
      </c>
      <c r="R6" s="17"/>
      <c r="S6" s="182">
        <v>355.0</v>
      </c>
      <c r="T6" s="182">
        <v>146.0</v>
      </c>
      <c r="U6" s="182">
        <v>523.0</v>
      </c>
      <c r="V6" s="182">
        <v>412.0</v>
      </c>
      <c r="W6" s="182">
        <v>468.0</v>
      </c>
      <c r="X6" s="182">
        <v>312.0</v>
      </c>
      <c r="Y6" s="182">
        <v>366.0</v>
      </c>
      <c r="Z6" s="182">
        <v>172.0</v>
      </c>
      <c r="AA6" s="182">
        <v>358.0</v>
      </c>
      <c r="AB6" s="182">
        <f t="shared" ref="AB6:AB7" si="2">SUM(S6:AA6)</f>
        <v>3112</v>
      </c>
      <c r="AC6" s="182">
        <f t="shared" ref="AC6:AC7" si="3">AB6+Q6</f>
        <v>6228</v>
      </c>
      <c r="AD6" s="12"/>
      <c r="AE6" s="1"/>
      <c r="AF6" s="1"/>
    </row>
    <row r="7" ht="15.0" customHeight="1">
      <c r="A7" s="60"/>
      <c r="B7" s="60"/>
      <c r="C7" s="1"/>
      <c r="D7" s="1"/>
      <c r="E7" s="7"/>
      <c r="F7" s="146"/>
      <c r="G7" s="147" t="s">
        <v>113</v>
      </c>
      <c r="H7" s="147">
        <v>4.0</v>
      </c>
      <c r="I7" s="147">
        <v>4.0</v>
      </c>
      <c r="J7" s="147">
        <v>4.0</v>
      </c>
      <c r="K7" s="147">
        <v>3.0</v>
      </c>
      <c r="L7" s="147">
        <v>4.0</v>
      </c>
      <c r="M7" s="147">
        <v>4.0</v>
      </c>
      <c r="N7" s="147">
        <v>5.0</v>
      </c>
      <c r="O7" s="147">
        <v>3.0</v>
      </c>
      <c r="P7" s="147">
        <v>5.0</v>
      </c>
      <c r="Q7" s="147">
        <f t="shared" si="1"/>
        <v>36</v>
      </c>
      <c r="R7" s="17"/>
      <c r="S7" s="147">
        <v>4.0</v>
      </c>
      <c r="T7" s="147">
        <v>3.0</v>
      </c>
      <c r="U7" s="147">
        <v>5.0</v>
      </c>
      <c r="V7" s="147">
        <v>4.0</v>
      </c>
      <c r="W7" s="147">
        <v>5.0</v>
      </c>
      <c r="X7" s="147">
        <v>4.0</v>
      </c>
      <c r="Y7" s="147">
        <v>4.0</v>
      </c>
      <c r="Z7" s="147">
        <v>3.0</v>
      </c>
      <c r="AA7" s="147">
        <v>4.0</v>
      </c>
      <c r="AB7" s="147">
        <f t="shared" si="2"/>
        <v>36</v>
      </c>
      <c r="AC7" s="147">
        <f t="shared" si="3"/>
        <v>72</v>
      </c>
      <c r="AD7" s="12"/>
      <c r="AE7" s="1"/>
      <c r="AF7" s="1"/>
    </row>
    <row r="8" ht="15.0" customHeight="1">
      <c r="A8" s="60"/>
      <c r="B8" s="60"/>
      <c r="C8" s="1"/>
      <c r="D8" s="1"/>
      <c r="E8" s="7"/>
      <c r="F8" s="1"/>
      <c r="G8" s="148" t="s">
        <v>142</v>
      </c>
      <c r="H8" s="148">
        <v>5.0</v>
      </c>
      <c r="I8" s="148">
        <v>9.0</v>
      </c>
      <c r="J8" s="148">
        <v>7.0</v>
      </c>
      <c r="K8" s="148">
        <v>17.0</v>
      </c>
      <c r="L8" s="148">
        <v>11.0</v>
      </c>
      <c r="M8" s="148">
        <v>1.0</v>
      </c>
      <c r="N8" s="148">
        <v>13.0</v>
      </c>
      <c r="O8" s="148">
        <v>15.0</v>
      </c>
      <c r="P8" s="148">
        <v>3.0</v>
      </c>
      <c r="Q8" s="148"/>
      <c r="R8" s="17"/>
      <c r="S8" s="148">
        <v>14.0</v>
      </c>
      <c r="T8" s="148">
        <v>18.0</v>
      </c>
      <c r="U8" s="148">
        <v>6.0</v>
      </c>
      <c r="V8" s="148">
        <v>10.0</v>
      </c>
      <c r="W8" s="148">
        <v>2.0</v>
      </c>
      <c r="X8" s="148">
        <v>12.0</v>
      </c>
      <c r="Y8" s="148">
        <v>4.0</v>
      </c>
      <c r="Z8" s="148">
        <v>16.0</v>
      </c>
      <c r="AA8" s="148">
        <v>8.0</v>
      </c>
      <c r="AB8" s="148"/>
      <c r="AC8" s="148"/>
      <c r="AD8" s="12"/>
      <c r="AE8" s="1"/>
      <c r="AF8" s="1"/>
    </row>
    <row r="9" ht="6.75" customHeight="1">
      <c r="A9" s="60"/>
      <c r="B9" s="60"/>
      <c r="C9" s="1"/>
      <c r="D9" s="1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2"/>
      <c r="AE9" s="1"/>
      <c r="AF9" s="1"/>
    </row>
    <row r="10" ht="11.25" customHeight="1">
      <c r="A10" s="60"/>
      <c r="B10" s="60"/>
      <c r="C10" s="1"/>
      <c r="D10" s="1"/>
      <c r="E10" s="7"/>
      <c r="F10" s="183" t="s">
        <v>123</v>
      </c>
      <c r="G10" s="150">
        <f>IFERROR(VLOOKUP(F10,HANDICAPS!$B$8:$G$23,$D$3,FALSE),"")</f>
        <v>1</v>
      </c>
      <c r="H10" s="151" t="str">
        <f t="shared" ref="H10:P10" si="4">IFERROR(IF($G10&gt;18,IF(($G10-18)&gt;H$33,"**","*"),IF($G10&gt;=H$8,"*","")),"")</f>
        <v/>
      </c>
      <c r="I10" s="151" t="str">
        <f t="shared" si="4"/>
        <v/>
      </c>
      <c r="J10" s="151" t="str">
        <f t="shared" si="4"/>
        <v/>
      </c>
      <c r="K10" s="151" t="str">
        <f t="shared" si="4"/>
        <v/>
      </c>
      <c r="L10" s="151" t="str">
        <f t="shared" si="4"/>
        <v/>
      </c>
      <c r="M10" s="151" t="str">
        <f t="shared" si="4"/>
        <v>*</v>
      </c>
      <c r="N10" s="151" t="str">
        <f t="shared" si="4"/>
        <v/>
      </c>
      <c r="O10" s="152" t="str">
        <f t="shared" si="4"/>
        <v/>
      </c>
      <c r="P10" s="151" t="str">
        <f t="shared" si="4"/>
        <v/>
      </c>
      <c r="Q10" s="151"/>
      <c r="R10" s="153"/>
      <c r="S10" s="151" t="str">
        <f t="shared" ref="S10:AA10" si="5">IFERROR(IF($G10&gt;18,IF(($G10-18)&gt;S$33,"**","*"),IF($G10&gt;=S$8,"*","")),"")</f>
        <v/>
      </c>
      <c r="T10" s="151" t="str">
        <f t="shared" si="5"/>
        <v/>
      </c>
      <c r="U10" s="151" t="str">
        <f t="shared" si="5"/>
        <v/>
      </c>
      <c r="V10" s="151" t="str">
        <f t="shared" si="5"/>
        <v/>
      </c>
      <c r="W10" s="151" t="str">
        <f t="shared" si="5"/>
        <v/>
      </c>
      <c r="X10" s="151" t="str">
        <f t="shared" si="5"/>
        <v/>
      </c>
      <c r="Y10" s="151" t="str">
        <f t="shared" si="5"/>
        <v/>
      </c>
      <c r="Z10" s="151" t="str">
        <f t="shared" si="5"/>
        <v/>
      </c>
      <c r="AA10" s="152" t="str">
        <f t="shared" si="5"/>
        <v/>
      </c>
      <c r="AB10" s="151"/>
      <c r="AC10" s="151" t="str">
        <f>IF(AB10="","",SUM(Q10,AB10))</f>
        <v/>
      </c>
      <c r="AD10" s="12"/>
      <c r="AE10" s="1"/>
      <c r="AF10" s="1"/>
    </row>
    <row r="11" ht="18.75" customHeight="1">
      <c r="A11" s="60"/>
      <c r="B11" s="60" t="str">
        <f>F10</f>
        <v>SCOTT</v>
      </c>
      <c r="C11" s="1"/>
      <c r="D11" s="1"/>
      <c r="E11" s="7"/>
      <c r="F11" s="154"/>
      <c r="G11" s="155"/>
      <c r="H11" s="186">
        <v>3.0</v>
      </c>
      <c r="I11" s="186">
        <v>4.0</v>
      </c>
      <c r="J11" s="186">
        <v>6.0</v>
      </c>
      <c r="K11" s="186">
        <v>4.0</v>
      </c>
      <c r="L11" s="186">
        <v>5.0</v>
      </c>
      <c r="M11" s="186">
        <v>4.0</v>
      </c>
      <c r="N11" s="186">
        <v>5.0</v>
      </c>
      <c r="O11" s="187">
        <v>4.0</v>
      </c>
      <c r="P11" s="186">
        <v>5.0</v>
      </c>
      <c r="Q11" s="156">
        <f>IF(H11="","",SUM(H11:P11))</f>
        <v>40</v>
      </c>
      <c r="R11" s="153"/>
      <c r="S11" s="186">
        <v>4.0</v>
      </c>
      <c r="T11" s="186">
        <v>4.0</v>
      </c>
      <c r="U11" s="186">
        <v>7.0</v>
      </c>
      <c r="V11" s="186">
        <v>5.0</v>
      </c>
      <c r="W11" s="186">
        <v>4.0</v>
      </c>
      <c r="X11" s="186">
        <v>3.0</v>
      </c>
      <c r="Y11" s="186">
        <v>4.0</v>
      </c>
      <c r="Z11" s="186">
        <v>3.0</v>
      </c>
      <c r="AA11" s="187">
        <v>6.0</v>
      </c>
      <c r="AB11" s="156">
        <f>IF(S11="","",SUM(S11:AA11))</f>
        <v>40</v>
      </c>
      <c r="AC11" s="156">
        <f>IFERROR(Q11+AB11,"")</f>
        <v>80</v>
      </c>
      <c r="AD11" s="12"/>
      <c r="AE11" s="1"/>
      <c r="AF11" s="1"/>
    </row>
    <row r="12" ht="11.25" customHeight="1">
      <c r="A12" s="60"/>
      <c r="B12" s="60"/>
      <c r="C12" s="1"/>
      <c r="D12" s="1"/>
      <c r="E12" s="7"/>
      <c r="F12" s="183" t="s">
        <v>100</v>
      </c>
      <c r="G12" s="150">
        <f>IFERROR(VLOOKUP(F12,HANDICAPS!$B$8:$G$23,$D$3,FALSE),"")</f>
        <v>14</v>
      </c>
      <c r="H12" s="158" t="str">
        <f t="shared" ref="H12:P12" si="6">IFERROR(IF($G12&gt;18,IF(($G12-18)&gt;H$33,"**","*"),IF($G12&gt;=H$8,"*","")),"")</f>
        <v>*</v>
      </c>
      <c r="I12" s="158" t="str">
        <f t="shared" si="6"/>
        <v>*</v>
      </c>
      <c r="J12" s="158" t="str">
        <f t="shared" si="6"/>
        <v>*</v>
      </c>
      <c r="K12" s="158" t="str">
        <f t="shared" si="6"/>
        <v/>
      </c>
      <c r="L12" s="158" t="str">
        <f t="shared" si="6"/>
        <v>*</v>
      </c>
      <c r="M12" s="158" t="str">
        <f t="shared" si="6"/>
        <v>*</v>
      </c>
      <c r="N12" s="158" t="str">
        <f t="shared" si="6"/>
        <v>*</v>
      </c>
      <c r="O12" s="159" t="str">
        <f t="shared" si="6"/>
        <v/>
      </c>
      <c r="P12" s="158" t="str">
        <f t="shared" si="6"/>
        <v>*</v>
      </c>
      <c r="Q12" s="158"/>
      <c r="R12" s="158"/>
      <c r="S12" s="158" t="str">
        <f t="shared" ref="S12:AA12" si="7">IFERROR(IF($G12&gt;18,IF(($G12-18)&gt;S$33,"**","*"),IF($G12&gt;=S$8,"*","")),"")</f>
        <v>*</v>
      </c>
      <c r="T12" s="158" t="str">
        <f t="shared" si="7"/>
        <v/>
      </c>
      <c r="U12" s="158" t="str">
        <f t="shared" si="7"/>
        <v>*</v>
      </c>
      <c r="V12" s="158" t="str">
        <f t="shared" si="7"/>
        <v>*</v>
      </c>
      <c r="W12" s="158" t="str">
        <f t="shared" si="7"/>
        <v>*</v>
      </c>
      <c r="X12" s="158" t="str">
        <f t="shared" si="7"/>
        <v>*</v>
      </c>
      <c r="Y12" s="158" t="str">
        <f t="shared" si="7"/>
        <v>*</v>
      </c>
      <c r="Z12" s="158" t="str">
        <f t="shared" si="7"/>
        <v/>
      </c>
      <c r="AA12" s="159" t="str">
        <f t="shared" si="7"/>
        <v>*</v>
      </c>
      <c r="AB12" s="151"/>
      <c r="AC12" s="151" t="str">
        <f>IF(AB12="","",SUM(Q12,AB12))</f>
        <v/>
      </c>
      <c r="AD12" s="12"/>
      <c r="AE12" s="1"/>
      <c r="AF12" s="1"/>
    </row>
    <row r="13" ht="18.75" customHeight="1">
      <c r="A13" s="60"/>
      <c r="B13" s="60" t="str">
        <f>F12</f>
        <v>MAX</v>
      </c>
      <c r="C13" s="1"/>
      <c r="D13" s="1"/>
      <c r="E13" s="7"/>
      <c r="F13" s="154"/>
      <c r="G13" s="155"/>
      <c r="H13" s="186">
        <v>5.0</v>
      </c>
      <c r="I13" s="186">
        <v>4.0</v>
      </c>
      <c r="J13" s="186">
        <v>4.0</v>
      </c>
      <c r="K13" s="186">
        <v>3.0</v>
      </c>
      <c r="L13" s="186">
        <v>4.0</v>
      </c>
      <c r="M13" s="186">
        <v>6.0</v>
      </c>
      <c r="N13" s="186">
        <v>5.0</v>
      </c>
      <c r="O13" s="187">
        <v>5.0</v>
      </c>
      <c r="P13" s="186">
        <v>6.0</v>
      </c>
      <c r="Q13" s="156">
        <f>IF(H13="","",SUM(H13:P13))</f>
        <v>42</v>
      </c>
      <c r="R13" s="160"/>
      <c r="S13" s="186">
        <v>4.0</v>
      </c>
      <c r="T13" s="186">
        <v>4.0</v>
      </c>
      <c r="U13" s="186">
        <v>6.0</v>
      </c>
      <c r="V13" s="186">
        <v>5.0</v>
      </c>
      <c r="W13" s="186">
        <v>5.0</v>
      </c>
      <c r="X13" s="186">
        <v>5.0</v>
      </c>
      <c r="Y13" s="186">
        <v>4.0</v>
      </c>
      <c r="Z13" s="186">
        <v>4.0</v>
      </c>
      <c r="AA13" s="187">
        <v>6.0</v>
      </c>
      <c r="AB13" s="156">
        <f>IF(S13="","",SUM(S13:AA13))</f>
        <v>43</v>
      </c>
      <c r="AC13" s="156">
        <f>IFERROR(Q13+AB13,"")</f>
        <v>85</v>
      </c>
      <c r="AD13" s="12"/>
      <c r="AE13" s="1"/>
      <c r="AF13" s="1"/>
    </row>
    <row r="14" ht="6.75" customHeight="1">
      <c r="A14" s="60"/>
      <c r="B14" s="60"/>
      <c r="C14" s="1"/>
      <c r="D14" s="1"/>
      <c r="E14" s="7"/>
      <c r="F14" s="16"/>
      <c r="G14" s="1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12"/>
      <c r="AE14" s="1"/>
      <c r="AF14" s="1"/>
    </row>
    <row r="15" ht="27.75" customHeight="1">
      <c r="A15" s="60"/>
      <c r="B15" s="60"/>
      <c r="C15" s="1"/>
      <c r="D15" s="1"/>
      <c r="E15" s="7"/>
      <c r="F15" s="161" t="s">
        <v>143</v>
      </c>
      <c r="G15" s="142"/>
      <c r="H15" s="162">
        <f t="shared" ref="H15:P15" si="8">IF(H11="","",MIN(IF(H10="**",H11-2,IF(H10="*",H11-1,H11)),(IF(H12="**",H13-2,IF(H12="*",H13-1,H13)))))</f>
        <v>3</v>
      </c>
      <c r="I15" s="162">
        <f t="shared" si="8"/>
        <v>3</v>
      </c>
      <c r="J15" s="162">
        <f t="shared" si="8"/>
        <v>3</v>
      </c>
      <c r="K15" s="162">
        <f t="shared" si="8"/>
        <v>3</v>
      </c>
      <c r="L15" s="162">
        <f t="shared" si="8"/>
        <v>3</v>
      </c>
      <c r="M15" s="162">
        <f t="shared" si="8"/>
        <v>3</v>
      </c>
      <c r="N15" s="162">
        <f t="shared" si="8"/>
        <v>4</v>
      </c>
      <c r="O15" s="163">
        <f t="shared" si="8"/>
        <v>4</v>
      </c>
      <c r="P15" s="162">
        <f t="shared" si="8"/>
        <v>5</v>
      </c>
      <c r="Q15" s="162">
        <f t="shared" ref="Q15:Q16" si="11">IF(H15="","",SUM(H15:P15))</f>
        <v>31</v>
      </c>
      <c r="R15" s="23"/>
      <c r="S15" s="162">
        <f t="shared" ref="S15:AA15" si="9">IF(S11="","",MIN(IF(S10="**",S11-2,IF(S10="*",S11-1,S11)),(IF(S12="**",S13-2,IF(S12="*",S13-1,S13)))))</f>
        <v>3</v>
      </c>
      <c r="T15" s="162">
        <f t="shared" si="9"/>
        <v>4</v>
      </c>
      <c r="U15" s="162">
        <f t="shared" si="9"/>
        <v>5</v>
      </c>
      <c r="V15" s="162">
        <f t="shared" si="9"/>
        <v>4</v>
      </c>
      <c r="W15" s="162">
        <f t="shared" si="9"/>
        <v>4</v>
      </c>
      <c r="X15" s="162">
        <f t="shared" si="9"/>
        <v>3</v>
      </c>
      <c r="Y15" s="162">
        <f t="shared" si="9"/>
        <v>3</v>
      </c>
      <c r="Z15" s="162">
        <f t="shared" si="9"/>
        <v>3</v>
      </c>
      <c r="AA15" s="163">
        <f t="shared" si="9"/>
        <v>5</v>
      </c>
      <c r="AB15" s="162">
        <f t="shared" ref="AB15:AB16" si="13">IF(S15="","",SUM(S15:AA15))</f>
        <v>34</v>
      </c>
      <c r="AC15" s="162">
        <f t="shared" ref="AC15:AC16" si="14">IF(AB15="","",AB15+Q15)</f>
        <v>65</v>
      </c>
      <c r="AD15" s="12"/>
      <c r="AE15" s="1"/>
      <c r="AF15" s="1"/>
    </row>
    <row r="16" ht="27.75" customHeight="1">
      <c r="A16" s="60"/>
      <c r="B16" s="60"/>
      <c r="C16" s="1"/>
      <c r="D16" s="1"/>
      <c r="E16" s="7"/>
      <c r="F16" s="161" t="s">
        <v>144</v>
      </c>
      <c r="G16" s="142"/>
      <c r="H16" s="164">
        <f t="shared" ref="H16:P16" si="10">IF(H15="","",IF(H15=H23,0.5,IF(H15&lt;H23,1,0)))</f>
        <v>0.5</v>
      </c>
      <c r="I16" s="164">
        <f t="shared" si="10"/>
        <v>1</v>
      </c>
      <c r="J16" s="164">
        <f t="shared" si="10"/>
        <v>0.5</v>
      </c>
      <c r="K16" s="164">
        <f t="shared" si="10"/>
        <v>0.5</v>
      </c>
      <c r="L16" s="164">
        <f t="shared" si="10"/>
        <v>1</v>
      </c>
      <c r="M16" s="164">
        <f t="shared" si="10"/>
        <v>1</v>
      </c>
      <c r="N16" s="164">
        <f t="shared" si="10"/>
        <v>1</v>
      </c>
      <c r="O16" s="165">
        <f t="shared" si="10"/>
        <v>0.5</v>
      </c>
      <c r="P16" s="164">
        <f t="shared" si="10"/>
        <v>0</v>
      </c>
      <c r="Q16" s="164">
        <f t="shared" si="11"/>
        <v>6</v>
      </c>
      <c r="R16" s="23"/>
      <c r="S16" s="164">
        <f t="shared" ref="S16:AA16" si="12">IF(S15="","",IF(S15=S23,0.5,IF(S15&lt;S23,1,0)))</f>
        <v>1</v>
      </c>
      <c r="T16" s="164">
        <f t="shared" si="12"/>
        <v>0</v>
      </c>
      <c r="U16" s="164">
        <f t="shared" si="12"/>
        <v>0.5</v>
      </c>
      <c r="V16" s="164">
        <f t="shared" si="12"/>
        <v>0</v>
      </c>
      <c r="W16" s="164">
        <f t="shared" si="12"/>
        <v>1</v>
      </c>
      <c r="X16" s="164">
        <f t="shared" si="12"/>
        <v>1</v>
      </c>
      <c r="Y16" s="164">
        <f t="shared" si="12"/>
        <v>0</v>
      </c>
      <c r="Z16" s="164">
        <f t="shared" si="12"/>
        <v>0</v>
      </c>
      <c r="AA16" s="165">
        <f t="shared" si="12"/>
        <v>0.5</v>
      </c>
      <c r="AB16" s="164">
        <f t="shared" si="13"/>
        <v>4</v>
      </c>
      <c r="AC16" s="164">
        <f t="shared" si="14"/>
        <v>10</v>
      </c>
      <c r="AD16" s="12"/>
      <c r="AE16" s="1"/>
      <c r="AF16" s="1"/>
    </row>
    <row r="17" ht="6.75" customHeight="1">
      <c r="A17" s="60"/>
      <c r="B17" s="60"/>
      <c r="C17" s="1"/>
      <c r="D17" s="1"/>
      <c r="E17" s="7"/>
      <c r="F17" s="16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12"/>
      <c r="AE17" s="1"/>
      <c r="AF17" s="1"/>
    </row>
    <row r="18" ht="11.25" customHeight="1">
      <c r="A18" s="60"/>
      <c r="B18" s="60"/>
      <c r="C18" s="1"/>
      <c r="D18" s="1"/>
      <c r="E18" s="7"/>
      <c r="F18" s="183" t="s">
        <v>81</v>
      </c>
      <c r="G18" s="150">
        <f>IFERROR(VLOOKUP(F18,HANDICAPS!$B$8:$G$23,$D$3,FALSE),"")</f>
        <v>7</v>
      </c>
      <c r="H18" s="151" t="str">
        <f t="shared" ref="H18:P18" si="15">IFERROR(IF($G18&gt;18,IF(($G18-18)&gt;H$33,"**","*"),IF($G18&gt;=H$8,"*","")),"")</f>
        <v>*</v>
      </c>
      <c r="I18" s="151" t="str">
        <f t="shared" si="15"/>
        <v/>
      </c>
      <c r="J18" s="151" t="str">
        <f t="shared" si="15"/>
        <v>*</v>
      </c>
      <c r="K18" s="151" t="str">
        <f t="shared" si="15"/>
        <v/>
      </c>
      <c r="L18" s="151" t="str">
        <f t="shared" si="15"/>
        <v/>
      </c>
      <c r="M18" s="151" t="str">
        <f t="shared" si="15"/>
        <v>*</v>
      </c>
      <c r="N18" s="151" t="str">
        <f t="shared" si="15"/>
        <v/>
      </c>
      <c r="O18" s="152" t="str">
        <f t="shared" si="15"/>
        <v/>
      </c>
      <c r="P18" s="151" t="str">
        <f t="shared" si="15"/>
        <v>*</v>
      </c>
      <c r="Q18" s="151"/>
      <c r="R18" s="153"/>
      <c r="S18" s="151" t="str">
        <f t="shared" ref="S18:AA18" si="16">IFERROR(IF($G18&gt;18,IF(($G18-18)&gt;S$33,"**","*"),IF($G18&gt;=S$8,"*","")),"")</f>
        <v/>
      </c>
      <c r="T18" s="151" t="str">
        <f t="shared" si="16"/>
        <v/>
      </c>
      <c r="U18" s="151" t="str">
        <f t="shared" si="16"/>
        <v>*</v>
      </c>
      <c r="V18" s="151" t="str">
        <f t="shared" si="16"/>
        <v/>
      </c>
      <c r="W18" s="151" t="str">
        <f t="shared" si="16"/>
        <v>*</v>
      </c>
      <c r="X18" s="151" t="str">
        <f t="shared" si="16"/>
        <v/>
      </c>
      <c r="Y18" s="151" t="str">
        <f t="shared" si="16"/>
        <v>*</v>
      </c>
      <c r="Z18" s="151" t="str">
        <f t="shared" si="16"/>
        <v/>
      </c>
      <c r="AA18" s="152" t="str">
        <f t="shared" si="16"/>
        <v/>
      </c>
      <c r="AB18" s="151"/>
      <c r="AC18" s="151" t="str">
        <f>IF(AB18="","",SUM(Q18,AB18))</f>
        <v/>
      </c>
      <c r="AD18" s="12"/>
      <c r="AE18" s="1"/>
      <c r="AF18" s="1"/>
    </row>
    <row r="19" ht="18.75" customHeight="1">
      <c r="A19" s="60"/>
      <c r="B19" s="60" t="str">
        <f>F18</f>
        <v>ZACH</v>
      </c>
      <c r="C19" s="1"/>
      <c r="D19" s="1"/>
      <c r="E19" s="7"/>
      <c r="F19" s="154"/>
      <c r="G19" s="155"/>
      <c r="H19" s="186">
        <v>4.0</v>
      </c>
      <c r="I19" s="186">
        <v>5.0</v>
      </c>
      <c r="J19" s="186">
        <v>4.0</v>
      </c>
      <c r="K19" s="186">
        <v>3.0</v>
      </c>
      <c r="L19" s="186">
        <v>7.0</v>
      </c>
      <c r="M19" s="186">
        <v>7.0</v>
      </c>
      <c r="N19" s="186">
        <v>5.0</v>
      </c>
      <c r="O19" s="187">
        <v>4.0</v>
      </c>
      <c r="P19" s="186">
        <v>3.0</v>
      </c>
      <c r="Q19" s="156">
        <f>IF(H19="","",SUM(H19:P19))</f>
        <v>42</v>
      </c>
      <c r="R19" s="153"/>
      <c r="S19" s="186">
        <v>4.0</v>
      </c>
      <c r="T19" s="186">
        <v>3.0</v>
      </c>
      <c r="U19" s="186">
        <v>6.0</v>
      </c>
      <c r="V19" s="186">
        <v>4.0</v>
      </c>
      <c r="W19" s="186">
        <v>6.0</v>
      </c>
      <c r="X19" s="186">
        <v>5.0</v>
      </c>
      <c r="Y19" s="186">
        <v>3.0</v>
      </c>
      <c r="Z19" s="186">
        <v>4.0</v>
      </c>
      <c r="AA19" s="187">
        <v>5.0</v>
      </c>
      <c r="AB19" s="156">
        <f>IF(S19="","",SUM(S19:AA19))</f>
        <v>40</v>
      </c>
      <c r="AC19" s="156">
        <f>IFERROR(Q19+AB19,"")</f>
        <v>82</v>
      </c>
      <c r="AD19" s="12"/>
      <c r="AE19" s="1"/>
      <c r="AF19" s="1"/>
    </row>
    <row r="20" ht="11.25" customHeight="1">
      <c r="A20" s="60"/>
      <c r="B20" s="60"/>
      <c r="C20" s="1"/>
      <c r="D20" s="1"/>
      <c r="E20" s="7"/>
      <c r="F20" s="149" t="s">
        <v>97</v>
      </c>
      <c r="G20" s="150">
        <f>IFERROR(VLOOKUP(F20,HANDICAPS!$B$8:$G$23,$D$3,FALSE),"")</f>
        <v>14</v>
      </c>
      <c r="H20" s="158" t="str">
        <f t="shared" ref="H20:P20" si="17">IFERROR(IF($G20&gt;18,IF(($G20-18)&gt;H$33,"**","*"),IF($G20&gt;=H$8,"*","")),"")</f>
        <v>*</v>
      </c>
      <c r="I20" s="158" t="str">
        <f t="shared" si="17"/>
        <v>*</v>
      </c>
      <c r="J20" s="158" t="str">
        <f t="shared" si="17"/>
        <v>*</v>
      </c>
      <c r="K20" s="158" t="str">
        <f t="shared" si="17"/>
        <v/>
      </c>
      <c r="L20" s="158" t="str">
        <f t="shared" si="17"/>
        <v>*</v>
      </c>
      <c r="M20" s="158" t="str">
        <f t="shared" si="17"/>
        <v>*</v>
      </c>
      <c r="N20" s="158" t="str">
        <f t="shared" si="17"/>
        <v>*</v>
      </c>
      <c r="O20" s="159" t="str">
        <f t="shared" si="17"/>
        <v/>
      </c>
      <c r="P20" s="158" t="str">
        <f t="shared" si="17"/>
        <v>*</v>
      </c>
      <c r="Q20" s="158"/>
      <c r="R20" s="158"/>
      <c r="S20" s="158" t="str">
        <f t="shared" ref="S20:AA20" si="18">IFERROR(IF($G20&gt;18,IF(($G20-18)&gt;S$33,"**","*"),IF($G20&gt;=S$8,"*","")),"")</f>
        <v>*</v>
      </c>
      <c r="T20" s="158" t="str">
        <f t="shared" si="18"/>
        <v/>
      </c>
      <c r="U20" s="158" t="str">
        <f t="shared" si="18"/>
        <v>*</v>
      </c>
      <c r="V20" s="158" t="str">
        <f t="shared" si="18"/>
        <v>*</v>
      </c>
      <c r="W20" s="158" t="str">
        <f t="shared" si="18"/>
        <v>*</v>
      </c>
      <c r="X20" s="158" t="str">
        <f t="shared" si="18"/>
        <v>*</v>
      </c>
      <c r="Y20" s="158" t="str">
        <f t="shared" si="18"/>
        <v>*</v>
      </c>
      <c r="Z20" s="158" t="str">
        <f t="shared" si="18"/>
        <v/>
      </c>
      <c r="AA20" s="159" t="str">
        <f t="shared" si="18"/>
        <v>*</v>
      </c>
      <c r="AB20" s="151"/>
      <c r="AC20" s="151" t="str">
        <f>IF(AB20="","",SUM(Q20,AB20))</f>
        <v/>
      </c>
      <c r="AD20" s="12"/>
      <c r="AE20" s="1"/>
      <c r="AF20" s="1"/>
    </row>
    <row r="21" ht="18.75" customHeight="1">
      <c r="A21" s="60"/>
      <c r="B21" s="60" t="str">
        <f>F20</f>
        <v>TOM</v>
      </c>
      <c r="C21" s="1"/>
      <c r="D21" s="1"/>
      <c r="E21" s="7"/>
      <c r="F21" s="154"/>
      <c r="G21" s="155"/>
      <c r="H21" s="186">
        <v>7.0</v>
      </c>
      <c r="I21" s="186">
        <v>6.0</v>
      </c>
      <c r="J21" s="186">
        <v>5.0</v>
      </c>
      <c r="K21" s="186">
        <v>4.0</v>
      </c>
      <c r="L21" s="186">
        <v>5.0</v>
      </c>
      <c r="M21" s="186">
        <v>7.0</v>
      </c>
      <c r="N21" s="186">
        <v>6.0</v>
      </c>
      <c r="O21" s="187">
        <v>4.0</v>
      </c>
      <c r="P21" s="186">
        <v>5.0</v>
      </c>
      <c r="Q21" s="156">
        <f>IF(H21="","",SUM(H21:P21))</f>
        <v>49</v>
      </c>
      <c r="R21" s="160"/>
      <c r="S21" s="186">
        <v>6.0</v>
      </c>
      <c r="T21" s="186">
        <v>4.0</v>
      </c>
      <c r="U21" s="186">
        <v>6.0</v>
      </c>
      <c r="V21" s="186">
        <v>4.0</v>
      </c>
      <c r="W21" s="186">
        <v>6.0</v>
      </c>
      <c r="X21" s="186">
        <v>6.0</v>
      </c>
      <c r="Y21" s="186">
        <v>6.0</v>
      </c>
      <c r="Z21" s="186">
        <v>2.0</v>
      </c>
      <c r="AA21" s="187">
        <v>6.0</v>
      </c>
      <c r="AB21" s="156">
        <f>IF(S21="","",SUM(S21:AA21))</f>
        <v>46</v>
      </c>
      <c r="AC21" s="156">
        <f>IFERROR(Q21+AB21,"")</f>
        <v>95</v>
      </c>
      <c r="AD21" s="12"/>
      <c r="AE21" s="1"/>
      <c r="AF21" s="1"/>
    </row>
    <row r="22" ht="6.75" customHeight="1">
      <c r="A22" s="60"/>
      <c r="B22" s="60"/>
      <c r="C22" s="1"/>
      <c r="D22" s="1"/>
      <c r="E22" s="7"/>
      <c r="F22" s="16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2"/>
      <c r="AE22" s="1"/>
      <c r="AF22" s="1"/>
    </row>
    <row r="23" ht="27.75" customHeight="1">
      <c r="A23" s="60"/>
      <c r="B23" s="60"/>
      <c r="C23" s="1"/>
      <c r="D23" s="1"/>
      <c r="E23" s="7"/>
      <c r="F23" s="161" t="s">
        <v>143</v>
      </c>
      <c r="G23" s="142"/>
      <c r="H23" s="162">
        <f t="shared" ref="H23:P23" si="19">IF(H19="","",MIN(IF(H18="**",H19-2,IF(H18="*",H19-1,H19)),(IF(H20="**",H21-2,IF(H20="*",H21-1,H21)))))</f>
        <v>3</v>
      </c>
      <c r="I23" s="162">
        <f t="shared" si="19"/>
        <v>5</v>
      </c>
      <c r="J23" s="162">
        <f t="shared" si="19"/>
        <v>3</v>
      </c>
      <c r="K23" s="162">
        <f t="shared" si="19"/>
        <v>3</v>
      </c>
      <c r="L23" s="162">
        <f t="shared" si="19"/>
        <v>4</v>
      </c>
      <c r="M23" s="162">
        <f t="shared" si="19"/>
        <v>6</v>
      </c>
      <c r="N23" s="162">
        <f t="shared" si="19"/>
        <v>5</v>
      </c>
      <c r="O23" s="163">
        <f t="shared" si="19"/>
        <v>4</v>
      </c>
      <c r="P23" s="162">
        <f t="shared" si="19"/>
        <v>2</v>
      </c>
      <c r="Q23" s="162">
        <f t="shared" ref="Q23:Q24" si="22">IF(H23="","",SUM(H23:P23))</f>
        <v>35</v>
      </c>
      <c r="R23" s="23"/>
      <c r="S23" s="162">
        <f t="shared" ref="S23:AA23" si="20">IF(S19="","",MIN(IF(S18="**",S19-2,IF(S18="*",S19-1,S19)),(IF(S20="**",S21-2,IF(S20="*",S21-1,S21)))))</f>
        <v>4</v>
      </c>
      <c r="T23" s="162">
        <f t="shared" si="20"/>
        <v>3</v>
      </c>
      <c r="U23" s="162">
        <f t="shared" si="20"/>
        <v>5</v>
      </c>
      <c r="V23" s="162">
        <f t="shared" si="20"/>
        <v>3</v>
      </c>
      <c r="W23" s="162">
        <f t="shared" si="20"/>
        <v>5</v>
      </c>
      <c r="X23" s="162">
        <f t="shared" si="20"/>
        <v>5</v>
      </c>
      <c r="Y23" s="162">
        <f t="shared" si="20"/>
        <v>2</v>
      </c>
      <c r="Z23" s="162">
        <f t="shared" si="20"/>
        <v>2</v>
      </c>
      <c r="AA23" s="163">
        <f t="shared" si="20"/>
        <v>5</v>
      </c>
      <c r="AB23" s="162">
        <f t="shared" ref="AB23:AB24" si="24">IF(S23="","",SUM(S23:AA23))</f>
        <v>34</v>
      </c>
      <c r="AC23" s="162">
        <f t="shared" ref="AC23:AC24" si="25">IF(AB23="","",AB23+Q23)</f>
        <v>69</v>
      </c>
      <c r="AD23" s="12"/>
      <c r="AE23" s="1"/>
      <c r="AF23" s="1"/>
    </row>
    <row r="24" ht="27.75" customHeight="1">
      <c r="A24" s="60"/>
      <c r="B24" s="60"/>
      <c r="C24" s="1"/>
      <c r="D24" s="1"/>
      <c r="E24" s="7"/>
      <c r="F24" s="161" t="s">
        <v>144</v>
      </c>
      <c r="G24" s="142"/>
      <c r="H24" s="164">
        <f t="shared" ref="H24:P24" si="21">IF(H23="","",IF(H23=H15,0.5,IF(H23&lt;H15,1,0)))</f>
        <v>0.5</v>
      </c>
      <c r="I24" s="164">
        <f t="shared" si="21"/>
        <v>0</v>
      </c>
      <c r="J24" s="164">
        <f t="shared" si="21"/>
        <v>0.5</v>
      </c>
      <c r="K24" s="164">
        <f t="shared" si="21"/>
        <v>0.5</v>
      </c>
      <c r="L24" s="164">
        <f t="shared" si="21"/>
        <v>0</v>
      </c>
      <c r="M24" s="164">
        <f t="shared" si="21"/>
        <v>0</v>
      </c>
      <c r="N24" s="164">
        <f t="shared" si="21"/>
        <v>0</v>
      </c>
      <c r="O24" s="165">
        <f t="shared" si="21"/>
        <v>0.5</v>
      </c>
      <c r="P24" s="164">
        <f t="shared" si="21"/>
        <v>1</v>
      </c>
      <c r="Q24" s="164">
        <f t="shared" si="22"/>
        <v>3</v>
      </c>
      <c r="R24" s="23"/>
      <c r="S24" s="164">
        <f t="shared" ref="S24:AA24" si="23">IF(S23="","",IF(S23=S15,0.5,IF(S23&lt;S15,1,0)))</f>
        <v>0</v>
      </c>
      <c r="T24" s="164">
        <f t="shared" si="23"/>
        <v>1</v>
      </c>
      <c r="U24" s="164">
        <f t="shared" si="23"/>
        <v>0.5</v>
      </c>
      <c r="V24" s="164">
        <f t="shared" si="23"/>
        <v>1</v>
      </c>
      <c r="W24" s="164">
        <f t="shared" si="23"/>
        <v>0</v>
      </c>
      <c r="X24" s="164">
        <f t="shared" si="23"/>
        <v>0</v>
      </c>
      <c r="Y24" s="164">
        <f t="shared" si="23"/>
        <v>1</v>
      </c>
      <c r="Z24" s="164">
        <f t="shared" si="23"/>
        <v>1</v>
      </c>
      <c r="AA24" s="165">
        <f t="shared" si="23"/>
        <v>0.5</v>
      </c>
      <c r="AB24" s="164">
        <f t="shared" si="24"/>
        <v>5</v>
      </c>
      <c r="AC24" s="164">
        <f t="shared" si="25"/>
        <v>8</v>
      </c>
      <c r="AD24" s="12"/>
      <c r="AE24" s="1"/>
      <c r="AF24" s="1"/>
    </row>
    <row r="25" ht="6.75" customHeight="1">
      <c r="A25" s="60"/>
      <c r="B25" s="60"/>
      <c r="C25" s="1"/>
      <c r="D25" s="1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7"/>
      <c r="AE25" s="1"/>
      <c r="AF25" s="1"/>
    </row>
    <row r="26" ht="60.0" customHeight="1">
      <c r="A26" s="60"/>
      <c r="B26" s="6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6.75" customHeight="1">
      <c r="A27" s="60"/>
      <c r="B27" s="60"/>
      <c r="C27" s="1"/>
      <c r="D27" s="1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  <c r="AA27" s="4"/>
      <c r="AB27" s="4"/>
      <c r="AC27" s="4"/>
      <c r="AD27" s="5"/>
      <c r="AE27" s="1"/>
      <c r="AF27" s="1"/>
    </row>
    <row r="28" ht="15.75" customHeight="1">
      <c r="A28" s="60"/>
      <c r="B28" s="60"/>
      <c r="C28" s="1"/>
      <c r="D28" s="1"/>
      <c r="E28" s="7"/>
      <c r="F28" s="140" t="str">
        <f>F3</f>
        <v>MICHIGAN OPEN 2022 - ROUND 2 - LINKS - QUARRY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2"/>
      <c r="AD28" s="12"/>
      <c r="AE28" s="1"/>
      <c r="AF28" s="1"/>
    </row>
    <row r="29" ht="18.75" customHeight="1">
      <c r="A29" s="60"/>
      <c r="B29" s="60"/>
      <c r="C29" s="1"/>
      <c r="D29" s="1"/>
      <c r="E29" s="7"/>
      <c r="F29" s="1"/>
      <c r="G29" s="1"/>
      <c r="H29" s="1"/>
      <c r="I29" s="1"/>
      <c r="J29" s="13" t="str">
        <f>J4</f>
        <v>LINKS</v>
      </c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3" t="str">
        <f>V4</f>
        <v>QUARRY</v>
      </c>
      <c r="W29" s="14"/>
      <c r="X29" s="14"/>
      <c r="Y29" s="14"/>
      <c r="Z29" s="14"/>
      <c r="AA29" s="1"/>
      <c r="AB29" s="1"/>
      <c r="AC29" s="1"/>
      <c r="AD29" s="12"/>
      <c r="AE29" s="1"/>
      <c r="AF29" s="1"/>
    </row>
    <row r="30" ht="15.0" customHeight="1">
      <c r="A30" s="60"/>
      <c r="B30" s="60"/>
      <c r="C30" s="1"/>
      <c r="D30" s="1"/>
      <c r="E30" s="7"/>
      <c r="F30" s="1"/>
      <c r="G30" s="143" t="str">
        <f t="shared" ref="G30:Q30" si="26">G5</f>
        <v>HOLE</v>
      </c>
      <c r="H30" s="143">
        <f t="shared" si="26"/>
        <v>1</v>
      </c>
      <c r="I30" s="143">
        <f t="shared" si="26"/>
        <v>2</v>
      </c>
      <c r="J30" s="143">
        <f t="shared" si="26"/>
        <v>3</v>
      </c>
      <c r="K30" s="143">
        <f t="shared" si="26"/>
        <v>4</v>
      </c>
      <c r="L30" s="143">
        <f t="shared" si="26"/>
        <v>5</v>
      </c>
      <c r="M30" s="143">
        <f t="shared" si="26"/>
        <v>6</v>
      </c>
      <c r="N30" s="143">
        <f t="shared" si="26"/>
        <v>7</v>
      </c>
      <c r="O30" s="143">
        <f t="shared" si="26"/>
        <v>8</v>
      </c>
      <c r="P30" s="143">
        <f t="shared" si="26"/>
        <v>9</v>
      </c>
      <c r="Q30" s="143" t="str">
        <f t="shared" si="26"/>
        <v>OUT</v>
      </c>
      <c r="R30" s="16"/>
      <c r="S30" s="143">
        <f t="shared" ref="S30:AC30" si="27">S5</f>
        <v>1</v>
      </c>
      <c r="T30" s="143">
        <f t="shared" si="27"/>
        <v>2</v>
      </c>
      <c r="U30" s="143">
        <f t="shared" si="27"/>
        <v>3</v>
      </c>
      <c r="V30" s="143">
        <f t="shared" si="27"/>
        <v>4</v>
      </c>
      <c r="W30" s="143">
        <f t="shared" si="27"/>
        <v>5</v>
      </c>
      <c r="X30" s="143">
        <f t="shared" si="27"/>
        <v>6</v>
      </c>
      <c r="Y30" s="143">
        <f t="shared" si="27"/>
        <v>7</v>
      </c>
      <c r="Z30" s="143">
        <f t="shared" si="27"/>
        <v>8</v>
      </c>
      <c r="AA30" s="143">
        <f t="shared" si="27"/>
        <v>9</v>
      </c>
      <c r="AB30" s="143" t="str">
        <f t="shared" si="27"/>
        <v>IN</v>
      </c>
      <c r="AC30" s="143" t="str">
        <f t="shared" si="27"/>
        <v>TOTAL</v>
      </c>
      <c r="AD30" s="12"/>
      <c r="AE30" s="1"/>
      <c r="AF30" s="1"/>
    </row>
    <row r="31" ht="15.0" customHeight="1">
      <c r="A31" s="60"/>
      <c r="B31" s="60"/>
      <c r="C31" s="1"/>
      <c r="D31" s="1"/>
      <c r="E31" s="7"/>
      <c r="F31" s="144" t="s">
        <v>154</v>
      </c>
      <c r="G31" s="182" t="str">
        <f t="shared" ref="G31:Q31" si="28">G6</f>
        <v>ORANGE</v>
      </c>
      <c r="H31" s="182">
        <f t="shared" si="28"/>
        <v>375</v>
      </c>
      <c r="I31" s="182">
        <f t="shared" si="28"/>
        <v>383</v>
      </c>
      <c r="J31" s="182">
        <f t="shared" si="28"/>
        <v>368</v>
      </c>
      <c r="K31" s="182">
        <f t="shared" si="28"/>
        <v>151</v>
      </c>
      <c r="L31" s="182">
        <f t="shared" si="28"/>
        <v>332</v>
      </c>
      <c r="M31" s="182">
        <f t="shared" si="28"/>
        <v>352</v>
      </c>
      <c r="N31" s="182">
        <f t="shared" si="28"/>
        <v>490</v>
      </c>
      <c r="O31" s="182">
        <f t="shared" si="28"/>
        <v>175</v>
      </c>
      <c r="P31" s="182">
        <f t="shared" si="28"/>
        <v>490</v>
      </c>
      <c r="Q31" s="182">
        <f t="shared" si="28"/>
        <v>3116</v>
      </c>
      <c r="R31" s="17"/>
      <c r="S31" s="182">
        <f t="shared" ref="S31:AA31" si="29">S6</f>
        <v>355</v>
      </c>
      <c r="T31" s="182">
        <f t="shared" si="29"/>
        <v>146</v>
      </c>
      <c r="U31" s="182">
        <f t="shared" si="29"/>
        <v>523</v>
      </c>
      <c r="V31" s="182">
        <f t="shared" si="29"/>
        <v>412</v>
      </c>
      <c r="W31" s="182">
        <f t="shared" si="29"/>
        <v>468</v>
      </c>
      <c r="X31" s="182">
        <f t="shared" si="29"/>
        <v>312</v>
      </c>
      <c r="Y31" s="182">
        <f t="shared" si="29"/>
        <v>366</v>
      </c>
      <c r="Z31" s="182">
        <f t="shared" si="29"/>
        <v>172</v>
      </c>
      <c r="AA31" s="182">
        <f t="shared" si="29"/>
        <v>358</v>
      </c>
      <c r="AB31" s="182">
        <f>SUM(S31:AA31)</f>
        <v>3112</v>
      </c>
      <c r="AC31" s="182">
        <f t="shared" ref="AC31:AC32" si="32">AB31+Q31</f>
        <v>6228</v>
      </c>
      <c r="AD31" s="12"/>
      <c r="AE31" s="1"/>
      <c r="AF31" s="1"/>
    </row>
    <row r="32" ht="15.0" customHeight="1">
      <c r="A32" s="60"/>
      <c r="B32" s="60"/>
      <c r="C32" s="1"/>
      <c r="D32" s="1"/>
      <c r="E32" s="7"/>
      <c r="F32" s="146"/>
      <c r="G32" s="147" t="str">
        <f t="shared" ref="G32:Q32" si="30">G7</f>
        <v>PAR</v>
      </c>
      <c r="H32" s="147">
        <f t="shared" si="30"/>
        <v>4</v>
      </c>
      <c r="I32" s="147">
        <f t="shared" si="30"/>
        <v>4</v>
      </c>
      <c r="J32" s="147">
        <f t="shared" si="30"/>
        <v>4</v>
      </c>
      <c r="K32" s="147">
        <f t="shared" si="30"/>
        <v>3</v>
      </c>
      <c r="L32" s="147">
        <f t="shared" si="30"/>
        <v>4</v>
      </c>
      <c r="M32" s="147">
        <f t="shared" si="30"/>
        <v>4</v>
      </c>
      <c r="N32" s="147">
        <f t="shared" si="30"/>
        <v>5</v>
      </c>
      <c r="O32" s="147">
        <f t="shared" si="30"/>
        <v>3</v>
      </c>
      <c r="P32" s="147">
        <f t="shared" si="30"/>
        <v>5</v>
      </c>
      <c r="Q32" s="147">
        <f t="shared" si="30"/>
        <v>36</v>
      </c>
      <c r="R32" s="17"/>
      <c r="S32" s="147">
        <f t="shared" ref="S32:AB32" si="31">S7</f>
        <v>4</v>
      </c>
      <c r="T32" s="147">
        <f t="shared" si="31"/>
        <v>3</v>
      </c>
      <c r="U32" s="147">
        <f t="shared" si="31"/>
        <v>5</v>
      </c>
      <c r="V32" s="147">
        <f t="shared" si="31"/>
        <v>4</v>
      </c>
      <c r="W32" s="147">
        <f t="shared" si="31"/>
        <v>5</v>
      </c>
      <c r="X32" s="147">
        <f t="shared" si="31"/>
        <v>4</v>
      </c>
      <c r="Y32" s="147">
        <f t="shared" si="31"/>
        <v>4</v>
      </c>
      <c r="Z32" s="147">
        <f t="shared" si="31"/>
        <v>3</v>
      </c>
      <c r="AA32" s="147">
        <f t="shared" si="31"/>
        <v>4</v>
      </c>
      <c r="AB32" s="147">
        <f t="shared" si="31"/>
        <v>36</v>
      </c>
      <c r="AC32" s="147">
        <f t="shared" si="32"/>
        <v>72</v>
      </c>
      <c r="AD32" s="12"/>
      <c r="AE32" s="1"/>
      <c r="AF32" s="1"/>
    </row>
    <row r="33" ht="15.0" customHeight="1">
      <c r="A33" s="60"/>
      <c r="B33" s="60"/>
      <c r="C33" s="1"/>
      <c r="D33" s="1"/>
      <c r="E33" s="7"/>
      <c r="F33" s="1"/>
      <c r="G33" s="148" t="str">
        <f t="shared" ref="G33:P33" si="33">G8</f>
        <v>HDCP</v>
      </c>
      <c r="H33" s="148">
        <f t="shared" si="33"/>
        <v>5</v>
      </c>
      <c r="I33" s="148">
        <f t="shared" si="33"/>
        <v>9</v>
      </c>
      <c r="J33" s="148">
        <f t="shared" si="33"/>
        <v>7</v>
      </c>
      <c r="K33" s="148">
        <f t="shared" si="33"/>
        <v>17</v>
      </c>
      <c r="L33" s="148">
        <f t="shared" si="33"/>
        <v>11</v>
      </c>
      <c r="M33" s="148">
        <f t="shared" si="33"/>
        <v>1</v>
      </c>
      <c r="N33" s="148">
        <f t="shared" si="33"/>
        <v>13</v>
      </c>
      <c r="O33" s="148">
        <f t="shared" si="33"/>
        <v>15</v>
      </c>
      <c r="P33" s="148">
        <f t="shared" si="33"/>
        <v>3</v>
      </c>
      <c r="Q33" s="148"/>
      <c r="R33" s="17"/>
      <c r="S33" s="148">
        <f t="shared" ref="S33:AA33" si="34">S8</f>
        <v>14</v>
      </c>
      <c r="T33" s="148">
        <f t="shared" si="34"/>
        <v>18</v>
      </c>
      <c r="U33" s="148">
        <f t="shared" si="34"/>
        <v>6</v>
      </c>
      <c r="V33" s="148">
        <f t="shared" si="34"/>
        <v>10</v>
      </c>
      <c r="W33" s="148">
        <f t="shared" si="34"/>
        <v>2</v>
      </c>
      <c r="X33" s="148">
        <f t="shared" si="34"/>
        <v>12</v>
      </c>
      <c r="Y33" s="148">
        <f t="shared" si="34"/>
        <v>4</v>
      </c>
      <c r="Z33" s="148">
        <f t="shared" si="34"/>
        <v>16</v>
      </c>
      <c r="AA33" s="148">
        <f t="shared" si="34"/>
        <v>8</v>
      </c>
      <c r="AB33" s="148"/>
      <c r="AC33" s="148"/>
      <c r="AD33" s="12"/>
      <c r="AE33" s="1"/>
      <c r="AF33" s="1"/>
    </row>
    <row r="34" ht="6.75" customHeight="1">
      <c r="A34" s="60"/>
      <c r="B34" s="60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2"/>
      <c r="AE34" s="1"/>
      <c r="AF34" s="1"/>
    </row>
    <row r="35" ht="11.25" customHeight="1">
      <c r="A35" s="60"/>
      <c r="B35" s="60"/>
      <c r="C35" s="1"/>
      <c r="D35" s="1"/>
      <c r="E35" s="7"/>
      <c r="F35" s="183" t="s">
        <v>121</v>
      </c>
      <c r="G35" s="150">
        <f>IFERROR(VLOOKUP(F35,HANDICAPS!$B$8:$G$23,$D$3,FALSE),"")</f>
        <v>0</v>
      </c>
      <c r="H35" s="151" t="str">
        <f t="shared" ref="H35:P35" si="35">IFERROR(IF($G35&gt;18,IF(($G35-18)&gt;H$33,"**","*"),IF($G35&gt;=H$8,"*","")),"")</f>
        <v/>
      </c>
      <c r="I35" s="151" t="str">
        <f t="shared" si="35"/>
        <v/>
      </c>
      <c r="J35" s="151" t="str">
        <f t="shared" si="35"/>
        <v/>
      </c>
      <c r="K35" s="151" t="str">
        <f t="shared" si="35"/>
        <v/>
      </c>
      <c r="L35" s="151" t="str">
        <f t="shared" si="35"/>
        <v/>
      </c>
      <c r="M35" s="151" t="str">
        <f t="shared" si="35"/>
        <v/>
      </c>
      <c r="N35" s="151" t="str">
        <f t="shared" si="35"/>
        <v/>
      </c>
      <c r="O35" s="152" t="str">
        <f t="shared" si="35"/>
        <v/>
      </c>
      <c r="P35" s="151" t="str">
        <f t="shared" si="35"/>
        <v/>
      </c>
      <c r="Q35" s="151"/>
      <c r="R35" s="153"/>
      <c r="S35" s="151" t="str">
        <f t="shared" ref="S35:AA35" si="36">IFERROR(IF($G35&gt;18,IF(($G35-18)&gt;S$33,"**","*"),IF($G35&gt;=S$8,"*","")),"")</f>
        <v/>
      </c>
      <c r="T35" s="151" t="str">
        <f t="shared" si="36"/>
        <v/>
      </c>
      <c r="U35" s="151" t="str">
        <f t="shared" si="36"/>
        <v/>
      </c>
      <c r="V35" s="151" t="str">
        <f t="shared" si="36"/>
        <v/>
      </c>
      <c r="W35" s="151" t="str">
        <f t="shared" si="36"/>
        <v/>
      </c>
      <c r="X35" s="151" t="str">
        <f t="shared" si="36"/>
        <v/>
      </c>
      <c r="Y35" s="151" t="str">
        <f t="shared" si="36"/>
        <v/>
      </c>
      <c r="Z35" s="151" t="str">
        <f t="shared" si="36"/>
        <v/>
      </c>
      <c r="AA35" s="152" t="str">
        <f t="shared" si="36"/>
        <v/>
      </c>
      <c r="AB35" s="151"/>
      <c r="AC35" s="151" t="str">
        <f>IF(AB35="","",SUM(Q35,AB35))</f>
        <v/>
      </c>
      <c r="AD35" s="12"/>
      <c r="AE35" s="1"/>
      <c r="AF35" s="1"/>
    </row>
    <row r="36" ht="18.75" customHeight="1">
      <c r="A36" s="60"/>
      <c r="B36" s="60" t="str">
        <f>F35</f>
        <v>DEREK</v>
      </c>
      <c r="C36" s="1"/>
      <c r="D36" s="1"/>
      <c r="E36" s="7"/>
      <c r="F36" s="154"/>
      <c r="G36" s="155"/>
      <c r="H36" s="186">
        <v>4.0</v>
      </c>
      <c r="I36" s="186">
        <v>4.0</v>
      </c>
      <c r="J36" s="186">
        <v>3.0</v>
      </c>
      <c r="K36" s="186">
        <v>3.0</v>
      </c>
      <c r="L36" s="186">
        <v>3.0</v>
      </c>
      <c r="M36" s="186">
        <v>5.0</v>
      </c>
      <c r="N36" s="186">
        <v>4.0</v>
      </c>
      <c r="O36" s="187">
        <v>3.0</v>
      </c>
      <c r="P36" s="186">
        <v>6.0</v>
      </c>
      <c r="Q36" s="156">
        <f>IF(H36="","",SUM(H36:P36))</f>
        <v>35</v>
      </c>
      <c r="R36" s="153"/>
      <c r="S36" s="186">
        <v>3.0</v>
      </c>
      <c r="T36" s="186">
        <v>4.0</v>
      </c>
      <c r="U36" s="186">
        <v>5.0</v>
      </c>
      <c r="V36" s="186">
        <v>4.0</v>
      </c>
      <c r="W36" s="186">
        <v>6.0</v>
      </c>
      <c r="X36" s="186">
        <v>5.0</v>
      </c>
      <c r="Y36" s="186">
        <v>5.0</v>
      </c>
      <c r="Z36" s="186">
        <v>3.0</v>
      </c>
      <c r="AA36" s="187">
        <v>3.0</v>
      </c>
      <c r="AB36" s="156">
        <f>IF(S36="","",SUM(S36:AA36))</f>
        <v>38</v>
      </c>
      <c r="AC36" s="156">
        <f>IFERROR(Q36+AB36,"")</f>
        <v>73</v>
      </c>
      <c r="AD36" s="12"/>
      <c r="AE36" s="1"/>
      <c r="AF36" s="1"/>
    </row>
    <row r="37" ht="11.25" customHeight="1">
      <c r="A37" s="60"/>
      <c r="B37" s="60"/>
      <c r="C37" s="1"/>
      <c r="D37" s="1"/>
      <c r="E37" s="7"/>
      <c r="F37" s="183" t="s">
        <v>79</v>
      </c>
      <c r="G37" s="150">
        <f>IFERROR(VLOOKUP(F37,HANDICAPS!$B$8:$G$23,$D$3,FALSE),"")</f>
        <v>13</v>
      </c>
      <c r="H37" s="158" t="str">
        <f t="shared" ref="H37:P37" si="37">IFERROR(IF($G37&gt;18,IF(($G37-18)&gt;H$33,"**","*"),IF($G37&gt;=H$8,"*","")),"")</f>
        <v>*</v>
      </c>
      <c r="I37" s="158" t="str">
        <f t="shared" si="37"/>
        <v>*</v>
      </c>
      <c r="J37" s="158" t="str">
        <f t="shared" si="37"/>
        <v>*</v>
      </c>
      <c r="K37" s="158" t="str">
        <f t="shared" si="37"/>
        <v/>
      </c>
      <c r="L37" s="158" t="str">
        <f t="shared" si="37"/>
        <v>*</v>
      </c>
      <c r="M37" s="158" t="str">
        <f t="shared" si="37"/>
        <v>*</v>
      </c>
      <c r="N37" s="158" t="str">
        <f t="shared" si="37"/>
        <v>*</v>
      </c>
      <c r="O37" s="159" t="str">
        <f t="shared" si="37"/>
        <v/>
      </c>
      <c r="P37" s="158" t="str">
        <f t="shared" si="37"/>
        <v>*</v>
      </c>
      <c r="Q37" s="158"/>
      <c r="R37" s="158"/>
      <c r="S37" s="158" t="str">
        <f t="shared" ref="S37:AA37" si="38">IFERROR(IF($G37&gt;18,IF(($G37-18)&gt;S$33,"**","*"),IF($G37&gt;=S$8,"*","")),"")</f>
        <v/>
      </c>
      <c r="T37" s="158" t="str">
        <f t="shared" si="38"/>
        <v/>
      </c>
      <c r="U37" s="158" t="str">
        <f t="shared" si="38"/>
        <v>*</v>
      </c>
      <c r="V37" s="158" t="str">
        <f t="shared" si="38"/>
        <v>*</v>
      </c>
      <c r="W37" s="158" t="str">
        <f t="shared" si="38"/>
        <v>*</v>
      </c>
      <c r="X37" s="158" t="str">
        <f t="shared" si="38"/>
        <v>*</v>
      </c>
      <c r="Y37" s="158" t="str">
        <f t="shared" si="38"/>
        <v>*</v>
      </c>
      <c r="Z37" s="158" t="str">
        <f t="shared" si="38"/>
        <v/>
      </c>
      <c r="AA37" s="159" t="str">
        <f t="shared" si="38"/>
        <v>*</v>
      </c>
      <c r="AB37" s="151"/>
      <c r="AC37" s="151" t="str">
        <f>IF(AB37="","",SUM(Q37,AB37))</f>
        <v/>
      </c>
      <c r="AD37" s="12"/>
      <c r="AE37" s="1"/>
      <c r="AF37" s="1"/>
    </row>
    <row r="38" ht="18.75" customHeight="1">
      <c r="A38" s="60"/>
      <c r="B38" s="60" t="str">
        <f>F37</f>
        <v>DYLAN</v>
      </c>
      <c r="C38" s="1"/>
      <c r="D38" s="1"/>
      <c r="E38" s="7"/>
      <c r="F38" s="154"/>
      <c r="G38" s="155"/>
      <c r="H38" s="186">
        <v>6.0</v>
      </c>
      <c r="I38" s="186">
        <v>4.0</v>
      </c>
      <c r="J38" s="186">
        <v>5.0</v>
      </c>
      <c r="K38" s="186">
        <v>3.0</v>
      </c>
      <c r="L38" s="186">
        <v>5.0</v>
      </c>
      <c r="M38" s="186">
        <v>5.0</v>
      </c>
      <c r="N38" s="186">
        <v>6.0</v>
      </c>
      <c r="O38" s="187">
        <v>4.0</v>
      </c>
      <c r="P38" s="186">
        <v>5.0</v>
      </c>
      <c r="Q38" s="156">
        <f>IF(H38="","",SUM(H38:P38))</f>
        <v>43</v>
      </c>
      <c r="R38" s="160"/>
      <c r="S38" s="186">
        <v>5.0</v>
      </c>
      <c r="T38" s="186">
        <v>4.0</v>
      </c>
      <c r="U38" s="186">
        <v>6.0</v>
      </c>
      <c r="V38" s="186">
        <v>5.0</v>
      </c>
      <c r="W38" s="186">
        <v>6.0</v>
      </c>
      <c r="X38" s="186">
        <v>5.0</v>
      </c>
      <c r="Y38" s="186">
        <v>5.0</v>
      </c>
      <c r="Z38" s="186">
        <v>4.0</v>
      </c>
      <c r="AA38" s="187">
        <v>6.0</v>
      </c>
      <c r="AB38" s="156">
        <f>IF(S38="","",SUM(S38:AA38))</f>
        <v>46</v>
      </c>
      <c r="AC38" s="156">
        <f>IFERROR(Q38+AB38,"")</f>
        <v>89</v>
      </c>
      <c r="AD38" s="12"/>
      <c r="AE38" s="1"/>
      <c r="AF38" s="1"/>
    </row>
    <row r="39" ht="6.75" customHeight="1">
      <c r="A39" s="60"/>
      <c r="B39" s="60"/>
      <c r="C39" s="1"/>
      <c r="D39" s="1"/>
      <c r="E39" s="7"/>
      <c r="F39" s="16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12"/>
      <c r="AE39" s="1"/>
      <c r="AF39" s="1"/>
    </row>
    <row r="40" ht="27.75" customHeight="1">
      <c r="A40" s="60"/>
      <c r="B40" s="60"/>
      <c r="C40" s="1"/>
      <c r="D40" s="1"/>
      <c r="E40" s="7"/>
      <c r="F40" s="161" t="s">
        <v>143</v>
      </c>
      <c r="G40" s="142"/>
      <c r="H40" s="162">
        <f t="shared" ref="H40:P40" si="39">IF(H36="","",MIN(IF(H35="**",H36-2,IF(H35="*",H36-1,H36)),(IF(H37="**",H38-2,IF(H37="*",H38-1,H38)))))</f>
        <v>4</v>
      </c>
      <c r="I40" s="162">
        <f t="shared" si="39"/>
        <v>3</v>
      </c>
      <c r="J40" s="162">
        <f t="shared" si="39"/>
        <v>3</v>
      </c>
      <c r="K40" s="162">
        <f t="shared" si="39"/>
        <v>3</v>
      </c>
      <c r="L40" s="162">
        <f t="shared" si="39"/>
        <v>3</v>
      </c>
      <c r="M40" s="162">
        <f t="shared" si="39"/>
        <v>4</v>
      </c>
      <c r="N40" s="162">
        <f t="shared" si="39"/>
        <v>4</v>
      </c>
      <c r="O40" s="163">
        <f t="shared" si="39"/>
        <v>3</v>
      </c>
      <c r="P40" s="162">
        <f t="shared" si="39"/>
        <v>4</v>
      </c>
      <c r="Q40" s="162">
        <f t="shared" ref="Q40:Q41" si="42">IF(H40="","",SUM(H40:P40))</f>
        <v>31</v>
      </c>
      <c r="R40" s="23"/>
      <c r="S40" s="162">
        <f t="shared" ref="S40:AA40" si="40">IF(S36="","",MIN(IF(S35="**",S36-2,IF(S35="*",S36-1,S36)),(IF(S37="**",S38-2,IF(S37="*",S38-1,S38)))))</f>
        <v>3</v>
      </c>
      <c r="T40" s="162">
        <f t="shared" si="40"/>
        <v>4</v>
      </c>
      <c r="U40" s="162">
        <f t="shared" si="40"/>
        <v>5</v>
      </c>
      <c r="V40" s="162">
        <f t="shared" si="40"/>
        <v>4</v>
      </c>
      <c r="W40" s="162">
        <f t="shared" si="40"/>
        <v>5</v>
      </c>
      <c r="X40" s="162">
        <f t="shared" si="40"/>
        <v>4</v>
      </c>
      <c r="Y40" s="162">
        <f t="shared" si="40"/>
        <v>4</v>
      </c>
      <c r="Z40" s="162">
        <f t="shared" si="40"/>
        <v>3</v>
      </c>
      <c r="AA40" s="163">
        <f t="shared" si="40"/>
        <v>3</v>
      </c>
      <c r="AB40" s="162">
        <f t="shared" ref="AB40:AB41" si="44">IF(S40="","",SUM(S40:AA40))</f>
        <v>35</v>
      </c>
      <c r="AC40" s="162">
        <f t="shared" ref="AC40:AC41" si="45">IF(AB40="","",AB40+Q40)</f>
        <v>66</v>
      </c>
      <c r="AD40" s="12"/>
      <c r="AE40" s="1"/>
      <c r="AF40" s="1"/>
    </row>
    <row r="41" ht="27.75" customHeight="1">
      <c r="A41" s="60"/>
      <c r="B41" s="60"/>
      <c r="C41" s="1"/>
      <c r="D41" s="1"/>
      <c r="E41" s="7"/>
      <c r="F41" s="161" t="s">
        <v>144</v>
      </c>
      <c r="G41" s="142"/>
      <c r="H41" s="164">
        <f t="shared" ref="H41:P41" si="41">IF(H40="","",IF(H40=H48,0.5,IF(H40&lt;H48,1,0)))</f>
        <v>0</v>
      </c>
      <c r="I41" s="164">
        <f t="shared" si="41"/>
        <v>0</v>
      </c>
      <c r="J41" s="164">
        <f t="shared" si="41"/>
        <v>1</v>
      </c>
      <c r="K41" s="164">
        <f t="shared" si="41"/>
        <v>0.5</v>
      </c>
      <c r="L41" s="164">
        <f t="shared" si="41"/>
        <v>1</v>
      </c>
      <c r="M41" s="164">
        <f t="shared" si="41"/>
        <v>0</v>
      </c>
      <c r="N41" s="164">
        <f t="shared" si="41"/>
        <v>1</v>
      </c>
      <c r="O41" s="165">
        <f t="shared" si="41"/>
        <v>1</v>
      </c>
      <c r="P41" s="164">
        <f t="shared" si="41"/>
        <v>0.5</v>
      </c>
      <c r="Q41" s="164">
        <f t="shared" si="42"/>
        <v>5</v>
      </c>
      <c r="R41" s="23"/>
      <c r="S41" s="164">
        <f t="shared" ref="S41:AA41" si="43">IF(S40="","",IF(S40=S48,0.5,IF(S40&lt;S48,1,0)))</f>
        <v>1</v>
      </c>
      <c r="T41" s="164">
        <f t="shared" si="43"/>
        <v>0</v>
      </c>
      <c r="U41" s="164">
        <f t="shared" si="43"/>
        <v>0.5</v>
      </c>
      <c r="V41" s="164">
        <f t="shared" si="43"/>
        <v>0.5</v>
      </c>
      <c r="W41" s="164">
        <f t="shared" si="43"/>
        <v>0</v>
      </c>
      <c r="X41" s="164">
        <f t="shared" si="43"/>
        <v>0.5</v>
      </c>
      <c r="Y41" s="164">
        <f t="shared" si="43"/>
        <v>0</v>
      </c>
      <c r="Z41" s="164">
        <f t="shared" si="43"/>
        <v>1</v>
      </c>
      <c r="AA41" s="165">
        <f t="shared" si="43"/>
        <v>0.5</v>
      </c>
      <c r="AB41" s="164">
        <f t="shared" si="44"/>
        <v>4</v>
      </c>
      <c r="AC41" s="164">
        <f t="shared" si="45"/>
        <v>9</v>
      </c>
      <c r="AD41" s="12"/>
      <c r="AE41" s="1"/>
      <c r="AF41" s="1"/>
    </row>
    <row r="42" ht="6.75" customHeight="1">
      <c r="A42" s="60"/>
      <c r="B42" s="60"/>
      <c r="C42" s="1"/>
      <c r="D42" s="1"/>
      <c r="E42" s="7"/>
      <c r="F42" s="16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12"/>
      <c r="AE42" s="1"/>
      <c r="AF42" s="1"/>
    </row>
    <row r="43" ht="11.25" customHeight="1">
      <c r="A43" s="60"/>
      <c r="B43" s="60"/>
      <c r="C43" s="1"/>
      <c r="D43" s="1"/>
      <c r="E43" s="7"/>
      <c r="F43" s="183" t="s">
        <v>83</v>
      </c>
      <c r="G43" s="150">
        <f>IFERROR(VLOOKUP(F43,HANDICAPS!$B$8:$G$23,$D$3,FALSE),"")</f>
        <v>7</v>
      </c>
      <c r="H43" s="151" t="str">
        <f t="shared" ref="H43:P43" si="46">IFERROR(IF($G43&gt;18,IF(($G43-18)&gt;H$33,"**","*"),IF($G43&gt;=H$8,"*","")),"")</f>
        <v>*</v>
      </c>
      <c r="I43" s="151" t="str">
        <f t="shared" si="46"/>
        <v/>
      </c>
      <c r="J43" s="151" t="str">
        <f t="shared" si="46"/>
        <v>*</v>
      </c>
      <c r="K43" s="151" t="str">
        <f t="shared" si="46"/>
        <v/>
      </c>
      <c r="L43" s="151" t="str">
        <f t="shared" si="46"/>
        <v/>
      </c>
      <c r="M43" s="151" t="str">
        <f t="shared" si="46"/>
        <v>*</v>
      </c>
      <c r="N43" s="151" t="str">
        <f t="shared" si="46"/>
        <v/>
      </c>
      <c r="O43" s="152" t="str">
        <f t="shared" si="46"/>
        <v/>
      </c>
      <c r="P43" s="151" t="str">
        <f t="shared" si="46"/>
        <v>*</v>
      </c>
      <c r="Q43" s="151"/>
      <c r="R43" s="153"/>
      <c r="S43" s="151" t="str">
        <f t="shared" ref="S43:AA43" si="47">IFERROR(IF($G43&gt;18,IF(($G43-18)&gt;S$33,"**","*"),IF($G43&gt;=S$8,"*","")),"")</f>
        <v/>
      </c>
      <c r="T43" s="151" t="str">
        <f t="shared" si="47"/>
        <v/>
      </c>
      <c r="U43" s="151" t="str">
        <f t="shared" si="47"/>
        <v>*</v>
      </c>
      <c r="V43" s="151" t="str">
        <f t="shared" si="47"/>
        <v/>
      </c>
      <c r="W43" s="151" t="str">
        <f t="shared" si="47"/>
        <v>*</v>
      </c>
      <c r="X43" s="151" t="str">
        <f t="shared" si="47"/>
        <v/>
      </c>
      <c r="Y43" s="151" t="str">
        <f t="shared" si="47"/>
        <v>*</v>
      </c>
      <c r="Z43" s="151" t="str">
        <f t="shared" si="47"/>
        <v/>
      </c>
      <c r="AA43" s="152" t="str">
        <f t="shared" si="47"/>
        <v/>
      </c>
      <c r="AB43" s="151"/>
      <c r="AC43" s="151" t="str">
        <f>IF(AB43="","",SUM(Q43,AB43))</f>
        <v/>
      </c>
      <c r="AD43" s="12"/>
      <c r="AE43" s="1"/>
      <c r="AF43" s="1"/>
    </row>
    <row r="44" ht="18.75" customHeight="1">
      <c r="A44" s="60"/>
      <c r="B44" s="60" t="str">
        <f>F43</f>
        <v>DANNY</v>
      </c>
      <c r="C44" s="1"/>
      <c r="D44" s="1"/>
      <c r="E44" s="7"/>
      <c r="F44" s="154"/>
      <c r="G44" s="155"/>
      <c r="H44" s="186">
        <v>4.0</v>
      </c>
      <c r="I44" s="186">
        <v>4.0</v>
      </c>
      <c r="J44" s="186">
        <v>5.0</v>
      </c>
      <c r="K44" s="186">
        <v>3.0</v>
      </c>
      <c r="L44" s="186">
        <v>4.0</v>
      </c>
      <c r="M44" s="186">
        <v>5.0</v>
      </c>
      <c r="N44" s="186">
        <v>5.0</v>
      </c>
      <c r="O44" s="187">
        <v>4.0</v>
      </c>
      <c r="P44" s="186">
        <v>5.0</v>
      </c>
      <c r="Q44" s="156">
        <f>IF(H44="","",SUM(H44:P44))</f>
        <v>39</v>
      </c>
      <c r="R44" s="153"/>
      <c r="S44" s="186">
        <v>4.0</v>
      </c>
      <c r="T44" s="186">
        <v>3.0</v>
      </c>
      <c r="U44" s="186">
        <v>6.0</v>
      </c>
      <c r="V44" s="186">
        <v>6.0</v>
      </c>
      <c r="W44" s="186">
        <v>5.0</v>
      </c>
      <c r="X44" s="186">
        <v>4.0</v>
      </c>
      <c r="Y44" s="186">
        <v>4.0</v>
      </c>
      <c r="Z44" s="186">
        <v>4.0</v>
      </c>
      <c r="AA44" s="187">
        <v>6.0</v>
      </c>
      <c r="AB44" s="156">
        <f>IF(S44="","",SUM(S44:AA44))</f>
        <v>42</v>
      </c>
      <c r="AC44" s="156">
        <f>IFERROR(Q44+AB44,"")</f>
        <v>81</v>
      </c>
      <c r="AD44" s="12"/>
      <c r="AE44" s="1"/>
      <c r="AF44" s="1"/>
    </row>
    <row r="45" ht="11.25" customHeight="1">
      <c r="A45" s="60"/>
      <c r="B45" s="60"/>
      <c r="C45" s="1"/>
      <c r="D45" s="1"/>
      <c r="E45" s="7"/>
      <c r="F45" s="183" t="s">
        <v>128</v>
      </c>
      <c r="G45" s="150">
        <f>IFERROR(VLOOKUP(F45,HANDICAPS!$B$8:$G$23,$D$3,FALSE),"")</f>
        <v>9</v>
      </c>
      <c r="H45" s="158" t="str">
        <f t="shared" ref="H45:P45" si="48">IFERROR(IF($G45&gt;18,IF(($G45-18)&gt;H$33,"**","*"),IF($G45&gt;=H$8,"*","")),"")</f>
        <v>*</v>
      </c>
      <c r="I45" s="158" t="str">
        <f t="shared" si="48"/>
        <v>*</v>
      </c>
      <c r="J45" s="158" t="str">
        <f t="shared" si="48"/>
        <v>*</v>
      </c>
      <c r="K45" s="158" t="str">
        <f t="shared" si="48"/>
        <v/>
      </c>
      <c r="L45" s="158" t="str">
        <f t="shared" si="48"/>
        <v/>
      </c>
      <c r="M45" s="158" t="str">
        <f t="shared" si="48"/>
        <v>*</v>
      </c>
      <c r="N45" s="158" t="str">
        <f t="shared" si="48"/>
        <v/>
      </c>
      <c r="O45" s="159" t="str">
        <f t="shared" si="48"/>
        <v/>
      </c>
      <c r="P45" s="158" t="str">
        <f t="shared" si="48"/>
        <v>*</v>
      </c>
      <c r="Q45" s="158"/>
      <c r="R45" s="158"/>
      <c r="S45" s="158" t="str">
        <f t="shared" ref="S45:AA45" si="49">IFERROR(IF($G45&gt;18,IF(($G45-18)&gt;S$33,"**","*"),IF($G45&gt;=S$8,"*","")),"")</f>
        <v/>
      </c>
      <c r="T45" s="158" t="str">
        <f t="shared" si="49"/>
        <v/>
      </c>
      <c r="U45" s="158" t="str">
        <f t="shared" si="49"/>
        <v>*</v>
      </c>
      <c r="V45" s="158" t="str">
        <f t="shared" si="49"/>
        <v/>
      </c>
      <c r="W45" s="158" t="str">
        <f t="shared" si="49"/>
        <v>*</v>
      </c>
      <c r="X45" s="158" t="str">
        <f t="shared" si="49"/>
        <v/>
      </c>
      <c r="Y45" s="158" t="str">
        <f t="shared" si="49"/>
        <v>*</v>
      </c>
      <c r="Z45" s="158" t="str">
        <f t="shared" si="49"/>
        <v/>
      </c>
      <c r="AA45" s="159" t="str">
        <f t="shared" si="49"/>
        <v>*</v>
      </c>
      <c r="AB45" s="151"/>
      <c r="AC45" s="151" t="str">
        <f>IF(AB45="","",SUM(Q45,AB45))</f>
        <v/>
      </c>
      <c r="AD45" s="12"/>
      <c r="AE45" s="1"/>
      <c r="AF45" s="1"/>
    </row>
    <row r="46" ht="18.75" customHeight="1">
      <c r="A46" s="60"/>
      <c r="B46" s="60" t="str">
        <f>F45</f>
        <v>SLICK</v>
      </c>
      <c r="C46" s="1"/>
      <c r="D46" s="1"/>
      <c r="E46" s="7"/>
      <c r="F46" s="154"/>
      <c r="G46" s="155"/>
      <c r="H46" s="186">
        <v>4.0</v>
      </c>
      <c r="I46" s="186">
        <v>3.0</v>
      </c>
      <c r="J46" s="186">
        <v>5.0</v>
      </c>
      <c r="K46" s="186">
        <v>4.0</v>
      </c>
      <c r="L46" s="186">
        <v>5.0</v>
      </c>
      <c r="M46" s="186">
        <v>4.0</v>
      </c>
      <c r="N46" s="186">
        <v>6.0</v>
      </c>
      <c r="O46" s="187">
        <v>4.0</v>
      </c>
      <c r="P46" s="186">
        <v>5.0</v>
      </c>
      <c r="Q46" s="156">
        <f>IF(H46="","",SUM(H46:P46))</f>
        <v>40</v>
      </c>
      <c r="R46" s="160"/>
      <c r="S46" s="186">
        <v>4.0</v>
      </c>
      <c r="T46" s="186">
        <v>4.0</v>
      </c>
      <c r="U46" s="186">
        <v>6.0</v>
      </c>
      <c r="V46" s="186">
        <v>4.0</v>
      </c>
      <c r="W46" s="186">
        <v>5.0</v>
      </c>
      <c r="X46" s="186">
        <v>6.0</v>
      </c>
      <c r="Y46" s="186">
        <v>4.0</v>
      </c>
      <c r="Z46" s="186">
        <v>4.0</v>
      </c>
      <c r="AA46" s="187">
        <v>4.0</v>
      </c>
      <c r="AB46" s="156">
        <f>IF(S46="","",SUM(S46:AA46))</f>
        <v>41</v>
      </c>
      <c r="AC46" s="156">
        <f>IFERROR(Q46+AB46,"")</f>
        <v>81</v>
      </c>
      <c r="AD46" s="12"/>
      <c r="AE46" s="1"/>
      <c r="AF46" s="1"/>
    </row>
    <row r="47" ht="6.75" customHeight="1">
      <c r="A47" s="60"/>
      <c r="B47" s="60"/>
      <c r="C47" s="1"/>
      <c r="D47" s="1"/>
      <c r="E47" s="7"/>
      <c r="F47" s="16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12"/>
      <c r="AE47" s="1"/>
      <c r="AF47" s="1"/>
    </row>
    <row r="48" ht="27.75" customHeight="1">
      <c r="A48" s="60"/>
      <c r="B48" s="60"/>
      <c r="C48" s="1"/>
      <c r="D48" s="1"/>
      <c r="E48" s="7"/>
      <c r="F48" s="161" t="s">
        <v>143</v>
      </c>
      <c r="G48" s="142"/>
      <c r="H48" s="162">
        <f t="shared" ref="H48:P48" si="50">IF(H44="","",MIN(IF(H43="**",H44-2,IF(H43="*",H44-1,H44)),(IF(H45="**",H46-2,IF(H45="*",H46-1,H46)))))</f>
        <v>3</v>
      </c>
      <c r="I48" s="162">
        <f t="shared" si="50"/>
        <v>2</v>
      </c>
      <c r="J48" s="162">
        <f t="shared" si="50"/>
        <v>4</v>
      </c>
      <c r="K48" s="162">
        <f t="shared" si="50"/>
        <v>3</v>
      </c>
      <c r="L48" s="162">
        <f t="shared" si="50"/>
        <v>4</v>
      </c>
      <c r="M48" s="162">
        <f t="shared" si="50"/>
        <v>3</v>
      </c>
      <c r="N48" s="162">
        <f t="shared" si="50"/>
        <v>5</v>
      </c>
      <c r="O48" s="163">
        <f t="shared" si="50"/>
        <v>4</v>
      </c>
      <c r="P48" s="162">
        <f t="shared" si="50"/>
        <v>4</v>
      </c>
      <c r="Q48" s="162">
        <f t="shared" ref="Q48:Q49" si="53">IF(H48="","",SUM(H48:P48))</f>
        <v>32</v>
      </c>
      <c r="R48" s="23"/>
      <c r="S48" s="162">
        <f t="shared" ref="S48:AA48" si="51">IF(S44="","",MIN(IF(S43="**",S44-2,IF(S43="*",S44-1,S44)),(IF(S45="**",S46-2,IF(S45="*",S46-1,S46)))))</f>
        <v>4</v>
      </c>
      <c r="T48" s="162">
        <f t="shared" si="51"/>
        <v>3</v>
      </c>
      <c r="U48" s="162">
        <f t="shared" si="51"/>
        <v>5</v>
      </c>
      <c r="V48" s="162">
        <f t="shared" si="51"/>
        <v>4</v>
      </c>
      <c r="W48" s="162">
        <f t="shared" si="51"/>
        <v>4</v>
      </c>
      <c r="X48" s="162">
        <f t="shared" si="51"/>
        <v>4</v>
      </c>
      <c r="Y48" s="162">
        <f t="shared" si="51"/>
        <v>3</v>
      </c>
      <c r="Z48" s="162">
        <f t="shared" si="51"/>
        <v>4</v>
      </c>
      <c r="AA48" s="163">
        <f t="shared" si="51"/>
        <v>3</v>
      </c>
      <c r="AB48" s="162">
        <f t="shared" ref="AB48:AB49" si="55">IF(S48="","",SUM(S48:AA48))</f>
        <v>34</v>
      </c>
      <c r="AC48" s="162">
        <f t="shared" ref="AC48:AC49" si="56">IF(AB48="","",AB48+Q48)</f>
        <v>66</v>
      </c>
      <c r="AD48" s="12"/>
      <c r="AE48" s="1"/>
      <c r="AF48" s="1"/>
    </row>
    <row r="49" ht="27.75" customHeight="1">
      <c r="A49" s="60"/>
      <c r="B49" s="60"/>
      <c r="C49" s="1"/>
      <c r="D49" s="1"/>
      <c r="E49" s="7"/>
      <c r="F49" s="161" t="s">
        <v>144</v>
      </c>
      <c r="G49" s="142"/>
      <c r="H49" s="164">
        <f t="shared" ref="H49:P49" si="52">IF(H48="","",IF(H48=H40,0.5,IF(H48&lt;H40,1,0)))</f>
        <v>1</v>
      </c>
      <c r="I49" s="164">
        <f t="shared" si="52"/>
        <v>1</v>
      </c>
      <c r="J49" s="164">
        <f t="shared" si="52"/>
        <v>0</v>
      </c>
      <c r="K49" s="164">
        <f t="shared" si="52"/>
        <v>0.5</v>
      </c>
      <c r="L49" s="164">
        <f t="shared" si="52"/>
        <v>0</v>
      </c>
      <c r="M49" s="164">
        <f t="shared" si="52"/>
        <v>1</v>
      </c>
      <c r="N49" s="164">
        <f t="shared" si="52"/>
        <v>0</v>
      </c>
      <c r="O49" s="165">
        <f t="shared" si="52"/>
        <v>0</v>
      </c>
      <c r="P49" s="164">
        <f t="shared" si="52"/>
        <v>0.5</v>
      </c>
      <c r="Q49" s="164">
        <f t="shared" si="53"/>
        <v>4</v>
      </c>
      <c r="R49" s="23"/>
      <c r="S49" s="164">
        <f t="shared" ref="S49:AA49" si="54">IF(S48="","",IF(S48=S40,0.5,IF(S48&lt;S40,1,0)))</f>
        <v>0</v>
      </c>
      <c r="T49" s="164">
        <f t="shared" si="54"/>
        <v>1</v>
      </c>
      <c r="U49" s="164">
        <f t="shared" si="54"/>
        <v>0.5</v>
      </c>
      <c r="V49" s="164">
        <f t="shared" si="54"/>
        <v>0.5</v>
      </c>
      <c r="W49" s="164">
        <f t="shared" si="54"/>
        <v>1</v>
      </c>
      <c r="X49" s="164">
        <f t="shared" si="54"/>
        <v>0.5</v>
      </c>
      <c r="Y49" s="164">
        <f t="shared" si="54"/>
        <v>1</v>
      </c>
      <c r="Z49" s="164">
        <f t="shared" si="54"/>
        <v>0</v>
      </c>
      <c r="AA49" s="165">
        <f t="shared" si="54"/>
        <v>0.5</v>
      </c>
      <c r="AB49" s="164">
        <f t="shared" si="55"/>
        <v>5</v>
      </c>
      <c r="AC49" s="164">
        <f t="shared" si="56"/>
        <v>9</v>
      </c>
      <c r="AD49" s="12"/>
      <c r="AE49" s="1"/>
      <c r="AF49" s="1"/>
    </row>
    <row r="50" ht="6.75" customHeight="1">
      <c r="A50" s="60"/>
      <c r="B50" s="60"/>
      <c r="C50" s="1"/>
      <c r="D50" s="1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1"/>
      <c r="AF50" s="1"/>
    </row>
    <row r="51" ht="67.5" hidden="1" customHeight="1">
      <c r="A51" s="60"/>
      <c r="B51" s="60"/>
      <c r="C51" s="1"/>
      <c r="D51" s="1"/>
      <c r="E51" s="3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6.75" customHeight="1">
      <c r="A52" s="60"/>
      <c r="B52" s="60"/>
      <c r="C52" s="1"/>
      <c r="D52" s="1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  <c r="AA52" s="4"/>
      <c r="AB52" s="4"/>
      <c r="AC52" s="4"/>
      <c r="AD52" s="5"/>
      <c r="AE52" s="1"/>
      <c r="AF52" s="1"/>
    </row>
    <row r="53" ht="15.75" customHeight="1">
      <c r="A53" s="60"/>
      <c r="B53" s="60"/>
      <c r="C53" s="1"/>
      <c r="D53" s="1"/>
      <c r="E53" s="7"/>
      <c r="F53" s="140" t="str">
        <f>F28</f>
        <v>MICHIGAN OPEN 2022 - ROUND 2 - LINKS - QUARRY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2"/>
      <c r="AD53" s="12"/>
      <c r="AE53" s="1"/>
      <c r="AF53" s="1"/>
    </row>
    <row r="54" ht="18.75" customHeight="1">
      <c r="A54" s="60"/>
      <c r="B54" s="60"/>
      <c r="C54" s="1"/>
      <c r="D54" s="1"/>
      <c r="E54" s="7"/>
      <c r="F54" s="1"/>
      <c r="G54" s="1"/>
      <c r="H54" s="1"/>
      <c r="I54" s="1"/>
      <c r="J54" s="13" t="str">
        <f>J29</f>
        <v>LINKS</v>
      </c>
      <c r="K54" s="14"/>
      <c r="L54" s="14"/>
      <c r="M54" s="14"/>
      <c r="N54" s="14"/>
      <c r="O54" s="1"/>
      <c r="P54" s="1"/>
      <c r="Q54" s="1"/>
      <c r="R54" s="1"/>
      <c r="S54" s="1"/>
      <c r="T54" s="1"/>
      <c r="U54" s="1"/>
      <c r="V54" s="13" t="str">
        <f>V29</f>
        <v>QUARRY</v>
      </c>
      <c r="W54" s="14"/>
      <c r="X54" s="14"/>
      <c r="Y54" s="14"/>
      <c r="Z54" s="14"/>
      <c r="AA54" s="1"/>
      <c r="AB54" s="1"/>
      <c r="AC54" s="1"/>
      <c r="AD54" s="12"/>
      <c r="AE54" s="1"/>
      <c r="AF54" s="1"/>
    </row>
    <row r="55" ht="15.0" customHeight="1">
      <c r="A55" s="60"/>
      <c r="B55" s="60"/>
      <c r="C55" s="1"/>
      <c r="D55" s="1"/>
      <c r="E55" s="7"/>
      <c r="F55" s="1"/>
      <c r="G55" s="143" t="str">
        <f t="shared" ref="G55:Q55" si="57">G30</f>
        <v>HOLE</v>
      </c>
      <c r="H55" s="143">
        <f t="shared" si="57"/>
        <v>1</v>
      </c>
      <c r="I55" s="143">
        <f t="shared" si="57"/>
        <v>2</v>
      </c>
      <c r="J55" s="143">
        <f t="shared" si="57"/>
        <v>3</v>
      </c>
      <c r="K55" s="143">
        <f t="shared" si="57"/>
        <v>4</v>
      </c>
      <c r="L55" s="143">
        <f t="shared" si="57"/>
        <v>5</v>
      </c>
      <c r="M55" s="143">
        <f t="shared" si="57"/>
        <v>6</v>
      </c>
      <c r="N55" s="143">
        <f t="shared" si="57"/>
        <v>7</v>
      </c>
      <c r="O55" s="143">
        <f t="shared" si="57"/>
        <v>8</v>
      </c>
      <c r="P55" s="143">
        <f t="shared" si="57"/>
        <v>9</v>
      </c>
      <c r="Q55" s="143" t="str">
        <f t="shared" si="57"/>
        <v>OUT</v>
      </c>
      <c r="R55" s="16"/>
      <c r="S55" s="143">
        <f t="shared" ref="S55:AC55" si="58">S30</f>
        <v>1</v>
      </c>
      <c r="T55" s="143">
        <f t="shared" si="58"/>
        <v>2</v>
      </c>
      <c r="U55" s="143">
        <f t="shared" si="58"/>
        <v>3</v>
      </c>
      <c r="V55" s="143">
        <f t="shared" si="58"/>
        <v>4</v>
      </c>
      <c r="W55" s="143">
        <f t="shared" si="58"/>
        <v>5</v>
      </c>
      <c r="X55" s="143">
        <f t="shared" si="58"/>
        <v>6</v>
      </c>
      <c r="Y55" s="143">
        <f t="shared" si="58"/>
        <v>7</v>
      </c>
      <c r="Z55" s="143">
        <f t="shared" si="58"/>
        <v>8</v>
      </c>
      <c r="AA55" s="143">
        <f t="shared" si="58"/>
        <v>9</v>
      </c>
      <c r="AB55" s="143" t="str">
        <f t="shared" si="58"/>
        <v>IN</v>
      </c>
      <c r="AC55" s="143" t="str">
        <f t="shared" si="58"/>
        <v>TOTAL</v>
      </c>
      <c r="AD55" s="12"/>
      <c r="AE55" s="1"/>
      <c r="AF55" s="1"/>
    </row>
    <row r="56" ht="15.0" customHeight="1">
      <c r="A56" s="60"/>
      <c r="B56" s="60"/>
      <c r="C56" s="1"/>
      <c r="D56" s="1"/>
      <c r="E56" s="7"/>
      <c r="F56" s="144" t="s">
        <v>154</v>
      </c>
      <c r="G56" s="182" t="str">
        <f t="shared" ref="G56:Q56" si="59">G31</f>
        <v>ORANGE</v>
      </c>
      <c r="H56" s="182">
        <f t="shared" si="59"/>
        <v>375</v>
      </c>
      <c r="I56" s="182">
        <f t="shared" si="59"/>
        <v>383</v>
      </c>
      <c r="J56" s="182">
        <f t="shared" si="59"/>
        <v>368</v>
      </c>
      <c r="K56" s="182">
        <f t="shared" si="59"/>
        <v>151</v>
      </c>
      <c r="L56" s="182">
        <f t="shared" si="59"/>
        <v>332</v>
      </c>
      <c r="M56" s="182">
        <f t="shared" si="59"/>
        <v>352</v>
      </c>
      <c r="N56" s="182">
        <f t="shared" si="59"/>
        <v>490</v>
      </c>
      <c r="O56" s="182">
        <f t="shared" si="59"/>
        <v>175</v>
      </c>
      <c r="P56" s="182">
        <f t="shared" si="59"/>
        <v>490</v>
      </c>
      <c r="Q56" s="182">
        <f t="shared" si="59"/>
        <v>3116</v>
      </c>
      <c r="R56" s="17"/>
      <c r="S56" s="182">
        <f t="shared" ref="S56:AB56" si="60">S31</f>
        <v>355</v>
      </c>
      <c r="T56" s="182">
        <f t="shared" si="60"/>
        <v>146</v>
      </c>
      <c r="U56" s="182">
        <f t="shared" si="60"/>
        <v>523</v>
      </c>
      <c r="V56" s="182">
        <f t="shared" si="60"/>
        <v>412</v>
      </c>
      <c r="W56" s="182">
        <f t="shared" si="60"/>
        <v>468</v>
      </c>
      <c r="X56" s="182">
        <f t="shared" si="60"/>
        <v>312</v>
      </c>
      <c r="Y56" s="182">
        <f t="shared" si="60"/>
        <v>366</v>
      </c>
      <c r="Z56" s="182">
        <f t="shared" si="60"/>
        <v>172</v>
      </c>
      <c r="AA56" s="182">
        <f t="shared" si="60"/>
        <v>358</v>
      </c>
      <c r="AB56" s="182">
        <f t="shared" si="60"/>
        <v>3112</v>
      </c>
      <c r="AC56" s="182">
        <f t="shared" ref="AC56:AC57" si="63">AB56+Q56</f>
        <v>6228</v>
      </c>
      <c r="AD56" s="12"/>
      <c r="AE56" s="1"/>
      <c r="AF56" s="1"/>
    </row>
    <row r="57" ht="15.0" customHeight="1">
      <c r="A57" s="60"/>
      <c r="B57" s="60"/>
      <c r="C57" s="1"/>
      <c r="D57" s="1"/>
      <c r="E57" s="7"/>
      <c r="F57" s="146"/>
      <c r="G57" s="147" t="str">
        <f t="shared" ref="G57:Q57" si="61">G32</f>
        <v>PAR</v>
      </c>
      <c r="H57" s="147">
        <f t="shared" si="61"/>
        <v>4</v>
      </c>
      <c r="I57" s="147">
        <f t="shared" si="61"/>
        <v>4</v>
      </c>
      <c r="J57" s="147">
        <f t="shared" si="61"/>
        <v>4</v>
      </c>
      <c r="K57" s="147">
        <f t="shared" si="61"/>
        <v>3</v>
      </c>
      <c r="L57" s="147">
        <f t="shared" si="61"/>
        <v>4</v>
      </c>
      <c r="M57" s="147">
        <f t="shared" si="61"/>
        <v>4</v>
      </c>
      <c r="N57" s="147">
        <f t="shared" si="61"/>
        <v>5</v>
      </c>
      <c r="O57" s="147">
        <f t="shared" si="61"/>
        <v>3</v>
      </c>
      <c r="P57" s="147">
        <f t="shared" si="61"/>
        <v>5</v>
      </c>
      <c r="Q57" s="147">
        <f t="shared" si="61"/>
        <v>36</v>
      </c>
      <c r="R57" s="17"/>
      <c r="S57" s="147">
        <f t="shared" ref="S57:AB57" si="62">S32</f>
        <v>4</v>
      </c>
      <c r="T57" s="147">
        <f t="shared" si="62"/>
        <v>3</v>
      </c>
      <c r="U57" s="147">
        <f t="shared" si="62"/>
        <v>5</v>
      </c>
      <c r="V57" s="147">
        <f t="shared" si="62"/>
        <v>4</v>
      </c>
      <c r="W57" s="147">
        <f t="shared" si="62"/>
        <v>5</v>
      </c>
      <c r="X57" s="147">
        <f t="shared" si="62"/>
        <v>4</v>
      </c>
      <c r="Y57" s="147">
        <f t="shared" si="62"/>
        <v>4</v>
      </c>
      <c r="Z57" s="147">
        <f t="shared" si="62"/>
        <v>3</v>
      </c>
      <c r="AA57" s="147">
        <f t="shared" si="62"/>
        <v>4</v>
      </c>
      <c r="AB57" s="147">
        <f t="shared" si="62"/>
        <v>36</v>
      </c>
      <c r="AC57" s="147">
        <f t="shared" si="63"/>
        <v>72</v>
      </c>
      <c r="AD57" s="12"/>
      <c r="AE57" s="1"/>
      <c r="AF57" s="1"/>
    </row>
    <row r="58" ht="15.0" customHeight="1">
      <c r="A58" s="60"/>
      <c r="B58" s="60"/>
      <c r="C58" s="1"/>
      <c r="D58" s="1"/>
      <c r="E58" s="7"/>
      <c r="F58" s="1"/>
      <c r="G58" s="148" t="str">
        <f t="shared" ref="G58:P58" si="64">G33</f>
        <v>HDCP</v>
      </c>
      <c r="H58" s="148">
        <f t="shared" si="64"/>
        <v>5</v>
      </c>
      <c r="I58" s="148">
        <f t="shared" si="64"/>
        <v>9</v>
      </c>
      <c r="J58" s="148">
        <f t="shared" si="64"/>
        <v>7</v>
      </c>
      <c r="K58" s="148">
        <f t="shared" si="64"/>
        <v>17</v>
      </c>
      <c r="L58" s="148">
        <f t="shared" si="64"/>
        <v>11</v>
      </c>
      <c r="M58" s="148">
        <f t="shared" si="64"/>
        <v>1</v>
      </c>
      <c r="N58" s="148">
        <f t="shared" si="64"/>
        <v>13</v>
      </c>
      <c r="O58" s="148">
        <f t="shared" si="64"/>
        <v>15</v>
      </c>
      <c r="P58" s="148">
        <f t="shared" si="64"/>
        <v>3</v>
      </c>
      <c r="Q58" s="148"/>
      <c r="R58" s="17"/>
      <c r="S58" s="148">
        <f t="shared" ref="S58:AA58" si="65">S33</f>
        <v>14</v>
      </c>
      <c r="T58" s="148">
        <f t="shared" si="65"/>
        <v>18</v>
      </c>
      <c r="U58" s="148">
        <f t="shared" si="65"/>
        <v>6</v>
      </c>
      <c r="V58" s="148">
        <f t="shared" si="65"/>
        <v>10</v>
      </c>
      <c r="W58" s="148">
        <f t="shared" si="65"/>
        <v>2</v>
      </c>
      <c r="X58" s="148">
        <f t="shared" si="65"/>
        <v>12</v>
      </c>
      <c r="Y58" s="148">
        <f t="shared" si="65"/>
        <v>4</v>
      </c>
      <c r="Z58" s="148">
        <f t="shared" si="65"/>
        <v>16</v>
      </c>
      <c r="AA58" s="148">
        <f t="shared" si="65"/>
        <v>8</v>
      </c>
      <c r="AB58" s="148"/>
      <c r="AC58" s="148"/>
      <c r="AD58" s="12"/>
      <c r="AE58" s="1"/>
      <c r="AF58" s="1"/>
    </row>
    <row r="59" ht="6.75" customHeight="1">
      <c r="A59" s="60"/>
      <c r="B59" s="60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2"/>
      <c r="AE59" s="1"/>
      <c r="AF59" s="1"/>
    </row>
    <row r="60" ht="11.25" customHeight="1">
      <c r="A60" s="60"/>
      <c r="B60" s="60"/>
      <c r="C60" s="1"/>
      <c r="D60" s="1"/>
      <c r="E60" s="7"/>
      <c r="F60" s="183" t="s">
        <v>84</v>
      </c>
      <c r="G60" s="150">
        <f>IFERROR(VLOOKUP(F60,HANDICAPS!$B$8:$G$23,$D$3,FALSE),"")</f>
        <v>11</v>
      </c>
      <c r="H60" s="151" t="str">
        <f t="shared" ref="H60:P60" si="66">IFERROR(IF($G60&gt;18,IF(($G60-18)&gt;H$33,"**","*"),IF($G60&gt;=H$8,"*","")),"")</f>
        <v>*</v>
      </c>
      <c r="I60" s="151" t="str">
        <f t="shared" si="66"/>
        <v>*</v>
      </c>
      <c r="J60" s="151" t="str">
        <f t="shared" si="66"/>
        <v>*</v>
      </c>
      <c r="K60" s="151" t="str">
        <f t="shared" si="66"/>
        <v/>
      </c>
      <c r="L60" s="151" t="str">
        <f t="shared" si="66"/>
        <v>*</v>
      </c>
      <c r="M60" s="151" t="str">
        <f t="shared" si="66"/>
        <v>*</v>
      </c>
      <c r="N60" s="151" t="str">
        <f t="shared" si="66"/>
        <v/>
      </c>
      <c r="O60" s="152" t="str">
        <f t="shared" si="66"/>
        <v/>
      </c>
      <c r="P60" s="151" t="str">
        <f t="shared" si="66"/>
        <v>*</v>
      </c>
      <c r="Q60" s="151"/>
      <c r="R60" s="153"/>
      <c r="S60" s="151" t="str">
        <f t="shared" ref="S60:AA60" si="67">IFERROR(IF($G60&gt;18,IF(($G60-18)&gt;S$33,"**","*"),IF($G60&gt;=S$8,"*","")),"")</f>
        <v/>
      </c>
      <c r="T60" s="151" t="str">
        <f t="shared" si="67"/>
        <v/>
      </c>
      <c r="U60" s="151" t="str">
        <f t="shared" si="67"/>
        <v>*</v>
      </c>
      <c r="V60" s="151" t="str">
        <f t="shared" si="67"/>
        <v>*</v>
      </c>
      <c r="W60" s="151" t="str">
        <f t="shared" si="67"/>
        <v>*</v>
      </c>
      <c r="X60" s="151" t="str">
        <f t="shared" si="67"/>
        <v/>
      </c>
      <c r="Y60" s="151" t="str">
        <f t="shared" si="67"/>
        <v>*</v>
      </c>
      <c r="Z60" s="151" t="str">
        <f t="shared" si="67"/>
        <v/>
      </c>
      <c r="AA60" s="152" t="str">
        <f t="shared" si="67"/>
        <v>*</v>
      </c>
      <c r="AB60" s="151"/>
      <c r="AC60" s="151" t="str">
        <f>IF(AB60="","",SUM(Q60,AB60))</f>
        <v/>
      </c>
      <c r="AD60" s="12"/>
      <c r="AE60" s="1"/>
      <c r="AF60" s="1"/>
    </row>
    <row r="61" ht="18.75" customHeight="1">
      <c r="A61" s="60"/>
      <c r="B61" s="60" t="str">
        <f>F60</f>
        <v>PAXTON</v>
      </c>
      <c r="C61" s="1"/>
      <c r="D61" s="1"/>
      <c r="E61" s="7"/>
      <c r="F61" s="154"/>
      <c r="G61" s="155"/>
      <c r="H61" s="186">
        <v>5.0</v>
      </c>
      <c r="I61" s="186">
        <v>6.0</v>
      </c>
      <c r="J61" s="186">
        <v>4.0</v>
      </c>
      <c r="K61" s="186">
        <v>3.0</v>
      </c>
      <c r="L61" s="186">
        <v>4.0</v>
      </c>
      <c r="M61" s="186">
        <v>4.0</v>
      </c>
      <c r="N61" s="186">
        <v>7.0</v>
      </c>
      <c r="O61" s="187">
        <v>3.0</v>
      </c>
      <c r="P61" s="186">
        <v>8.0</v>
      </c>
      <c r="Q61" s="156">
        <f>IF(H61="","",SUM(H61:P61))</f>
        <v>44</v>
      </c>
      <c r="R61" s="153"/>
      <c r="S61" s="186">
        <v>6.0</v>
      </c>
      <c r="T61" s="186">
        <v>4.0</v>
      </c>
      <c r="U61" s="186">
        <v>7.0</v>
      </c>
      <c r="V61" s="186">
        <v>4.0</v>
      </c>
      <c r="W61" s="186">
        <v>8.0</v>
      </c>
      <c r="X61" s="186">
        <v>6.0</v>
      </c>
      <c r="Y61" s="186">
        <v>5.0</v>
      </c>
      <c r="Z61" s="186">
        <v>5.0</v>
      </c>
      <c r="AA61" s="187">
        <v>5.0</v>
      </c>
      <c r="AB61" s="156">
        <f>IF(S61="","",SUM(S61:AA61))</f>
        <v>50</v>
      </c>
      <c r="AC61" s="156">
        <f>IFERROR(Q61+AB61,"")</f>
        <v>94</v>
      </c>
      <c r="AD61" s="12"/>
      <c r="AE61" s="1"/>
      <c r="AF61" s="1"/>
    </row>
    <row r="62" ht="11.25" customHeight="1">
      <c r="A62" s="60"/>
      <c r="B62" s="60"/>
      <c r="C62" s="1"/>
      <c r="D62" s="1"/>
      <c r="E62" s="7"/>
      <c r="F62" s="183" t="s">
        <v>129</v>
      </c>
      <c r="G62" s="150">
        <f>IFERROR(VLOOKUP(F62,HANDICAPS!$B$8:$G$23,$D$3,FALSE),"")</f>
        <v>14</v>
      </c>
      <c r="H62" s="158" t="str">
        <f t="shared" ref="H62:P62" si="68">IFERROR(IF($G62&gt;18,IF(($G62-18)&gt;H$33,"**","*"),IF($G62&gt;=H$8,"*","")),"")</f>
        <v>*</v>
      </c>
      <c r="I62" s="158" t="str">
        <f t="shared" si="68"/>
        <v>*</v>
      </c>
      <c r="J62" s="158" t="str">
        <f t="shared" si="68"/>
        <v>*</v>
      </c>
      <c r="K62" s="158" t="str">
        <f t="shared" si="68"/>
        <v/>
      </c>
      <c r="L62" s="158" t="str">
        <f t="shared" si="68"/>
        <v>*</v>
      </c>
      <c r="M62" s="158" t="str">
        <f t="shared" si="68"/>
        <v>*</v>
      </c>
      <c r="N62" s="158" t="str">
        <f t="shared" si="68"/>
        <v>*</v>
      </c>
      <c r="O62" s="159" t="str">
        <f t="shared" si="68"/>
        <v/>
      </c>
      <c r="P62" s="158" t="str">
        <f t="shared" si="68"/>
        <v>*</v>
      </c>
      <c r="Q62" s="158"/>
      <c r="R62" s="158"/>
      <c r="S62" s="158" t="str">
        <f t="shared" ref="S62:AA62" si="69">IFERROR(IF($G62&gt;18,IF(($G62-18)&gt;S$33,"**","*"),IF($G62&gt;=S$8,"*","")),"")</f>
        <v>*</v>
      </c>
      <c r="T62" s="158" t="str">
        <f t="shared" si="69"/>
        <v/>
      </c>
      <c r="U62" s="158" t="str">
        <f t="shared" si="69"/>
        <v>*</v>
      </c>
      <c r="V62" s="158" t="str">
        <f t="shared" si="69"/>
        <v>*</v>
      </c>
      <c r="W62" s="158" t="str">
        <f t="shared" si="69"/>
        <v>*</v>
      </c>
      <c r="X62" s="158" t="str">
        <f t="shared" si="69"/>
        <v>*</v>
      </c>
      <c r="Y62" s="158" t="str">
        <f t="shared" si="69"/>
        <v>*</v>
      </c>
      <c r="Z62" s="158" t="str">
        <f t="shared" si="69"/>
        <v/>
      </c>
      <c r="AA62" s="159" t="str">
        <f t="shared" si="69"/>
        <v>*</v>
      </c>
      <c r="AB62" s="151"/>
      <c r="AC62" s="151" t="str">
        <f>IF(AB62="","",SUM(Q62,AB62))</f>
        <v/>
      </c>
      <c r="AD62" s="12"/>
      <c r="AE62" s="1"/>
      <c r="AF62" s="1"/>
    </row>
    <row r="63" ht="18.75" customHeight="1">
      <c r="A63" s="60"/>
      <c r="B63" s="60" t="str">
        <f>F62</f>
        <v>ERIC</v>
      </c>
      <c r="C63" s="1"/>
      <c r="D63" s="1"/>
      <c r="E63" s="7"/>
      <c r="F63" s="154"/>
      <c r="G63" s="155"/>
      <c r="H63" s="186">
        <v>5.0</v>
      </c>
      <c r="I63" s="186">
        <v>5.0</v>
      </c>
      <c r="J63" s="186">
        <v>8.0</v>
      </c>
      <c r="K63" s="186">
        <v>3.0</v>
      </c>
      <c r="L63" s="186">
        <v>6.0</v>
      </c>
      <c r="M63" s="186">
        <v>5.0</v>
      </c>
      <c r="N63" s="186">
        <v>7.0</v>
      </c>
      <c r="O63" s="187">
        <v>5.0</v>
      </c>
      <c r="P63" s="186">
        <v>5.0</v>
      </c>
      <c r="Q63" s="156">
        <f>IF(H63="","",SUM(H63:P63))</f>
        <v>49</v>
      </c>
      <c r="R63" s="160"/>
      <c r="S63" s="186">
        <v>5.0</v>
      </c>
      <c r="T63" s="186">
        <v>3.0</v>
      </c>
      <c r="U63" s="186">
        <v>7.0</v>
      </c>
      <c r="V63" s="186">
        <v>6.0</v>
      </c>
      <c r="W63" s="186">
        <v>4.0</v>
      </c>
      <c r="X63" s="186">
        <v>4.0</v>
      </c>
      <c r="Y63" s="186">
        <v>6.0</v>
      </c>
      <c r="Z63" s="186">
        <v>4.0</v>
      </c>
      <c r="AA63" s="187">
        <v>6.0</v>
      </c>
      <c r="AB63" s="156">
        <f>IF(S63="","",SUM(S63:AA63))</f>
        <v>45</v>
      </c>
      <c r="AC63" s="156">
        <f>IFERROR(Q63+AB63,"")</f>
        <v>94</v>
      </c>
      <c r="AD63" s="12"/>
      <c r="AE63" s="1"/>
      <c r="AF63" s="1"/>
    </row>
    <row r="64" ht="6.75" customHeight="1">
      <c r="A64" s="60"/>
      <c r="B64" s="60"/>
      <c r="C64" s="1"/>
      <c r="D64" s="1"/>
      <c r="E64" s="7"/>
      <c r="F64" s="16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12"/>
      <c r="AE64" s="1"/>
      <c r="AF64" s="1"/>
    </row>
    <row r="65" ht="27.75" customHeight="1">
      <c r="A65" s="60"/>
      <c r="B65" s="60"/>
      <c r="C65" s="1"/>
      <c r="D65" s="1"/>
      <c r="E65" s="7"/>
      <c r="F65" s="161" t="s">
        <v>143</v>
      </c>
      <c r="G65" s="142"/>
      <c r="H65" s="162">
        <f t="shared" ref="H65:P65" si="70">IF(H61="","",MIN(IF(H60="**",H61-2,IF(H60="*",H61-1,H61)),(IF(H62="**",H63-2,IF(H62="*",H63-1,H63)))))</f>
        <v>4</v>
      </c>
      <c r="I65" s="162">
        <f t="shared" si="70"/>
        <v>4</v>
      </c>
      <c r="J65" s="162">
        <f t="shared" si="70"/>
        <v>3</v>
      </c>
      <c r="K65" s="162">
        <f t="shared" si="70"/>
        <v>3</v>
      </c>
      <c r="L65" s="162">
        <f t="shared" si="70"/>
        <v>3</v>
      </c>
      <c r="M65" s="162">
        <f t="shared" si="70"/>
        <v>3</v>
      </c>
      <c r="N65" s="162">
        <f t="shared" si="70"/>
        <v>6</v>
      </c>
      <c r="O65" s="163">
        <f t="shared" si="70"/>
        <v>3</v>
      </c>
      <c r="P65" s="162">
        <f t="shared" si="70"/>
        <v>4</v>
      </c>
      <c r="Q65" s="162">
        <f t="shared" ref="Q65:Q66" si="73">IF(H65="","",SUM(H65:P65))</f>
        <v>33</v>
      </c>
      <c r="R65" s="23"/>
      <c r="S65" s="162">
        <f t="shared" ref="S65:AA65" si="71">IF(S61="","",MIN(IF(S60="**",S61-2,IF(S60="*",S61-1,S61)),(IF(S62="**",S63-2,IF(S62="*",S63-1,S63)))))</f>
        <v>4</v>
      </c>
      <c r="T65" s="162">
        <f t="shared" si="71"/>
        <v>3</v>
      </c>
      <c r="U65" s="162">
        <f t="shared" si="71"/>
        <v>6</v>
      </c>
      <c r="V65" s="162">
        <f t="shared" si="71"/>
        <v>3</v>
      </c>
      <c r="W65" s="162">
        <f t="shared" si="71"/>
        <v>3</v>
      </c>
      <c r="X65" s="162">
        <f t="shared" si="71"/>
        <v>3</v>
      </c>
      <c r="Y65" s="162">
        <f t="shared" si="71"/>
        <v>4</v>
      </c>
      <c r="Z65" s="162">
        <f t="shared" si="71"/>
        <v>4</v>
      </c>
      <c r="AA65" s="163">
        <f t="shared" si="71"/>
        <v>4</v>
      </c>
      <c r="AB65" s="162">
        <f t="shared" ref="AB65:AB66" si="75">IF(S65="","",SUM(S65:AA65))</f>
        <v>34</v>
      </c>
      <c r="AC65" s="162">
        <f t="shared" ref="AC65:AC66" si="76">IF(AB65="","",AB65+Q65)</f>
        <v>67</v>
      </c>
      <c r="AD65" s="12"/>
      <c r="AE65" s="1"/>
      <c r="AF65" s="1"/>
    </row>
    <row r="66" ht="27.75" customHeight="1">
      <c r="A66" s="60"/>
      <c r="B66" s="60"/>
      <c r="C66" s="1"/>
      <c r="D66" s="1"/>
      <c r="E66" s="7"/>
      <c r="F66" s="161" t="s">
        <v>144</v>
      </c>
      <c r="G66" s="142"/>
      <c r="H66" s="164">
        <f t="shared" ref="H66:P66" si="72">IF(H65="","",IF(H65=H73,0.5,IF(H65&lt;H73,1,0)))</f>
        <v>0.5</v>
      </c>
      <c r="I66" s="164">
        <f t="shared" si="72"/>
        <v>0.5</v>
      </c>
      <c r="J66" s="164">
        <f t="shared" si="72"/>
        <v>0.5</v>
      </c>
      <c r="K66" s="164">
        <f t="shared" si="72"/>
        <v>1</v>
      </c>
      <c r="L66" s="164">
        <f t="shared" si="72"/>
        <v>1</v>
      </c>
      <c r="M66" s="164">
        <f t="shared" si="72"/>
        <v>1</v>
      </c>
      <c r="N66" s="164">
        <f t="shared" si="72"/>
        <v>0</v>
      </c>
      <c r="O66" s="165">
        <f t="shared" si="72"/>
        <v>1</v>
      </c>
      <c r="P66" s="164">
        <f t="shared" si="72"/>
        <v>0.5</v>
      </c>
      <c r="Q66" s="164">
        <f t="shared" si="73"/>
        <v>6</v>
      </c>
      <c r="R66" s="23"/>
      <c r="S66" s="164">
        <f t="shared" ref="S66:AA66" si="74">IF(S65="","",IF(S65=S73,0.5,IF(S65&lt;S73,1,0)))</f>
        <v>0.5</v>
      </c>
      <c r="T66" s="164">
        <f t="shared" si="74"/>
        <v>0.5</v>
      </c>
      <c r="U66" s="164">
        <f t="shared" si="74"/>
        <v>0</v>
      </c>
      <c r="V66" s="164">
        <f t="shared" si="74"/>
        <v>1</v>
      </c>
      <c r="W66" s="164">
        <f t="shared" si="74"/>
        <v>1</v>
      </c>
      <c r="X66" s="164">
        <f t="shared" si="74"/>
        <v>0.5</v>
      </c>
      <c r="Y66" s="164">
        <f t="shared" si="74"/>
        <v>0</v>
      </c>
      <c r="Z66" s="164">
        <f t="shared" si="74"/>
        <v>0</v>
      </c>
      <c r="AA66" s="165">
        <f t="shared" si="74"/>
        <v>0</v>
      </c>
      <c r="AB66" s="164">
        <f t="shared" si="75"/>
        <v>3.5</v>
      </c>
      <c r="AC66" s="164">
        <f t="shared" si="76"/>
        <v>9.5</v>
      </c>
      <c r="AD66" s="12"/>
      <c r="AE66" s="1"/>
      <c r="AF66" s="1"/>
    </row>
    <row r="67" ht="6.75" customHeight="1">
      <c r="A67" s="60"/>
      <c r="B67" s="60"/>
      <c r="C67" s="1"/>
      <c r="D67" s="1"/>
      <c r="E67" s="7"/>
      <c r="F67" s="16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12"/>
      <c r="AE67" s="1"/>
      <c r="AF67" s="1"/>
    </row>
    <row r="68" ht="11.25" customHeight="1">
      <c r="A68" s="60"/>
      <c r="B68" s="60"/>
      <c r="C68" s="1"/>
      <c r="D68" s="1"/>
      <c r="E68" s="7"/>
      <c r="F68" s="183" t="s">
        <v>126</v>
      </c>
      <c r="G68" s="150">
        <f>IFERROR(VLOOKUP(F68,HANDICAPS!$B$8:$G$23,$D$3,FALSE),"")</f>
        <v>7</v>
      </c>
      <c r="H68" s="151" t="str">
        <f t="shared" ref="H68:P68" si="77">IFERROR(IF($G68&gt;18,IF(($G68-18)&gt;H$33,"**","*"),IF($G68&gt;=H$8,"*","")),"")</f>
        <v>*</v>
      </c>
      <c r="I68" s="151" t="str">
        <f t="shared" si="77"/>
        <v/>
      </c>
      <c r="J68" s="151" t="str">
        <f t="shared" si="77"/>
        <v>*</v>
      </c>
      <c r="K68" s="151" t="str">
        <f t="shared" si="77"/>
        <v/>
      </c>
      <c r="L68" s="151" t="str">
        <f t="shared" si="77"/>
        <v/>
      </c>
      <c r="M68" s="151" t="str">
        <f t="shared" si="77"/>
        <v>*</v>
      </c>
      <c r="N68" s="151" t="str">
        <f t="shared" si="77"/>
        <v/>
      </c>
      <c r="O68" s="152" t="str">
        <f t="shared" si="77"/>
        <v/>
      </c>
      <c r="P68" s="151" t="str">
        <f t="shared" si="77"/>
        <v>*</v>
      </c>
      <c r="Q68" s="151"/>
      <c r="R68" s="153"/>
      <c r="S68" s="151" t="str">
        <f t="shared" ref="S68:AA68" si="78">IFERROR(IF($G68&gt;18,IF(($G68-18)&gt;S$33,"**","*"),IF($G68&gt;=S$8,"*","")),"")</f>
        <v/>
      </c>
      <c r="T68" s="151" t="str">
        <f t="shared" si="78"/>
        <v/>
      </c>
      <c r="U68" s="151" t="str">
        <f t="shared" si="78"/>
        <v>*</v>
      </c>
      <c r="V68" s="151" t="str">
        <f t="shared" si="78"/>
        <v/>
      </c>
      <c r="W68" s="151" t="str">
        <f t="shared" si="78"/>
        <v>*</v>
      </c>
      <c r="X68" s="151" t="str">
        <f t="shared" si="78"/>
        <v/>
      </c>
      <c r="Y68" s="151" t="str">
        <f t="shared" si="78"/>
        <v>*</v>
      </c>
      <c r="Z68" s="151" t="str">
        <f t="shared" si="78"/>
        <v/>
      </c>
      <c r="AA68" s="152" t="str">
        <f t="shared" si="78"/>
        <v/>
      </c>
      <c r="AB68" s="151"/>
      <c r="AC68" s="151" t="str">
        <f>IF(AB68="","",SUM(Q68,AB68))</f>
        <v/>
      </c>
      <c r="AD68" s="12"/>
      <c r="AE68" s="1"/>
      <c r="AF68" s="1"/>
    </row>
    <row r="69" ht="18.75" customHeight="1">
      <c r="A69" s="60"/>
      <c r="B69" s="60" t="str">
        <f>F68</f>
        <v>BEN</v>
      </c>
      <c r="C69" s="1"/>
      <c r="D69" s="1"/>
      <c r="E69" s="7"/>
      <c r="F69" s="154"/>
      <c r="G69" s="155"/>
      <c r="H69" s="186">
        <v>5.0</v>
      </c>
      <c r="I69" s="186">
        <v>4.0</v>
      </c>
      <c r="J69" s="186">
        <v>4.0</v>
      </c>
      <c r="K69" s="186">
        <v>4.0</v>
      </c>
      <c r="L69" s="186">
        <v>5.0</v>
      </c>
      <c r="M69" s="186">
        <v>6.0</v>
      </c>
      <c r="N69" s="186">
        <v>5.0</v>
      </c>
      <c r="O69" s="187">
        <v>4.0</v>
      </c>
      <c r="P69" s="186">
        <v>5.0</v>
      </c>
      <c r="Q69" s="156">
        <f>IF(H69="","",SUM(H69:P69))</f>
        <v>42</v>
      </c>
      <c r="R69" s="153"/>
      <c r="S69" s="186">
        <v>4.0</v>
      </c>
      <c r="T69" s="186">
        <v>3.0</v>
      </c>
      <c r="U69" s="186">
        <v>6.0</v>
      </c>
      <c r="V69" s="186">
        <v>4.0</v>
      </c>
      <c r="W69" s="186">
        <v>6.0</v>
      </c>
      <c r="X69" s="186">
        <v>4.0</v>
      </c>
      <c r="Y69" s="186">
        <v>4.0</v>
      </c>
      <c r="Z69" s="186">
        <v>2.0</v>
      </c>
      <c r="AA69" s="187">
        <v>4.0</v>
      </c>
      <c r="AB69" s="156">
        <f>IF(S69="","",SUM(S69:AA69))</f>
        <v>37</v>
      </c>
      <c r="AC69" s="156">
        <f>IFERROR(Q69+AB69,"")</f>
        <v>79</v>
      </c>
      <c r="AD69" s="12"/>
      <c r="AE69" s="1"/>
      <c r="AF69" s="1"/>
    </row>
    <row r="70" ht="11.25" customHeight="1">
      <c r="A70" s="60"/>
      <c r="B70" s="60"/>
      <c r="C70" s="1"/>
      <c r="D70" s="1"/>
      <c r="E70" s="7"/>
      <c r="F70" s="183" t="s">
        <v>57</v>
      </c>
      <c r="G70" s="150">
        <f>IFERROR(VLOOKUP(F70,HANDICAPS!$B$8:$G$23,$D$3,FALSE),"")</f>
        <v>7</v>
      </c>
      <c r="H70" s="158" t="str">
        <f t="shared" ref="H70:P70" si="79">IFERROR(IF($G70&gt;18,IF(($G70-18)&gt;H$33,"**","*"),IF($G70&gt;=H$8,"*","")),"")</f>
        <v>*</v>
      </c>
      <c r="I70" s="158" t="str">
        <f t="shared" si="79"/>
        <v/>
      </c>
      <c r="J70" s="158" t="str">
        <f t="shared" si="79"/>
        <v>*</v>
      </c>
      <c r="K70" s="158" t="str">
        <f t="shared" si="79"/>
        <v/>
      </c>
      <c r="L70" s="158" t="str">
        <f t="shared" si="79"/>
        <v/>
      </c>
      <c r="M70" s="158" t="str">
        <f t="shared" si="79"/>
        <v>*</v>
      </c>
      <c r="N70" s="158" t="str">
        <f t="shared" si="79"/>
        <v/>
      </c>
      <c r="O70" s="159" t="str">
        <f t="shared" si="79"/>
        <v/>
      </c>
      <c r="P70" s="158" t="str">
        <f t="shared" si="79"/>
        <v>*</v>
      </c>
      <c r="Q70" s="158"/>
      <c r="R70" s="158"/>
      <c r="S70" s="158" t="str">
        <f t="shared" ref="S70:AA70" si="80">IFERROR(IF($G70&gt;18,IF(($G70-18)&gt;S$33,"**","*"),IF($G70&gt;=S$8,"*","")),"")</f>
        <v/>
      </c>
      <c r="T70" s="158" t="str">
        <f t="shared" si="80"/>
        <v/>
      </c>
      <c r="U70" s="158" t="str">
        <f t="shared" si="80"/>
        <v>*</v>
      </c>
      <c r="V70" s="158" t="str">
        <f t="shared" si="80"/>
        <v/>
      </c>
      <c r="W70" s="158" t="str">
        <f t="shared" si="80"/>
        <v>*</v>
      </c>
      <c r="X70" s="158" t="str">
        <f t="shared" si="80"/>
        <v/>
      </c>
      <c r="Y70" s="158" t="str">
        <f t="shared" si="80"/>
        <v>*</v>
      </c>
      <c r="Z70" s="158" t="str">
        <f t="shared" si="80"/>
        <v/>
      </c>
      <c r="AA70" s="159" t="str">
        <f t="shared" si="80"/>
        <v/>
      </c>
      <c r="AB70" s="151"/>
      <c r="AC70" s="151" t="str">
        <f>IF(AB70="","",SUM(Q70,AB70))</f>
        <v/>
      </c>
      <c r="AD70" s="12"/>
      <c r="AE70" s="1"/>
      <c r="AF70" s="1"/>
    </row>
    <row r="71" ht="18.75" customHeight="1">
      <c r="A71" s="60"/>
      <c r="B71" s="60" t="str">
        <f>F70</f>
        <v>WAYS</v>
      </c>
      <c r="C71" s="1"/>
      <c r="D71" s="1"/>
      <c r="E71" s="7"/>
      <c r="F71" s="154"/>
      <c r="G71" s="155"/>
      <c r="H71" s="186">
        <v>5.0</v>
      </c>
      <c r="I71" s="186">
        <v>4.0</v>
      </c>
      <c r="J71" s="186">
        <v>5.0</v>
      </c>
      <c r="K71" s="186">
        <v>4.0</v>
      </c>
      <c r="L71" s="186">
        <v>4.0</v>
      </c>
      <c r="M71" s="186">
        <v>6.0</v>
      </c>
      <c r="N71" s="186">
        <v>5.0</v>
      </c>
      <c r="O71" s="187">
        <v>5.0</v>
      </c>
      <c r="P71" s="186">
        <v>6.0</v>
      </c>
      <c r="Q71" s="156">
        <f>IF(H71="","",SUM(H71:P71))</f>
        <v>44</v>
      </c>
      <c r="R71" s="160"/>
      <c r="S71" s="186">
        <v>5.0</v>
      </c>
      <c r="T71" s="186">
        <v>3.0</v>
      </c>
      <c r="U71" s="186">
        <v>5.0</v>
      </c>
      <c r="V71" s="186">
        <v>5.0</v>
      </c>
      <c r="W71" s="186">
        <v>6.0</v>
      </c>
      <c r="X71" s="186">
        <v>3.0</v>
      </c>
      <c r="Y71" s="186">
        <v>5.0</v>
      </c>
      <c r="Z71" s="186">
        <v>4.0</v>
      </c>
      <c r="AA71" s="187">
        <v>3.0</v>
      </c>
      <c r="AB71" s="156">
        <f>IF(S71="","",SUM(S71:AA71))</f>
        <v>39</v>
      </c>
      <c r="AC71" s="156">
        <f>IFERROR(Q71+AB71,"")</f>
        <v>83</v>
      </c>
      <c r="AD71" s="12"/>
      <c r="AE71" s="1"/>
      <c r="AF71" s="1"/>
    </row>
    <row r="72" ht="6.75" customHeight="1">
      <c r="A72" s="60"/>
      <c r="B72" s="60"/>
      <c r="C72" s="1"/>
      <c r="D72" s="1"/>
      <c r="E72" s="7"/>
      <c r="F72" s="16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12"/>
      <c r="AE72" s="1"/>
      <c r="AF72" s="1"/>
    </row>
    <row r="73" ht="27.75" customHeight="1">
      <c r="A73" s="60"/>
      <c r="B73" s="60"/>
      <c r="C73" s="1"/>
      <c r="D73" s="1"/>
      <c r="E73" s="7"/>
      <c r="F73" s="161" t="s">
        <v>143</v>
      </c>
      <c r="G73" s="142"/>
      <c r="H73" s="162">
        <f t="shared" ref="H73:P73" si="81">IF(H69="","",MIN(IF(H68="**",H69-2,IF(H68="*",H69-1,H69)),(IF(H70="**",H71-2,IF(H70="*",H71-1,H71)))))</f>
        <v>4</v>
      </c>
      <c r="I73" s="162">
        <f t="shared" si="81"/>
        <v>4</v>
      </c>
      <c r="J73" s="162">
        <f t="shared" si="81"/>
        <v>3</v>
      </c>
      <c r="K73" s="162">
        <f t="shared" si="81"/>
        <v>4</v>
      </c>
      <c r="L73" s="162">
        <f t="shared" si="81"/>
        <v>4</v>
      </c>
      <c r="M73" s="162">
        <f t="shared" si="81"/>
        <v>5</v>
      </c>
      <c r="N73" s="162">
        <f t="shared" si="81"/>
        <v>5</v>
      </c>
      <c r="O73" s="163">
        <f t="shared" si="81"/>
        <v>4</v>
      </c>
      <c r="P73" s="162">
        <f t="shared" si="81"/>
        <v>4</v>
      </c>
      <c r="Q73" s="162">
        <f t="shared" ref="Q73:Q74" si="84">IF(H73="","",SUM(H73:P73))</f>
        <v>37</v>
      </c>
      <c r="R73" s="23"/>
      <c r="S73" s="162">
        <f t="shared" ref="S73:AA73" si="82">IF(S69="","",MIN(IF(S68="**",S69-2,IF(S68="*",S69-1,S69)),(IF(S70="**",S71-2,IF(S70="*",S71-1,S71)))))</f>
        <v>4</v>
      </c>
      <c r="T73" s="162">
        <f t="shared" si="82"/>
        <v>3</v>
      </c>
      <c r="U73" s="162">
        <f t="shared" si="82"/>
        <v>4</v>
      </c>
      <c r="V73" s="162">
        <f t="shared" si="82"/>
        <v>4</v>
      </c>
      <c r="W73" s="162">
        <f t="shared" si="82"/>
        <v>5</v>
      </c>
      <c r="X73" s="162">
        <f t="shared" si="82"/>
        <v>3</v>
      </c>
      <c r="Y73" s="162">
        <f t="shared" si="82"/>
        <v>3</v>
      </c>
      <c r="Z73" s="162">
        <f t="shared" si="82"/>
        <v>2</v>
      </c>
      <c r="AA73" s="163">
        <f t="shared" si="82"/>
        <v>3</v>
      </c>
      <c r="AB73" s="162">
        <f t="shared" ref="AB73:AB74" si="86">IF(S73="","",SUM(S73:AA73))</f>
        <v>31</v>
      </c>
      <c r="AC73" s="162">
        <f t="shared" ref="AC73:AC74" si="87">IF(AB73="","",AB73+Q73)</f>
        <v>68</v>
      </c>
      <c r="AD73" s="12"/>
      <c r="AE73" s="1"/>
      <c r="AF73" s="1"/>
    </row>
    <row r="74" ht="27.75" customHeight="1">
      <c r="A74" s="60"/>
      <c r="B74" s="60"/>
      <c r="C74" s="1"/>
      <c r="D74" s="1"/>
      <c r="E74" s="7"/>
      <c r="F74" s="161" t="s">
        <v>144</v>
      </c>
      <c r="G74" s="142"/>
      <c r="H74" s="164">
        <f t="shared" ref="H74:P74" si="83">IF(H73="","",IF(H73=H65,0.5,IF(H73&lt;H65,1,0)))</f>
        <v>0.5</v>
      </c>
      <c r="I74" s="164">
        <f t="shared" si="83"/>
        <v>0.5</v>
      </c>
      <c r="J74" s="164">
        <f t="shared" si="83"/>
        <v>0.5</v>
      </c>
      <c r="K74" s="164">
        <f t="shared" si="83"/>
        <v>0</v>
      </c>
      <c r="L74" s="164">
        <f t="shared" si="83"/>
        <v>0</v>
      </c>
      <c r="M74" s="164">
        <f t="shared" si="83"/>
        <v>0</v>
      </c>
      <c r="N74" s="164">
        <f t="shared" si="83"/>
        <v>1</v>
      </c>
      <c r="O74" s="165">
        <f t="shared" si="83"/>
        <v>0</v>
      </c>
      <c r="P74" s="164">
        <f t="shared" si="83"/>
        <v>0.5</v>
      </c>
      <c r="Q74" s="164">
        <f t="shared" si="84"/>
        <v>3</v>
      </c>
      <c r="R74" s="23"/>
      <c r="S74" s="164">
        <f t="shared" ref="S74:AA74" si="85">IF(S73="","",IF(S73=S65,0.5,IF(S73&lt;S65,1,0)))</f>
        <v>0.5</v>
      </c>
      <c r="T74" s="164">
        <f t="shared" si="85"/>
        <v>0.5</v>
      </c>
      <c r="U74" s="164">
        <f t="shared" si="85"/>
        <v>1</v>
      </c>
      <c r="V74" s="164">
        <f t="shared" si="85"/>
        <v>0</v>
      </c>
      <c r="W74" s="164">
        <f t="shared" si="85"/>
        <v>0</v>
      </c>
      <c r="X74" s="164">
        <f t="shared" si="85"/>
        <v>0.5</v>
      </c>
      <c r="Y74" s="164">
        <f t="shared" si="85"/>
        <v>1</v>
      </c>
      <c r="Z74" s="164">
        <f t="shared" si="85"/>
        <v>1</v>
      </c>
      <c r="AA74" s="165">
        <f t="shared" si="85"/>
        <v>1</v>
      </c>
      <c r="AB74" s="164">
        <f t="shared" si="86"/>
        <v>5.5</v>
      </c>
      <c r="AC74" s="164">
        <f t="shared" si="87"/>
        <v>8.5</v>
      </c>
      <c r="AD74" s="12"/>
      <c r="AE74" s="1"/>
      <c r="AF74" s="1"/>
    </row>
    <row r="75" ht="6.75" customHeight="1">
      <c r="A75" s="60"/>
      <c r="B75" s="60"/>
      <c r="C75" s="1"/>
      <c r="D75" s="1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7"/>
      <c r="AE75" s="1"/>
      <c r="AF75" s="1"/>
    </row>
    <row r="76" ht="60.0" customHeight="1">
      <c r="A76" s="60"/>
      <c r="B76" s="60"/>
      <c r="C76" s="1"/>
      <c r="D76" s="1"/>
      <c r="E76" s="3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6.75" customHeight="1">
      <c r="A77" s="60"/>
      <c r="B77" s="60"/>
      <c r="C77" s="1"/>
      <c r="D77" s="1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  <c r="AA77" s="4"/>
      <c r="AB77" s="4"/>
      <c r="AC77" s="4"/>
      <c r="AD77" s="5"/>
      <c r="AE77" s="1"/>
      <c r="AF77" s="1"/>
    </row>
    <row r="78" ht="15.75" customHeight="1">
      <c r="A78" s="60"/>
      <c r="B78" s="60"/>
      <c r="C78" s="1"/>
      <c r="D78" s="1"/>
      <c r="E78" s="7"/>
      <c r="F78" s="140" t="str">
        <f>F53</f>
        <v>MICHIGAN OPEN 2022 - ROUND 2 - LINKS - QUARRY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2"/>
      <c r="AD78" s="12"/>
      <c r="AE78" s="1"/>
      <c r="AF78" s="1"/>
    </row>
    <row r="79" ht="18.75" customHeight="1">
      <c r="A79" s="60"/>
      <c r="B79" s="60"/>
      <c r="C79" s="1"/>
      <c r="D79" s="1"/>
      <c r="E79" s="7"/>
      <c r="F79" s="1"/>
      <c r="G79" s="1"/>
      <c r="H79" s="1"/>
      <c r="I79" s="1"/>
      <c r="J79" s="13" t="str">
        <f>J54</f>
        <v>LINKS</v>
      </c>
      <c r="K79" s="14"/>
      <c r="L79" s="14"/>
      <c r="M79" s="14"/>
      <c r="N79" s="14"/>
      <c r="O79" s="1"/>
      <c r="P79" s="1"/>
      <c r="Q79" s="1"/>
      <c r="R79" s="1"/>
      <c r="S79" s="1"/>
      <c r="T79" s="1"/>
      <c r="U79" s="1"/>
      <c r="V79" s="13" t="str">
        <f>V54</f>
        <v>QUARRY</v>
      </c>
      <c r="W79" s="14"/>
      <c r="X79" s="14"/>
      <c r="Y79" s="14"/>
      <c r="Z79" s="14"/>
      <c r="AA79" s="1"/>
      <c r="AB79" s="1"/>
      <c r="AC79" s="1"/>
      <c r="AD79" s="12"/>
      <c r="AE79" s="1"/>
      <c r="AF79" s="1"/>
    </row>
    <row r="80" ht="15.0" customHeight="1">
      <c r="A80" s="60"/>
      <c r="B80" s="60"/>
      <c r="C80" s="1"/>
      <c r="D80" s="1"/>
      <c r="E80" s="7"/>
      <c r="F80" s="1"/>
      <c r="G80" s="143" t="str">
        <f t="shared" ref="G80:Q80" si="88">G55</f>
        <v>HOLE</v>
      </c>
      <c r="H80" s="143">
        <f t="shared" si="88"/>
        <v>1</v>
      </c>
      <c r="I80" s="143">
        <f t="shared" si="88"/>
        <v>2</v>
      </c>
      <c r="J80" s="143">
        <f t="shared" si="88"/>
        <v>3</v>
      </c>
      <c r="K80" s="143">
        <f t="shared" si="88"/>
        <v>4</v>
      </c>
      <c r="L80" s="143">
        <f t="shared" si="88"/>
        <v>5</v>
      </c>
      <c r="M80" s="143">
        <f t="shared" si="88"/>
        <v>6</v>
      </c>
      <c r="N80" s="143">
        <f t="shared" si="88"/>
        <v>7</v>
      </c>
      <c r="O80" s="143">
        <f t="shared" si="88"/>
        <v>8</v>
      </c>
      <c r="P80" s="143">
        <f t="shared" si="88"/>
        <v>9</v>
      </c>
      <c r="Q80" s="143" t="str">
        <f t="shared" si="88"/>
        <v>OUT</v>
      </c>
      <c r="R80" s="16"/>
      <c r="S80" s="143">
        <f t="shared" ref="S80:AC80" si="89">S55</f>
        <v>1</v>
      </c>
      <c r="T80" s="143">
        <f t="shared" si="89"/>
        <v>2</v>
      </c>
      <c r="U80" s="143">
        <f t="shared" si="89"/>
        <v>3</v>
      </c>
      <c r="V80" s="143">
        <f t="shared" si="89"/>
        <v>4</v>
      </c>
      <c r="W80" s="143">
        <f t="shared" si="89"/>
        <v>5</v>
      </c>
      <c r="X80" s="143">
        <f t="shared" si="89"/>
        <v>6</v>
      </c>
      <c r="Y80" s="143">
        <f t="shared" si="89"/>
        <v>7</v>
      </c>
      <c r="Z80" s="143">
        <f t="shared" si="89"/>
        <v>8</v>
      </c>
      <c r="AA80" s="143">
        <f t="shared" si="89"/>
        <v>9</v>
      </c>
      <c r="AB80" s="143" t="str">
        <f t="shared" si="89"/>
        <v>IN</v>
      </c>
      <c r="AC80" s="143" t="str">
        <f t="shared" si="89"/>
        <v>TOTAL</v>
      </c>
      <c r="AD80" s="12"/>
      <c r="AE80" s="1"/>
      <c r="AF80" s="1"/>
    </row>
    <row r="81" ht="15.0" customHeight="1">
      <c r="A81" s="60"/>
      <c r="B81" s="60"/>
      <c r="C81" s="1"/>
      <c r="D81" s="1"/>
      <c r="E81" s="7"/>
      <c r="F81" s="144" t="s">
        <v>154</v>
      </c>
      <c r="G81" s="182" t="str">
        <f t="shared" ref="G81:Q81" si="90">G56</f>
        <v>ORANGE</v>
      </c>
      <c r="H81" s="182">
        <f t="shared" si="90"/>
        <v>375</v>
      </c>
      <c r="I81" s="182">
        <f t="shared" si="90"/>
        <v>383</v>
      </c>
      <c r="J81" s="182">
        <f t="shared" si="90"/>
        <v>368</v>
      </c>
      <c r="K81" s="182">
        <f t="shared" si="90"/>
        <v>151</v>
      </c>
      <c r="L81" s="182">
        <f t="shared" si="90"/>
        <v>332</v>
      </c>
      <c r="M81" s="182">
        <f t="shared" si="90"/>
        <v>352</v>
      </c>
      <c r="N81" s="182">
        <f t="shared" si="90"/>
        <v>490</v>
      </c>
      <c r="O81" s="182">
        <f t="shared" si="90"/>
        <v>175</v>
      </c>
      <c r="P81" s="182">
        <f t="shared" si="90"/>
        <v>490</v>
      </c>
      <c r="Q81" s="182">
        <f t="shared" si="90"/>
        <v>3116</v>
      </c>
      <c r="R81" s="17"/>
      <c r="S81" s="182">
        <f t="shared" ref="S81:AB81" si="91">S56</f>
        <v>355</v>
      </c>
      <c r="T81" s="182">
        <f t="shared" si="91"/>
        <v>146</v>
      </c>
      <c r="U81" s="182">
        <f t="shared" si="91"/>
        <v>523</v>
      </c>
      <c r="V81" s="182">
        <f t="shared" si="91"/>
        <v>412</v>
      </c>
      <c r="W81" s="182">
        <f t="shared" si="91"/>
        <v>468</v>
      </c>
      <c r="X81" s="182">
        <f t="shared" si="91"/>
        <v>312</v>
      </c>
      <c r="Y81" s="182">
        <f t="shared" si="91"/>
        <v>366</v>
      </c>
      <c r="Z81" s="182">
        <f t="shared" si="91"/>
        <v>172</v>
      </c>
      <c r="AA81" s="182">
        <f t="shared" si="91"/>
        <v>358</v>
      </c>
      <c r="AB81" s="182">
        <f t="shared" si="91"/>
        <v>3112</v>
      </c>
      <c r="AC81" s="182">
        <f t="shared" ref="AC81:AC82" si="94">AB81+Q81</f>
        <v>6228</v>
      </c>
      <c r="AD81" s="12"/>
      <c r="AE81" s="1"/>
      <c r="AF81" s="1"/>
    </row>
    <row r="82" ht="15.0" customHeight="1">
      <c r="A82" s="60"/>
      <c r="B82" s="60"/>
      <c r="C82" s="1"/>
      <c r="D82" s="1"/>
      <c r="E82" s="7"/>
      <c r="F82" s="146"/>
      <c r="G82" s="147" t="str">
        <f t="shared" ref="G82:Q82" si="92">G57</f>
        <v>PAR</v>
      </c>
      <c r="H82" s="147">
        <f t="shared" si="92"/>
        <v>4</v>
      </c>
      <c r="I82" s="147">
        <f t="shared" si="92"/>
        <v>4</v>
      </c>
      <c r="J82" s="147">
        <f t="shared" si="92"/>
        <v>4</v>
      </c>
      <c r="K82" s="147">
        <f t="shared" si="92"/>
        <v>3</v>
      </c>
      <c r="L82" s="147">
        <f t="shared" si="92"/>
        <v>4</v>
      </c>
      <c r="M82" s="147">
        <f t="shared" si="92"/>
        <v>4</v>
      </c>
      <c r="N82" s="147">
        <f t="shared" si="92"/>
        <v>5</v>
      </c>
      <c r="O82" s="147">
        <f t="shared" si="92"/>
        <v>3</v>
      </c>
      <c r="P82" s="147">
        <f t="shared" si="92"/>
        <v>5</v>
      </c>
      <c r="Q82" s="147">
        <f t="shared" si="92"/>
        <v>36</v>
      </c>
      <c r="R82" s="17"/>
      <c r="S82" s="147">
        <f t="shared" ref="S82:AB82" si="93">S57</f>
        <v>4</v>
      </c>
      <c r="T82" s="147">
        <f t="shared" si="93"/>
        <v>3</v>
      </c>
      <c r="U82" s="147">
        <f t="shared" si="93"/>
        <v>5</v>
      </c>
      <c r="V82" s="147">
        <f t="shared" si="93"/>
        <v>4</v>
      </c>
      <c r="W82" s="147">
        <f t="shared" si="93"/>
        <v>5</v>
      </c>
      <c r="X82" s="147">
        <f t="shared" si="93"/>
        <v>4</v>
      </c>
      <c r="Y82" s="147">
        <f t="shared" si="93"/>
        <v>4</v>
      </c>
      <c r="Z82" s="147">
        <f t="shared" si="93"/>
        <v>3</v>
      </c>
      <c r="AA82" s="147">
        <f t="shared" si="93"/>
        <v>4</v>
      </c>
      <c r="AB82" s="147">
        <f t="shared" si="93"/>
        <v>36</v>
      </c>
      <c r="AC82" s="147">
        <f t="shared" si="94"/>
        <v>72</v>
      </c>
      <c r="AD82" s="12"/>
      <c r="AE82" s="1"/>
      <c r="AF82" s="1"/>
    </row>
    <row r="83" ht="15.0" customHeight="1">
      <c r="A83" s="60"/>
      <c r="B83" s="60"/>
      <c r="C83" s="1"/>
      <c r="D83" s="1"/>
      <c r="E83" s="7"/>
      <c r="F83" s="1"/>
      <c r="G83" s="148" t="str">
        <f t="shared" ref="G83:P83" si="95">G58</f>
        <v>HDCP</v>
      </c>
      <c r="H83" s="148">
        <f t="shared" si="95"/>
        <v>5</v>
      </c>
      <c r="I83" s="148">
        <f t="shared" si="95"/>
        <v>9</v>
      </c>
      <c r="J83" s="148">
        <f t="shared" si="95"/>
        <v>7</v>
      </c>
      <c r="K83" s="148">
        <f t="shared" si="95"/>
        <v>17</v>
      </c>
      <c r="L83" s="148">
        <f t="shared" si="95"/>
        <v>11</v>
      </c>
      <c r="M83" s="148">
        <f t="shared" si="95"/>
        <v>1</v>
      </c>
      <c r="N83" s="148">
        <f t="shared" si="95"/>
        <v>13</v>
      </c>
      <c r="O83" s="148">
        <f t="shared" si="95"/>
        <v>15</v>
      </c>
      <c r="P83" s="148">
        <f t="shared" si="95"/>
        <v>3</v>
      </c>
      <c r="Q83" s="148"/>
      <c r="R83" s="17"/>
      <c r="S83" s="148">
        <f t="shared" ref="S83:AA83" si="96">S58</f>
        <v>14</v>
      </c>
      <c r="T83" s="148">
        <f t="shared" si="96"/>
        <v>18</v>
      </c>
      <c r="U83" s="148">
        <f t="shared" si="96"/>
        <v>6</v>
      </c>
      <c r="V83" s="148">
        <f t="shared" si="96"/>
        <v>10</v>
      </c>
      <c r="W83" s="148">
        <f t="shared" si="96"/>
        <v>2</v>
      </c>
      <c r="X83" s="148">
        <f t="shared" si="96"/>
        <v>12</v>
      </c>
      <c r="Y83" s="148">
        <f t="shared" si="96"/>
        <v>4</v>
      </c>
      <c r="Z83" s="148">
        <f t="shared" si="96"/>
        <v>16</v>
      </c>
      <c r="AA83" s="148">
        <f t="shared" si="96"/>
        <v>8</v>
      </c>
      <c r="AB83" s="148"/>
      <c r="AC83" s="148"/>
      <c r="AD83" s="12"/>
      <c r="AE83" s="1"/>
      <c r="AF83" s="1"/>
    </row>
    <row r="84" ht="6.75" customHeight="1">
      <c r="A84" s="60"/>
      <c r="B84" s="60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2"/>
      <c r="AE84" s="1"/>
      <c r="AF84" s="1"/>
    </row>
    <row r="85" ht="11.25" customHeight="1">
      <c r="A85" s="60"/>
      <c r="B85" s="60"/>
      <c r="C85" s="1"/>
      <c r="D85" s="1"/>
      <c r="E85" s="7"/>
      <c r="F85" s="183" t="s">
        <v>91</v>
      </c>
      <c r="G85" s="150">
        <f>IFERROR(VLOOKUP(F85,HANDICAPS!$B$8:$G$23,$D$3,FALSE),"")</f>
        <v>21</v>
      </c>
      <c r="H85" s="151" t="str">
        <f t="shared" ref="H85:P85" si="97">IFERROR(IF($G85&gt;18,IF(($G85-18)&gt;H$33,"**","*"),IF($G85&gt;=H$8,"*","")),"")</f>
        <v>*</v>
      </c>
      <c r="I85" s="151" t="str">
        <f t="shared" si="97"/>
        <v>*</v>
      </c>
      <c r="J85" s="151" t="str">
        <f t="shared" si="97"/>
        <v>*</v>
      </c>
      <c r="K85" s="151" t="str">
        <f t="shared" si="97"/>
        <v>*</v>
      </c>
      <c r="L85" s="151" t="str">
        <f t="shared" si="97"/>
        <v>*</v>
      </c>
      <c r="M85" s="151" t="str">
        <f t="shared" si="97"/>
        <v>**</v>
      </c>
      <c r="N85" s="151" t="str">
        <f t="shared" si="97"/>
        <v>*</v>
      </c>
      <c r="O85" s="152" t="str">
        <f t="shared" si="97"/>
        <v>*</v>
      </c>
      <c r="P85" s="151" t="str">
        <f t="shared" si="97"/>
        <v>*</v>
      </c>
      <c r="Q85" s="151"/>
      <c r="R85" s="153"/>
      <c r="S85" s="151" t="str">
        <f t="shared" ref="S85:AA85" si="98">IFERROR(IF($G85&gt;18,IF(($G85-18)&gt;S$33,"**","*"),IF($G85&gt;=S$8,"*","")),"")</f>
        <v>*</v>
      </c>
      <c r="T85" s="151" t="str">
        <f t="shared" si="98"/>
        <v>*</v>
      </c>
      <c r="U85" s="151" t="str">
        <f t="shared" si="98"/>
        <v>*</v>
      </c>
      <c r="V85" s="151" t="str">
        <f t="shared" si="98"/>
        <v>*</v>
      </c>
      <c r="W85" s="151" t="str">
        <f t="shared" si="98"/>
        <v>**</v>
      </c>
      <c r="X85" s="151" t="str">
        <f t="shared" si="98"/>
        <v>*</v>
      </c>
      <c r="Y85" s="151" t="str">
        <f t="shared" si="98"/>
        <v>*</v>
      </c>
      <c r="Z85" s="151" t="str">
        <f t="shared" si="98"/>
        <v>*</v>
      </c>
      <c r="AA85" s="152" t="str">
        <f t="shared" si="98"/>
        <v>*</v>
      </c>
      <c r="AB85" s="151"/>
      <c r="AC85" s="151" t="str">
        <f>IF(AB85="","",SUM(Q85,AB85))</f>
        <v/>
      </c>
      <c r="AD85" s="12"/>
      <c r="AE85" s="1"/>
      <c r="AF85" s="1"/>
    </row>
    <row r="86" ht="18.75" customHeight="1">
      <c r="A86" s="60"/>
      <c r="B86" s="60" t="str">
        <f>F85</f>
        <v>KIP</v>
      </c>
      <c r="C86" s="1"/>
      <c r="D86" s="1"/>
      <c r="E86" s="7"/>
      <c r="F86" s="154"/>
      <c r="G86" s="155"/>
      <c r="H86" s="186">
        <v>6.0</v>
      </c>
      <c r="I86" s="186">
        <v>6.0</v>
      </c>
      <c r="J86" s="186">
        <v>4.0</v>
      </c>
      <c r="K86" s="186">
        <v>6.0</v>
      </c>
      <c r="L86" s="186">
        <v>5.0</v>
      </c>
      <c r="M86" s="186">
        <v>7.0</v>
      </c>
      <c r="N86" s="186">
        <v>7.0</v>
      </c>
      <c r="O86" s="187">
        <v>4.0</v>
      </c>
      <c r="P86" s="186">
        <v>7.0</v>
      </c>
      <c r="Q86" s="156">
        <f>IF(H86="","",SUM(H86:P86))</f>
        <v>52</v>
      </c>
      <c r="R86" s="153"/>
      <c r="S86" s="186">
        <v>8.0</v>
      </c>
      <c r="T86" s="186">
        <v>6.0</v>
      </c>
      <c r="U86" s="186">
        <v>6.0</v>
      </c>
      <c r="V86" s="186">
        <v>7.0</v>
      </c>
      <c r="W86" s="186">
        <v>7.0</v>
      </c>
      <c r="X86" s="186">
        <v>4.0</v>
      </c>
      <c r="Y86" s="186">
        <v>6.0</v>
      </c>
      <c r="Z86" s="186">
        <v>4.0</v>
      </c>
      <c r="AA86" s="187">
        <v>6.0</v>
      </c>
      <c r="AB86" s="156">
        <f>IF(S86="","",SUM(S86:AA86))</f>
        <v>54</v>
      </c>
      <c r="AC86" s="156">
        <f>IFERROR(Q86+AB86,"")</f>
        <v>106</v>
      </c>
      <c r="AD86" s="12"/>
      <c r="AE86" s="1"/>
      <c r="AF86" s="1"/>
    </row>
    <row r="87" ht="11.25" customHeight="1">
      <c r="A87" s="60"/>
      <c r="B87" s="60"/>
      <c r="C87" s="1"/>
      <c r="D87" s="1"/>
      <c r="E87" s="7"/>
      <c r="F87" s="183" t="s">
        <v>86</v>
      </c>
      <c r="G87" s="150">
        <f>IFERROR(VLOOKUP(F87,HANDICAPS!$B$8:$G$23,$D$3,FALSE),"")</f>
        <v>24</v>
      </c>
      <c r="H87" s="158" t="str">
        <f t="shared" ref="H87:P87" si="99">IFERROR(IF($G87&gt;18,IF(($G87-18)&gt;H$33,"**","*"),IF($G87&gt;=H$8,"*","")),"")</f>
        <v>**</v>
      </c>
      <c r="I87" s="158" t="str">
        <f t="shared" si="99"/>
        <v>*</v>
      </c>
      <c r="J87" s="158" t="str">
        <f t="shared" si="99"/>
        <v>*</v>
      </c>
      <c r="K87" s="158" t="str">
        <f t="shared" si="99"/>
        <v>*</v>
      </c>
      <c r="L87" s="158" t="str">
        <f t="shared" si="99"/>
        <v>*</v>
      </c>
      <c r="M87" s="158" t="str">
        <f t="shared" si="99"/>
        <v>**</v>
      </c>
      <c r="N87" s="158" t="str">
        <f t="shared" si="99"/>
        <v>*</v>
      </c>
      <c r="O87" s="159" t="str">
        <f t="shared" si="99"/>
        <v>*</v>
      </c>
      <c r="P87" s="158" t="str">
        <f t="shared" si="99"/>
        <v>**</v>
      </c>
      <c r="Q87" s="158"/>
      <c r="R87" s="158"/>
      <c r="S87" s="158" t="str">
        <f t="shared" ref="S87:AA87" si="100">IFERROR(IF($G87&gt;18,IF(($G87-18)&gt;S$33,"**","*"),IF($G87&gt;=S$8,"*","")),"")</f>
        <v>*</v>
      </c>
      <c r="T87" s="158" t="str">
        <f t="shared" si="100"/>
        <v>*</v>
      </c>
      <c r="U87" s="158" t="str">
        <f t="shared" si="100"/>
        <v>*</v>
      </c>
      <c r="V87" s="158" t="str">
        <f t="shared" si="100"/>
        <v>*</v>
      </c>
      <c r="W87" s="158" t="str">
        <f t="shared" si="100"/>
        <v>**</v>
      </c>
      <c r="X87" s="158" t="str">
        <f t="shared" si="100"/>
        <v>*</v>
      </c>
      <c r="Y87" s="158" t="str">
        <f t="shared" si="100"/>
        <v>**</v>
      </c>
      <c r="Z87" s="158" t="str">
        <f t="shared" si="100"/>
        <v>*</v>
      </c>
      <c r="AA87" s="159" t="str">
        <f t="shared" si="100"/>
        <v>*</v>
      </c>
      <c r="AB87" s="151"/>
      <c r="AC87" s="151" t="str">
        <f>IF(AB87="","",SUM(Q87,AB87))</f>
        <v/>
      </c>
      <c r="AD87" s="12"/>
      <c r="AE87" s="1"/>
      <c r="AF87" s="1"/>
    </row>
    <row r="88" ht="18.75" customHeight="1">
      <c r="A88" s="60"/>
      <c r="B88" s="60" t="str">
        <f>F87</f>
        <v>RYAN</v>
      </c>
      <c r="C88" s="1"/>
      <c r="D88" s="1"/>
      <c r="E88" s="7"/>
      <c r="F88" s="154"/>
      <c r="G88" s="155"/>
      <c r="H88" s="186">
        <v>6.0</v>
      </c>
      <c r="I88" s="186">
        <v>6.0</v>
      </c>
      <c r="J88" s="186">
        <v>6.0</v>
      </c>
      <c r="K88" s="186">
        <v>4.0</v>
      </c>
      <c r="L88" s="186">
        <v>5.0</v>
      </c>
      <c r="M88" s="186">
        <v>7.0</v>
      </c>
      <c r="N88" s="186">
        <v>8.0</v>
      </c>
      <c r="O88" s="187">
        <v>5.0</v>
      </c>
      <c r="P88" s="186">
        <v>6.0</v>
      </c>
      <c r="Q88" s="156">
        <f>IF(H88="","",SUM(H88:P88))</f>
        <v>53</v>
      </c>
      <c r="R88" s="160"/>
      <c r="S88" s="186">
        <v>6.0</v>
      </c>
      <c r="T88" s="186">
        <v>3.0</v>
      </c>
      <c r="U88" s="186">
        <v>8.0</v>
      </c>
      <c r="V88" s="186">
        <v>8.0</v>
      </c>
      <c r="W88" s="186">
        <v>7.0</v>
      </c>
      <c r="X88" s="186">
        <v>5.0</v>
      </c>
      <c r="Y88" s="186">
        <v>5.0</v>
      </c>
      <c r="Z88" s="186">
        <v>4.0</v>
      </c>
      <c r="AA88" s="187">
        <v>6.0</v>
      </c>
      <c r="AB88" s="156">
        <f>IF(S88="","",SUM(S88:AA88))</f>
        <v>52</v>
      </c>
      <c r="AC88" s="156">
        <f>IFERROR(Q88+AB88,"")</f>
        <v>105</v>
      </c>
      <c r="AD88" s="12"/>
      <c r="AE88" s="1"/>
      <c r="AF88" s="1"/>
    </row>
    <row r="89" ht="6.75" customHeight="1">
      <c r="A89" s="60"/>
      <c r="B89" s="60"/>
      <c r="C89" s="1"/>
      <c r="D89" s="1"/>
      <c r="E89" s="7"/>
      <c r="F89" s="16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12"/>
      <c r="AE89" s="1"/>
      <c r="AF89" s="1"/>
    </row>
    <row r="90" ht="27.75" customHeight="1">
      <c r="A90" s="60"/>
      <c r="B90" s="60"/>
      <c r="C90" s="1"/>
      <c r="D90" s="1"/>
      <c r="E90" s="7"/>
      <c r="F90" s="161" t="s">
        <v>143</v>
      </c>
      <c r="G90" s="142"/>
      <c r="H90" s="162">
        <f t="shared" ref="H90:P90" si="101">IF(H86="","",MIN(IF(H85="**",H86-2,IF(H85="*",H86-1,H86)),(IF(H87="**",H88-2,IF(H87="*",H88-1,H88)))))</f>
        <v>4</v>
      </c>
      <c r="I90" s="162">
        <f t="shared" si="101"/>
        <v>5</v>
      </c>
      <c r="J90" s="162">
        <f t="shared" si="101"/>
        <v>3</v>
      </c>
      <c r="K90" s="162">
        <f t="shared" si="101"/>
        <v>3</v>
      </c>
      <c r="L90" s="162">
        <f t="shared" si="101"/>
        <v>4</v>
      </c>
      <c r="M90" s="162">
        <f t="shared" si="101"/>
        <v>5</v>
      </c>
      <c r="N90" s="162">
        <f t="shared" si="101"/>
        <v>6</v>
      </c>
      <c r="O90" s="163">
        <f t="shared" si="101"/>
        <v>3</v>
      </c>
      <c r="P90" s="162">
        <f t="shared" si="101"/>
        <v>4</v>
      </c>
      <c r="Q90" s="162">
        <f t="shared" ref="Q90:Q91" si="104">IF(H90="","",SUM(H90:P90))</f>
        <v>37</v>
      </c>
      <c r="R90" s="23"/>
      <c r="S90" s="162">
        <f t="shared" ref="S90:AA90" si="102">IF(S86="","",MIN(IF(S85="**",S86-2,IF(S85="*",S86-1,S86)),(IF(S87="**",S88-2,IF(S87="*",S88-1,S88)))))</f>
        <v>5</v>
      </c>
      <c r="T90" s="162">
        <f t="shared" si="102"/>
        <v>2</v>
      </c>
      <c r="U90" s="162">
        <f t="shared" si="102"/>
        <v>5</v>
      </c>
      <c r="V90" s="162">
        <f t="shared" si="102"/>
        <v>6</v>
      </c>
      <c r="W90" s="162">
        <f t="shared" si="102"/>
        <v>5</v>
      </c>
      <c r="X90" s="162">
        <f t="shared" si="102"/>
        <v>3</v>
      </c>
      <c r="Y90" s="162">
        <f t="shared" si="102"/>
        <v>3</v>
      </c>
      <c r="Z90" s="162">
        <f t="shared" si="102"/>
        <v>3</v>
      </c>
      <c r="AA90" s="163">
        <f t="shared" si="102"/>
        <v>5</v>
      </c>
      <c r="AB90" s="162">
        <f t="shared" ref="AB90:AB91" si="106">IF(S90="","",SUM(S90:AA90))</f>
        <v>37</v>
      </c>
      <c r="AC90" s="162">
        <f t="shared" ref="AC90:AC91" si="107">IF(AB90="","",AB90+Q90)</f>
        <v>74</v>
      </c>
      <c r="AD90" s="12"/>
      <c r="AE90" s="1"/>
      <c r="AF90" s="1"/>
    </row>
    <row r="91" ht="27.75" customHeight="1">
      <c r="A91" s="60"/>
      <c r="B91" s="60"/>
      <c r="C91" s="1"/>
      <c r="D91" s="1"/>
      <c r="E91" s="7"/>
      <c r="F91" s="161" t="s">
        <v>144</v>
      </c>
      <c r="G91" s="142"/>
      <c r="H91" s="164">
        <f t="shared" ref="H91:P91" si="103">IF(H90="","",IF(H90=H98,0.5,IF(H90&lt;H98,1,0)))</f>
        <v>0.5</v>
      </c>
      <c r="I91" s="164">
        <f t="shared" si="103"/>
        <v>0</v>
      </c>
      <c r="J91" s="164">
        <f t="shared" si="103"/>
        <v>1</v>
      </c>
      <c r="K91" s="164">
        <f t="shared" si="103"/>
        <v>0</v>
      </c>
      <c r="L91" s="164">
        <f t="shared" si="103"/>
        <v>1</v>
      </c>
      <c r="M91" s="164">
        <f t="shared" si="103"/>
        <v>1</v>
      </c>
      <c r="N91" s="164">
        <f t="shared" si="103"/>
        <v>0.5</v>
      </c>
      <c r="O91" s="165">
        <f t="shared" si="103"/>
        <v>0</v>
      </c>
      <c r="P91" s="164">
        <f t="shared" si="103"/>
        <v>1</v>
      </c>
      <c r="Q91" s="164">
        <f t="shared" si="104"/>
        <v>5</v>
      </c>
      <c r="R91" s="23"/>
      <c r="S91" s="164">
        <f t="shared" ref="S91:AA91" si="105">IF(S90="","",IF(S90=S98,0.5,IF(S90&lt;S98,1,0)))</f>
        <v>1</v>
      </c>
      <c r="T91" s="164">
        <f t="shared" si="105"/>
        <v>1</v>
      </c>
      <c r="U91" s="164">
        <f t="shared" si="105"/>
        <v>0.5</v>
      </c>
      <c r="V91" s="164">
        <f t="shared" si="105"/>
        <v>0</v>
      </c>
      <c r="W91" s="164">
        <f t="shared" si="105"/>
        <v>0</v>
      </c>
      <c r="X91" s="164">
        <f t="shared" si="105"/>
        <v>0.5</v>
      </c>
      <c r="Y91" s="164">
        <f t="shared" si="105"/>
        <v>1</v>
      </c>
      <c r="Z91" s="164">
        <f t="shared" si="105"/>
        <v>0</v>
      </c>
      <c r="AA91" s="165">
        <f t="shared" si="105"/>
        <v>0</v>
      </c>
      <c r="AB91" s="164">
        <f t="shared" si="106"/>
        <v>4</v>
      </c>
      <c r="AC91" s="164">
        <f t="shared" si="107"/>
        <v>9</v>
      </c>
      <c r="AD91" s="12"/>
      <c r="AE91" s="1"/>
      <c r="AF91" s="1"/>
    </row>
    <row r="92" ht="6.75" customHeight="1">
      <c r="A92" s="60"/>
      <c r="B92" s="60"/>
      <c r="C92" s="1"/>
      <c r="D92" s="1"/>
      <c r="E92" s="7"/>
      <c r="F92" s="16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12"/>
      <c r="AE92" s="1"/>
      <c r="AF92" s="1"/>
    </row>
    <row r="93" ht="11.25" customHeight="1">
      <c r="A93" s="60"/>
      <c r="B93" s="60"/>
      <c r="C93" s="1"/>
      <c r="D93" s="1"/>
      <c r="E93" s="7"/>
      <c r="F93" s="183" t="s">
        <v>131</v>
      </c>
      <c r="G93" s="150">
        <f>IFERROR(VLOOKUP(F93,HANDICAPS!$B$8:$G$23,$D$3,FALSE),"")</f>
        <v>21</v>
      </c>
      <c r="H93" s="151" t="str">
        <f t="shared" ref="H93:P93" si="108">IFERROR(IF($G93&gt;18,IF(($G93-18)&gt;H$33,"**","*"),IF($G93&gt;=H$8,"*","")),"")</f>
        <v>*</v>
      </c>
      <c r="I93" s="151" t="str">
        <f t="shared" si="108"/>
        <v>*</v>
      </c>
      <c r="J93" s="151" t="str">
        <f t="shared" si="108"/>
        <v>*</v>
      </c>
      <c r="K93" s="151" t="str">
        <f t="shared" si="108"/>
        <v>*</v>
      </c>
      <c r="L93" s="151" t="str">
        <f t="shared" si="108"/>
        <v>*</v>
      </c>
      <c r="M93" s="151" t="str">
        <f t="shared" si="108"/>
        <v>**</v>
      </c>
      <c r="N93" s="151" t="str">
        <f t="shared" si="108"/>
        <v>*</v>
      </c>
      <c r="O93" s="152" t="str">
        <f t="shared" si="108"/>
        <v>*</v>
      </c>
      <c r="P93" s="151" t="str">
        <f t="shared" si="108"/>
        <v>*</v>
      </c>
      <c r="Q93" s="151"/>
      <c r="R93" s="153"/>
      <c r="S93" s="151" t="str">
        <f t="shared" ref="S93:AA93" si="109">IFERROR(IF($G93&gt;18,IF(($G93-18)&gt;S$33,"**","*"),IF($G93&gt;=S$8,"*","")),"")</f>
        <v>*</v>
      </c>
      <c r="T93" s="151" t="str">
        <f t="shared" si="109"/>
        <v>*</v>
      </c>
      <c r="U93" s="151" t="str">
        <f t="shared" si="109"/>
        <v>*</v>
      </c>
      <c r="V93" s="151" t="str">
        <f t="shared" si="109"/>
        <v>*</v>
      </c>
      <c r="W93" s="151" t="str">
        <f t="shared" si="109"/>
        <v>**</v>
      </c>
      <c r="X93" s="151" t="str">
        <f t="shared" si="109"/>
        <v>*</v>
      </c>
      <c r="Y93" s="151" t="str">
        <f t="shared" si="109"/>
        <v>*</v>
      </c>
      <c r="Z93" s="151" t="str">
        <f t="shared" si="109"/>
        <v>*</v>
      </c>
      <c r="AA93" s="152" t="str">
        <f t="shared" si="109"/>
        <v>*</v>
      </c>
      <c r="AB93" s="151"/>
      <c r="AC93" s="151" t="str">
        <f>IF(AB93="","",SUM(Q93,AB93))</f>
        <v/>
      </c>
      <c r="AD93" s="12"/>
      <c r="AE93" s="1"/>
      <c r="AF93" s="1"/>
    </row>
    <row r="94" ht="18.75" customHeight="1">
      <c r="A94" s="60"/>
      <c r="B94" s="60" t="str">
        <f>F93</f>
        <v>SKYLAR</v>
      </c>
      <c r="C94" s="1"/>
      <c r="D94" s="1"/>
      <c r="E94" s="7"/>
      <c r="F94" s="154"/>
      <c r="G94" s="155"/>
      <c r="H94" s="186">
        <v>6.0</v>
      </c>
      <c r="I94" s="186">
        <v>5.0</v>
      </c>
      <c r="J94" s="186">
        <v>6.0</v>
      </c>
      <c r="K94" s="186">
        <v>6.0</v>
      </c>
      <c r="L94" s="186">
        <v>6.0</v>
      </c>
      <c r="M94" s="186">
        <v>8.0</v>
      </c>
      <c r="N94" s="186">
        <v>7.0</v>
      </c>
      <c r="O94" s="187">
        <v>3.0</v>
      </c>
      <c r="P94" s="186">
        <v>6.0</v>
      </c>
      <c r="Q94" s="156">
        <f>IF(H94="","",SUM(H94:P94))</f>
        <v>53</v>
      </c>
      <c r="R94" s="153"/>
      <c r="S94" s="186">
        <v>7.0</v>
      </c>
      <c r="T94" s="186">
        <v>4.0</v>
      </c>
      <c r="U94" s="186">
        <v>6.0</v>
      </c>
      <c r="V94" s="186">
        <v>6.0</v>
      </c>
      <c r="W94" s="186">
        <v>6.0</v>
      </c>
      <c r="X94" s="186">
        <v>7.0</v>
      </c>
      <c r="Y94" s="186">
        <v>5.0</v>
      </c>
      <c r="Z94" s="186">
        <v>4.0</v>
      </c>
      <c r="AA94" s="187">
        <v>4.0</v>
      </c>
      <c r="AB94" s="156">
        <f>IF(S94="","",SUM(S94:AA94))</f>
        <v>49</v>
      </c>
      <c r="AC94" s="156">
        <f>IFERROR(Q94+AB94,"")</f>
        <v>102</v>
      </c>
      <c r="AD94" s="12"/>
      <c r="AE94" s="1"/>
      <c r="AF94" s="1"/>
    </row>
    <row r="95" ht="11.25" customHeight="1">
      <c r="A95" s="60"/>
      <c r="B95" s="60"/>
      <c r="C95" s="1"/>
      <c r="D95" s="1"/>
      <c r="E95" s="7"/>
      <c r="F95" s="183" t="s">
        <v>130</v>
      </c>
      <c r="G95" s="150">
        <f>IFERROR(VLOOKUP(F95,HANDICAPS!$B$8:$G$23,$D$3,FALSE),"")</f>
        <v>21</v>
      </c>
      <c r="H95" s="158" t="str">
        <f t="shared" ref="H95:P95" si="110">IFERROR(IF($G95&gt;18,IF(($G95-18)&gt;H$33,"**","*"),IF($G95&gt;=H$8,"*","")),"")</f>
        <v>*</v>
      </c>
      <c r="I95" s="158" t="str">
        <f t="shared" si="110"/>
        <v>*</v>
      </c>
      <c r="J95" s="158" t="str">
        <f t="shared" si="110"/>
        <v>*</v>
      </c>
      <c r="K95" s="158" t="str">
        <f t="shared" si="110"/>
        <v>*</v>
      </c>
      <c r="L95" s="158" t="str">
        <f t="shared" si="110"/>
        <v>*</v>
      </c>
      <c r="M95" s="158" t="str">
        <f t="shared" si="110"/>
        <v>**</v>
      </c>
      <c r="N95" s="158" t="str">
        <f t="shared" si="110"/>
        <v>*</v>
      </c>
      <c r="O95" s="159" t="str">
        <f t="shared" si="110"/>
        <v>*</v>
      </c>
      <c r="P95" s="158" t="str">
        <f t="shared" si="110"/>
        <v>*</v>
      </c>
      <c r="Q95" s="158"/>
      <c r="R95" s="158"/>
      <c r="S95" s="158" t="str">
        <f t="shared" ref="S95:AA95" si="111">IFERROR(IF($G95&gt;18,IF(($G95-18)&gt;S$33,"**","*"),IF($G95&gt;=S$8,"*","")),"")</f>
        <v>*</v>
      </c>
      <c r="T95" s="158" t="str">
        <f t="shared" si="111"/>
        <v>*</v>
      </c>
      <c r="U95" s="158" t="str">
        <f t="shared" si="111"/>
        <v>*</v>
      </c>
      <c r="V95" s="158" t="str">
        <f t="shared" si="111"/>
        <v>*</v>
      </c>
      <c r="W95" s="158" t="str">
        <f t="shared" si="111"/>
        <v>**</v>
      </c>
      <c r="X95" s="158" t="str">
        <f t="shared" si="111"/>
        <v>*</v>
      </c>
      <c r="Y95" s="158" t="str">
        <f t="shared" si="111"/>
        <v>*</v>
      </c>
      <c r="Z95" s="158" t="str">
        <f t="shared" si="111"/>
        <v>*</v>
      </c>
      <c r="AA95" s="159" t="str">
        <f t="shared" si="111"/>
        <v>*</v>
      </c>
      <c r="AB95" s="151"/>
      <c r="AC95" s="151" t="str">
        <f>IF(AB95="","",SUM(Q95,AB95))</f>
        <v/>
      </c>
      <c r="AD95" s="12"/>
      <c r="AE95" s="1"/>
      <c r="AF95" s="1"/>
    </row>
    <row r="96" ht="18.75" customHeight="1">
      <c r="A96" s="60"/>
      <c r="B96" s="60" t="str">
        <f>F95</f>
        <v>SHEPP</v>
      </c>
      <c r="C96" s="1"/>
      <c r="D96" s="1"/>
      <c r="E96" s="7"/>
      <c r="F96" s="154"/>
      <c r="G96" s="155"/>
      <c r="H96" s="186">
        <v>5.0</v>
      </c>
      <c r="I96" s="186">
        <v>4.0</v>
      </c>
      <c r="J96" s="186">
        <v>8.0</v>
      </c>
      <c r="K96" s="186">
        <v>3.0</v>
      </c>
      <c r="L96" s="186">
        <v>6.0</v>
      </c>
      <c r="M96" s="186">
        <v>8.0</v>
      </c>
      <c r="N96" s="186">
        <v>8.0</v>
      </c>
      <c r="O96" s="187">
        <v>5.0</v>
      </c>
      <c r="P96" s="186">
        <v>8.0</v>
      </c>
      <c r="Q96" s="156">
        <f>IF(H96="","",SUM(H96:P96))</f>
        <v>55</v>
      </c>
      <c r="R96" s="160"/>
      <c r="S96" s="186">
        <v>7.0</v>
      </c>
      <c r="T96" s="186">
        <v>5.0</v>
      </c>
      <c r="U96" s="186">
        <v>6.0</v>
      </c>
      <c r="V96" s="186">
        <v>6.0</v>
      </c>
      <c r="W96" s="186">
        <v>7.0</v>
      </c>
      <c r="X96" s="186">
        <v>4.0</v>
      </c>
      <c r="Y96" s="186">
        <v>7.0</v>
      </c>
      <c r="Z96" s="186">
        <v>3.0</v>
      </c>
      <c r="AA96" s="187">
        <v>7.0</v>
      </c>
      <c r="AB96" s="156">
        <f>IF(S96="","",SUM(S96:AA96))</f>
        <v>52</v>
      </c>
      <c r="AC96" s="156">
        <f>IFERROR(Q96+AB96,"")</f>
        <v>107</v>
      </c>
      <c r="AD96" s="12"/>
      <c r="AE96" s="1"/>
      <c r="AF96" s="1"/>
    </row>
    <row r="97" ht="6.75" customHeight="1">
      <c r="A97" s="60"/>
      <c r="B97" s="60"/>
      <c r="C97" s="1"/>
      <c r="D97" s="1"/>
      <c r="E97" s="7"/>
      <c r="F97" s="16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12"/>
      <c r="AE97" s="1"/>
      <c r="AF97" s="1"/>
    </row>
    <row r="98" ht="27.75" customHeight="1">
      <c r="A98" s="60"/>
      <c r="B98" s="60"/>
      <c r="C98" s="1"/>
      <c r="D98" s="1"/>
      <c r="E98" s="7"/>
      <c r="F98" s="161" t="s">
        <v>143</v>
      </c>
      <c r="G98" s="142"/>
      <c r="H98" s="162">
        <f t="shared" ref="H98:P98" si="112">IF(H94="","",MIN(IF(H93="**",H94-2,IF(H93="*",H94-1,H94)),(IF(H95="**",H96-2,IF(H95="*",H96-1,H96)))))</f>
        <v>4</v>
      </c>
      <c r="I98" s="162">
        <f t="shared" si="112"/>
        <v>3</v>
      </c>
      <c r="J98" s="162">
        <f t="shared" si="112"/>
        <v>5</v>
      </c>
      <c r="K98" s="162">
        <f t="shared" si="112"/>
        <v>2</v>
      </c>
      <c r="L98" s="162">
        <f t="shared" si="112"/>
        <v>5</v>
      </c>
      <c r="M98" s="162">
        <f t="shared" si="112"/>
        <v>6</v>
      </c>
      <c r="N98" s="162">
        <f t="shared" si="112"/>
        <v>6</v>
      </c>
      <c r="O98" s="163">
        <f t="shared" si="112"/>
        <v>2</v>
      </c>
      <c r="P98" s="162">
        <f t="shared" si="112"/>
        <v>5</v>
      </c>
      <c r="Q98" s="162">
        <f t="shared" ref="Q98:Q99" si="115">IF(H98="","",SUM(H98:P98))</f>
        <v>38</v>
      </c>
      <c r="R98" s="23"/>
      <c r="S98" s="162">
        <f t="shared" ref="S98:AA98" si="113">IF(S94="","",MIN(IF(S93="**",S94-2,IF(S93="*",S94-1,S94)),(IF(S95="**",S96-2,IF(S95="*",S96-1,S96)))))</f>
        <v>6</v>
      </c>
      <c r="T98" s="162">
        <f t="shared" si="113"/>
        <v>3</v>
      </c>
      <c r="U98" s="162">
        <f t="shared" si="113"/>
        <v>5</v>
      </c>
      <c r="V98" s="162">
        <f t="shared" si="113"/>
        <v>5</v>
      </c>
      <c r="W98" s="162">
        <f t="shared" si="113"/>
        <v>4</v>
      </c>
      <c r="X98" s="162">
        <f t="shared" si="113"/>
        <v>3</v>
      </c>
      <c r="Y98" s="162">
        <f t="shared" si="113"/>
        <v>4</v>
      </c>
      <c r="Z98" s="162">
        <f t="shared" si="113"/>
        <v>2</v>
      </c>
      <c r="AA98" s="163">
        <f t="shared" si="113"/>
        <v>3</v>
      </c>
      <c r="AB98" s="162">
        <f t="shared" ref="AB98:AB99" si="117">IF(S98="","",SUM(S98:AA98))</f>
        <v>35</v>
      </c>
      <c r="AC98" s="162">
        <f t="shared" ref="AC98:AC99" si="118">IF(AB98="","",AB98+Q98)</f>
        <v>73</v>
      </c>
      <c r="AD98" s="12"/>
      <c r="AE98" s="1"/>
      <c r="AF98" s="1"/>
    </row>
    <row r="99" ht="27.75" customHeight="1">
      <c r="A99" s="60"/>
      <c r="B99" s="60"/>
      <c r="C99" s="1"/>
      <c r="D99" s="1"/>
      <c r="E99" s="7"/>
      <c r="F99" s="161" t="s">
        <v>144</v>
      </c>
      <c r="G99" s="142"/>
      <c r="H99" s="164">
        <f t="shared" ref="H99:P99" si="114">IF(H98="","",IF(H98=H90,0.5,IF(H98&lt;H90,1,0)))</f>
        <v>0.5</v>
      </c>
      <c r="I99" s="164">
        <f t="shared" si="114"/>
        <v>1</v>
      </c>
      <c r="J99" s="164">
        <f t="shared" si="114"/>
        <v>0</v>
      </c>
      <c r="K99" s="164">
        <f t="shared" si="114"/>
        <v>1</v>
      </c>
      <c r="L99" s="164">
        <f t="shared" si="114"/>
        <v>0</v>
      </c>
      <c r="M99" s="164">
        <f t="shared" si="114"/>
        <v>0</v>
      </c>
      <c r="N99" s="164">
        <f t="shared" si="114"/>
        <v>0.5</v>
      </c>
      <c r="O99" s="165">
        <f t="shared" si="114"/>
        <v>1</v>
      </c>
      <c r="P99" s="164">
        <f t="shared" si="114"/>
        <v>0</v>
      </c>
      <c r="Q99" s="164">
        <f t="shared" si="115"/>
        <v>4</v>
      </c>
      <c r="R99" s="23"/>
      <c r="S99" s="164">
        <f t="shared" ref="S99:AA99" si="116">IF(S98="","",IF(S98=S90,0.5,IF(S98&lt;S90,1,0)))</f>
        <v>0</v>
      </c>
      <c r="T99" s="164">
        <f t="shared" si="116"/>
        <v>0</v>
      </c>
      <c r="U99" s="164">
        <f t="shared" si="116"/>
        <v>0.5</v>
      </c>
      <c r="V99" s="164">
        <f t="shared" si="116"/>
        <v>1</v>
      </c>
      <c r="W99" s="164">
        <f t="shared" si="116"/>
        <v>1</v>
      </c>
      <c r="X99" s="164">
        <f t="shared" si="116"/>
        <v>0.5</v>
      </c>
      <c r="Y99" s="164">
        <f t="shared" si="116"/>
        <v>0</v>
      </c>
      <c r="Z99" s="164">
        <f t="shared" si="116"/>
        <v>1</v>
      </c>
      <c r="AA99" s="165">
        <f t="shared" si="116"/>
        <v>1</v>
      </c>
      <c r="AB99" s="164">
        <f t="shared" si="117"/>
        <v>5</v>
      </c>
      <c r="AC99" s="164">
        <f t="shared" si="118"/>
        <v>9</v>
      </c>
      <c r="AD99" s="12"/>
      <c r="AE99" s="1"/>
      <c r="AF99" s="1"/>
    </row>
    <row r="100" ht="6.75" customHeight="1">
      <c r="A100" s="60"/>
      <c r="B100" s="60"/>
      <c r="C100" s="1"/>
      <c r="D100" s="1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  <c r="AE100" s="1"/>
      <c r="AF100" s="1"/>
    </row>
    <row r="101" ht="6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6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9.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9.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9.5" hidden="1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9.5" hidden="1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9.5" hidden="1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9.5" hidden="1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9.5" hidden="1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9.5" hidden="1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9.5" hidden="1" customHeight="1">
      <c r="A111" s="60"/>
      <c r="B111" s="6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9.5" hidden="1" customHeight="1">
      <c r="A112" s="60"/>
      <c r="B112" s="6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9.5" hidden="1" customHeight="1">
      <c r="A113" s="60"/>
      <c r="B113" s="6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9.5" hidden="1" customHeight="1">
      <c r="A114" s="60"/>
      <c r="B114" s="6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9.5" hidden="1" customHeight="1">
      <c r="A115" s="60"/>
      <c r="B115" s="6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9.5" hidden="1" customHeight="1">
      <c r="A116" s="60"/>
      <c r="B116" s="6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9.5" hidden="1" customHeight="1">
      <c r="A117" s="60"/>
      <c r="B117" s="6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9.5" hidden="1" customHeight="1">
      <c r="A118" s="60"/>
      <c r="B118" s="6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9.5" hidden="1" customHeight="1">
      <c r="A119" s="60"/>
      <c r="B119" s="6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9.5" hidden="1" customHeight="1">
      <c r="A120" s="60"/>
      <c r="B120" s="6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9.5" hidden="1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4.25" hidden="1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4.25" hidden="1" customHeight="1">
      <c r="C123" s="1"/>
      <c r="D123" s="1"/>
      <c r="E123" s="1"/>
      <c r="F123" s="39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4.25" hidden="1" customHeight="1">
      <c r="C124" s="1"/>
      <c r="D124" s="1"/>
      <c r="E124" s="1"/>
      <c r="F124" s="1" t="str">
        <f>F10</f>
        <v>SCOTT</v>
      </c>
      <c r="G124" s="1"/>
      <c r="H124" s="40">
        <f t="shared" ref="H124:P124" si="119">H11</f>
        <v>3</v>
      </c>
      <c r="I124" s="40">
        <f t="shared" si="119"/>
        <v>4</v>
      </c>
      <c r="J124" s="40">
        <f t="shared" si="119"/>
        <v>6</v>
      </c>
      <c r="K124" s="40">
        <f t="shared" si="119"/>
        <v>4</v>
      </c>
      <c r="L124" s="40">
        <f t="shared" si="119"/>
        <v>5</v>
      </c>
      <c r="M124" s="40">
        <f t="shared" si="119"/>
        <v>4</v>
      </c>
      <c r="N124" s="40">
        <f t="shared" si="119"/>
        <v>5</v>
      </c>
      <c r="O124" s="40">
        <f t="shared" si="119"/>
        <v>4</v>
      </c>
      <c r="P124" s="40">
        <f t="shared" si="119"/>
        <v>5</v>
      </c>
      <c r="Q124" s="40"/>
      <c r="R124" s="40"/>
      <c r="S124" s="40">
        <f t="shared" ref="S124:AA124" si="120">S11</f>
        <v>4</v>
      </c>
      <c r="T124" s="40">
        <f t="shared" si="120"/>
        <v>4</v>
      </c>
      <c r="U124" s="40">
        <f t="shared" si="120"/>
        <v>7</v>
      </c>
      <c r="V124" s="40">
        <f t="shared" si="120"/>
        <v>5</v>
      </c>
      <c r="W124" s="40">
        <f t="shared" si="120"/>
        <v>4</v>
      </c>
      <c r="X124" s="40">
        <f t="shared" si="120"/>
        <v>3</v>
      </c>
      <c r="Y124" s="40">
        <f t="shared" si="120"/>
        <v>4</v>
      </c>
      <c r="Z124" s="40">
        <f t="shared" si="120"/>
        <v>3</v>
      </c>
      <c r="AA124" s="40">
        <f t="shared" si="120"/>
        <v>6</v>
      </c>
      <c r="AB124" s="1"/>
      <c r="AC124" s="1"/>
      <c r="AD124" s="1"/>
      <c r="AE124" s="1"/>
      <c r="AF124" s="1"/>
    </row>
    <row r="125" ht="14.25" hidden="1" customHeight="1">
      <c r="C125" s="1"/>
      <c r="D125" s="1"/>
      <c r="E125" s="1"/>
      <c r="F125" s="1" t="str">
        <f>F12</f>
        <v>MAX</v>
      </c>
      <c r="G125" s="1"/>
      <c r="H125" s="40">
        <f t="shared" ref="H125:P125" si="121">H13</f>
        <v>5</v>
      </c>
      <c r="I125" s="40">
        <f t="shared" si="121"/>
        <v>4</v>
      </c>
      <c r="J125" s="40">
        <f t="shared" si="121"/>
        <v>4</v>
      </c>
      <c r="K125" s="40">
        <f t="shared" si="121"/>
        <v>3</v>
      </c>
      <c r="L125" s="40">
        <f t="shared" si="121"/>
        <v>4</v>
      </c>
      <c r="M125" s="40">
        <f t="shared" si="121"/>
        <v>6</v>
      </c>
      <c r="N125" s="40">
        <f t="shared" si="121"/>
        <v>5</v>
      </c>
      <c r="O125" s="40">
        <f t="shared" si="121"/>
        <v>5</v>
      </c>
      <c r="P125" s="40">
        <f t="shared" si="121"/>
        <v>6</v>
      </c>
      <c r="Q125" s="40"/>
      <c r="R125" s="40"/>
      <c r="S125" s="40">
        <f t="shared" ref="S125:AA125" si="122">S13</f>
        <v>4</v>
      </c>
      <c r="T125" s="40">
        <f t="shared" si="122"/>
        <v>4</v>
      </c>
      <c r="U125" s="40">
        <f t="shared" si="122"/>
        <v>6</v>
      </c>
      <c r="V125" s="40">
        <f t="shared" si="122"/>
        <v>5</v>
      </c>
      <c r="W125" s="40">
        <f t="shared" si="122"/>
        <v>5</v>
      </c>
      <c r="X125" s="40">
        <f t="shared" si="122"/>
        <v>5</v>
      </c>
      <c r="Y125" s="40">
        <f t="shared" si="122"/>
        <v>4</v>
      </c>
      <c r="Z125" s="40">
        <f t="shared" si="122"/>
        <v>4</v>
      </c>
      <c r="AA125" s="40">
        <f t="shared" si="122"/>
        <v>6</v>
      </c>
      <c r="AB125" s="1"/>
      <c r="AC125" s="1"/>
      <c r="AD125" s="1"/>
      <c r="AE125" s="1"/>
      <c r="AF125" s="1"/>
    </row>
    <row r="126" ht="14.25" hidden="1" customHeight="1">
      <c r="C126" s="1"/>
      <c r="D126" s="1"/>
      <c r="E126" s="1"/>
      <c r="F126" s="1" t="str">
        <f>F18</f>
        <v>ZACH</v>
      </c>
      <c r="G126" s="1"/>
      <c r="H126" s="40">
        <f t="shared" ref="H126:P126" si="123">H19</f>
        <v>4</v>
      </c>
      <c r="I126" s="40">
        <f t="shared" si="123"/>
        <v>5</v>
      </c>
      <c r="J126" s="40">
        <f t="shared" si="123"/>
        <v>4</v>
      </c>
      <c r="K126" s="40">
        <f t="shared" si="123"/>
        <v>3</v>
      </c>
      <c r="L126" s="40">
        <f t="shared" si="123"/>
        <v>7</v>
      </c>
      <c r="M126" s="40">
        <f t="shared" si="123"/>
        <v>7</v>
      </c>
      <c r="N126" s="40">
        <f t="shared" si="123"/>
        <v>5</v>
      </c>
      <c r="O126" s="40">
        <f t="shared" si="123"/>
        <v>4</v>
      </c>
      <c r="P126" s="40">
        <f t="shared" si="123"/>
        <v>3</v>
      </c>
      <c r="Q126" s="40"/>
      <c r="R126" s="40"/>
      <c r="S126" s="40">
        <f t="shared" ref="S126:AA126" si="124">S19</f>
        <v>4</v>
      </c>
      <c r="T126" s="40">
        <f t="shared" si="124"/>
        <v>3</v>
      </c>
      <c r="U126" s="40">
        <f t="shared" si="124"/>
        <v>6</v>
      </c>
      <c r="V126" s="40">
        <f t="shared" si="124"/>
        <v>4</v>
      </c>
      <c r="W126" s="40">
        <f t="shared" si="124"/>
        <v>6</v>
      </c>
      <c r="X126" s="40">
        <f t="shared" si="124"/>
        <v>5</v>
      </c>
      <c r="Y126" s="40">
        <f t="shared" si="124"/>
        <v>3</v>
      </c>
      <c r="Z126" s="40">
        <f t="shared" si="124"/>
        <v>4</v>
      </c>
      <c r="AA126" s="40">
        <f t="shared" si="124"/>
        <v>5</v>
      </c>
      <c r="AB126" s="1"/>
      <c r="AC126" s="1"/>
      <c r="AD126" s="1"/>
      <c r="AE126" s="1"/>
      <c r="AF126" s="1"/>
    </row>
    <row r="127" ht="14.25" hidden="1" customHeight="1">
      <c r="C127" s="1"/>
      <c r="D127" s="1"/>
      <c r="E127" s="1"/>
      <c r="F127" s="1" t="str">
        <f>F20</f>
        <v>TOM</v>
      </c>
      <c r="G127" s="1"/>
      <c r="H127" s="40">
        <f t="shared" ref="H127:P127" si="125">H21</f>
        <v>7</v>
      </c>
      <c r="I127" s="40">
        <f t="shared" si="125"/>
        <v>6</v>
      </c>
      <c r="J127" s="40">
        <f t="shared" si="125"/>
        <v>5</v>
      </c>
      <c r="K127" s="40">
        <f t="shared" si="125"/>
        <v>4</v>
      </c>
      <c r="L127" s="40">
        <f t="shared" si="125"/>
        <v>5</v>
      </c>
      <c r="M127" s="40">
        <f t="shared" si="125"/>
        <v>7</v>
      </c>
      <c r="N127" s="40">
        <f t="shared" si="125"/>
        <v>6</v>
      </c>
      <c r="O127" s="40">
        <f t="shared" si="125"/>
        <v>4</v>
      </c>
      <c r="P127" s="40">
        <f t="shared" si="125"/>
        <v>5</v>
      </c>
      <c r="Q127" s="40"/>
      <c r="R127" s="40"/>
      <c r="S127" s="40">
        <f t="shared" ref="S127:AA127" si="126">S21</f>
        <v>6</v>
      </c>
      <c r="T127" s="40">
        <f t="shared" si="126"/>
        <v>4</v>
      </c>
      <c r="U127" s="40">
        <f t="shared" si="126"/>
        <v>6</v>
      </c>
      <c r="V127" s="40">
        <f t="shared" si="126"/>
        <v>4</v>
      </c>
      <c r="W127" s="40">
        <f t="shared" si="126"/>
        <v>6</v>
      </c>
      <c r="X127" s="40">
        <f t="shared" si="126"/>
        <v>6</v>
      </c>
      <c r="Y127" s="40">
        <f t="shared" si="126"/>
        <v>6</v>
      </c>
      <c r="Z127" s="40">
        <f t="shared" si="126"/>
        <v>2</v>
      </c>
      <c r="AA127" s="40">
        <f t="shared" si="126"/>
        <v>6</v>
      </c>
      <c r="AB127" s="1"/>
      <c r="AC127" s="1"/>
      <c r="AD127" s="1"/>
      <c r="AE127" s="1"/>
      <c r="AF127" s="1"/>
    </row>
    <row r="128" ht="14.25" hidden="1" customHeight="1">
      <c r="C128" s="1"/>
      <c r="D128" s="1"/>
      <c r="E128" s="1"/>
      <c r="F128" s="1" t="str">
        <f>F35</f>
        <v>DEREK</v>
      </c>
      <c r="G128" s="1"/>
      <c r="H128" s="40">
        <f t="shared" ref="H128:P128" si="127">H36</f>
        <v>4</v>
      </c>
      <c r="I128" s="40">
        <f t="shared" si="127"/>
        <v>4</v>
      </c>
      <c r="J128" s="40">
        <f t="shared" si="127"/>
        <v>3</v>
      </c>
      <c r="K128" s="40">
        <f t="shared" si="127"/>
        <v>3</v>
      </c>
      <c r="L128" s="40">
        <f t="shared" si="127"/>
        <v>3</v>
      </c>
      <c r="M128" s="40">
        <f t="shared" si="127"/>
        <v>5</v>
      </c>
      <c r="N128" s="40">
        <f t="shared" si="127"/>
        <v>4</v>
      </c>
      <c r="O128" s="40">
        <f t="shared" si="127"/>
        <v>3</v>
      </c>
      <c r="P128" s="40">
        <f t="shared" si="127"/>
        <v>6</v>
      </c>
      <c r="Q128" s="40"/>
      <c r="R128" s="40"/>
      <c r="S128" s="40">
        <f t="shared" ref="S128:AA128" si="128">S36</f>
        <v>3</v>
      </c>
      <c r="T128" s="40">
        <f t="shared" si="128"/>
        <v>4</v>
      </c>
      <c r="U128" s="40">
        <f t="shared" si="128"/>
        <v>5</v>
      </c>
      <c r="V128" s="40">
        <f t="shared" si="128"/>
        <v>4</v>
      </c>
      <c r="W128" s="40">
        <f t="shared" si="128"/>
        <v>6</v>
      </c>
      <c r="X128" s="40">
        <f t="shared" si="128"/>
        <v>5</v>
      </c>
      <c r="Y128" s="40">
        <f t="shared" si="128"/>
        <v>5</v>
      </c>
      <c r="Z128" s="40">
        <f t="shared" si="128"/>
        <v>3</v>
      </c>
      <c r="AA128" s="40">
        <f t="shared" si="128"/>
        <v>3</v>
      </c>
      <c r="AB128" s="1"/>
      <c r="AC128" s="1"/>
      <c r="AD128" s="1"/>
      <c r="AE128" s="1"/>
      <c r="AF128" s="1"/>
    </row>
    <row r="129" ht="14.25" hidden="1" customHeight="1">
      <c r="C129" s="1"/>
      <c r="D129" s="1"/>
      <c r="E129" s="1"/>
      <c r="F129" s="1" t="str">
        <f>F37</f>
        <v>DYLAN</v>
      </c>
      <c r="G129" s="1"/>
      <c r="H129" s="40">
        <f t="shared" ref="H129:P129" si="129">H38</f>
        <v>6</v>
      </c>
      <c r="I129" s="40">
        <f t="shared" si="129"/>
        <v>4</v>
      </c>
      <c r="J129" s="40">
        <f t="shared" si="129"/>
        <v>5</v>
      </c>
      <c r="K129" s="40">
        <f t="shared" si="129"/>
        <v>3</v>
      </c>
      <c r="L129" s="40">
        <f t="shared" si="129"/>
        <v>5</v>
      </c>
      <c r="M129" s="40">
        <f t="shared" si="129"/>
        <v>5</v>
      </c>
      <c r="N129" s="40">
        <f t="shared" si="129"/>
        <v>6</v>
      </c>
      <c r="O129" s="40">
        <f t="shared" si="129"/>
        <v>4</v>
      </c>
      <c r="P129" s="40">
        <f t="shared" si="129"/>
        <v>5</v>
      </c>
      <c r="Q129" s="40"/>
      <c r="R129" s="40"/>
      <c r="S129" s="40">
        <f t="shared" ref="S129:AA129" si="130">S38</f>
        <v>5</v>
      </c>
      <c r="T129" s="40">
        <f t="shared" si="130"/>
        <v>4</v>
      </c>
      <c r="U129" s="40">
        <f t="shared" si="130"/>
        <v>6</v>
      </c>
      <c r="V129" s="40">
        <f t="shared" si="130"/>
        <v>5</v>
      </c>
      <c r="W129" s="40">
        <f t="shared" si="130"/>
        <v>6</v>
      </c>
      <c r="X129" s="40">
        <f t="shared" si="130"/>
        <v>5</v>
      </c>
      <c r="Y129" s="40">
        <f t="shared" si="130"/>
        <v>5</v>
      </c>
      <c r="Z129" s="40">
        <f t="shared" si="130"/>
        <v>4</v>
      </c>
      <c r="AA129" s="40">
        <f t="shared" si="130"/>
        <v>6</v>
      </c>
      <c r="AB129" s="1"/>
      <c r="AC129" s="1"/>
      <c r="AD129" s="1"/>
      <c r="AE129" s="1"/>
      <c r="AF129" s="1"/>
    </row>
    <row r="130" ht="14.25" hidden="1" customHeight="1">
      <c r="C130" s="1"/>
      <c r="D130" s="1"/>
      <c r="E130" s="1"/>
      <c r="F130" s="1" t="str">
        <f>F43</f>
        <v>DANNY</v>
      </c>
      <c r="G130" s="1"/>
      <c r="H130" s="40">
        <f t="shared" ref="H130:P130" si="131">H44</f>
        <v>4</v>
      </c>
      <c r="I130" s="40">
        <f t="shared" si="131"/>
        <v>4</v>
      </c>
      <c r="J130" s="40">
        <f t="shared" si="131"/>
        <v>5</v>
      </c>
      <c r="K130" s="40">
        <f t="shared" si="131"/>
        <v>3</v>
      </c>
      <c r="L130" s="40">
        <f t="shared" si="131"/>
        <v>4</v>
      </c>
      <c r="M130" s="40">
        <f t="shared" si="131"/>
        <v>5</v>
      </c>
      <c r="N130" s="40">
        <f t="shared" si="131"/>
        <v>5</v>
      </c>
      <c r="O130" s="40">
        <f t="shared" si="131"/>
        <v>4</v>
      </c>
      <c r="P130" s="40">
        <f t="shared" si="131"/>
        <v>5</v>
      </c>
      <c r="Q130" s="40"/>
      <c r="R130" s="40"/>
      <c r="S130" s="40">
        <f t="shared" ref="S130:AA130" si="132">S44</f>
        <v>4</v>
      </c>
      <c r="T130" s="40">
        <f t="shared" si="132"/>
        <v>3</v>
      </c>
      <c r="U130" s="40">
        <f t="shared" si="132"/>
        <v>6</v>
      </c>
      <c r="V130" s="40">
        <f t="shared" si="132"/>
        <v>6</v>
      </c>
      <c r="W130" s="40">
        <f t="shared" si="132"/>
        <v>5</v>
      </c>
      <c r="X130" s="40">
        <f t="shared" si="132"/>
        <v>4</v>
      </c>
      <c r="Y130" s="40">
        <f t="shared" si="132"/>
        <v>4</v>
      </c>
      <c r="Z130" s="40">
        <f t="shared" si="132"/>
        <v>4</v>
      </c>
      <c r="AA130" s="40">
        <f t="shared" si="132"/>
        <v>6</v>
      </c>
      <c r="AB130" s="1"/>
      <c r="AC130" s="1"/>
      <c r="AD130" s="1"/>
      <c r="AE130" s="1"/>
      <c r="AF130" s="1"/>
    </row>
    <row r="131" ht="14.25" hidden="1" customHeight="1">
      <c r="C131" s="1"/>
      <c r="D131" s="1"/>
      <c r="E131" s="1"/>
      <c r="F131" s="1" t="str">
        <f>F45</f>
        <v>SLICK</v>
      </c>
      <c r="G131" s="1"/>
      <c r="H131" s="40">
        <f t="shared" ref="H131:P131" si="133">H46</f>
        <v>4</v>
      </c>
      <c r="I131" s="40">
        <f t="shared" si="133"/>
        <v>3</v>
      </c>
      <c r="J131" s="40">
        <f t="shared" si="133"/>
        <v>5</v>
      </c>
      <c r="K131" s="40">
        <f t="shared" si="133"/>
        <v>4</v>
      </c>
      <c r="L131" s="40">
        <f t="shared" si="133"/>
        <v>5</v>
      </c>
      <c r="M131" s="40">
        <f t="shared" si="133"/>
        <v>4</v>
      </c>
      <c r="N131" s="40">
        <f t="shared" si="133"/>
        <v>6</v>
      </c>
      <c r="O131" s="40">
        <f t="shared" si="133"/>
        <v>4</v>
      </c>
      <c r="P131" s="40">
        <f t="shared" si="133"/>
        <v>5</v>
      </c>
      <c r="Q131" s="40"/>
      <c r="R131" s="40"/>
      <c r="S131" s="40">
        <f t="shared" ref="S131:AA131" si="134">S46</f>
        <v>4</v>
      </c>
      <c r="T131" s="40">
        <f t="shared" si="134"/>
        <v>4</v>
      </c>
      <c r="U131" s="40">
        <f t="shared" si="134"/>
        <v>6</v>
      </c>
      <c r="V131" s="40">
        <f t="shared" si="134"/>
        <v>4</v>
      </c>
      <c r="W131" s="40">
        <f t="shared" si="134"/>
        <v>5</v>
      </c>
      <c r="X131" s="40">
        <f t="shared" si="134"/>
        <v>6</v>
      </c>
      <c r="Y131" s="40">
        <f t="shared" si="134"/>
        <v>4</v>
      </c>
      <c r="Z131" s="40">
        <f t="shared" si="134"/>
        <v>4</v>
      </c>
      <c r="AA131" s="40">
        <f t="shared" si="134"/>
        <v>4</v>
      </c>
      <c r="AB131" s="1"/>
      <c r="AC131" s="1"/>
      <c r="AD131" s="1"/>
      <c r="AE131" s="1"/>
      <c r="AF131" s="1"/>
    </row>
    <row r="132" ht="14.25" hidden="1" customHeight="1">
      <c r="C132" s="1"/>
      <c r="D132" s="1"/>
      <c r="E132" s="1"/>
      <c r="F132" s="1" t="str">
        <f>F60</f>
        <v>PAXTON</v>
      </c>
      <c r="G132" s="1"/>
      <c r="H132" s="40">
        <f t="shared" ref="H132:P132" si="135">H61</f>
        <v>5</v>
      </c>
      <c r="I132" s="40">
        <f t="shared" si="135"/>
        <v>6</v>
      </c>
      <c r="J132" s="40">
        <f t="shared" si="135"/>
        <v>4</v>
      </c>
      <c r="K132" s="40">
        <f t="shared" si="135"/>
        <v>3</v>
      </c>
      <c r="L132" s="40">
        <f t="shared" si="135"/>
        <v>4</v>
      </c>
      <c r="M132" s="40">
        <f t="shared" si="135"/>
        <v>4</v>
      </c>
      <c r="N132" s="40">
        <f t="shared" si="135"/>
        <v>7</v>
      </c>
      <c r="O132" s="40">
        <f t="shared" si="135"/>
        <v>3</v>
      </c>
      <c r="P132" s="40">
        <f t="shared" si="135"/>
        <v>8</v>
      </c>
      <c r="Q132" s="40"/>
      <c r="R132" s="40"/>
      <c r="S132" s="40">
        <f t="shared" ref="S132:AA132" si="136">S61</f>
        <v>6</v>
      </c>
      <c r="T132" s="40">
        <f t="shared" si="136"/>
        <v>4</v>
      </c>
      <c r="U132" s="40">
        <f t="shared" si="136"/>
        <v>7</v>
      </c>
      <c r="V132" s="40">
        <f t="shared" si="136"/>
        <v>4</v>
      </c>
      <c r="W132" s="40">
        <f t="shared" si="136"/>
        <v>8</v>
      </c>
      <c r="X132" s="40">
        <f t="shared" si="136"/>
        <v>6</v>
      </c>
      <c r="Y132" s="40">
        <f t="shared" si="136"/>
        <v>5</v>
      </c>
      <c r="Z132" s="40">
        <f t="shared" si="136"/>
        <v>5</v>
      </c>
      <c r="AA132" s="40">
        <f t="shared" si="136"/>
        <v>5</v>
      </c>
      <c r="AB132" s="1"/>
      <c r="AC132" s="1"/>
      <c r="AD132" s="1"/>
      <c r="AE132" s="1"/>
      <c r="AF132" s="1"/>
    </row>
    <row r="133" ht="14.25" hidden="1" customHeight="1">
      <c r="C133" s="1"/>
      <c r="D133" s="1"/>
      <c r="E133" s="1"/>
      <c r="F133" s="1" t="str">
        <f>F62</f>
        <v>ERIC</v>
      </c>
      <c r="G133" s="1"/>
      <c r="H133" s="40">
        <f t="shared" ref="H133:P133" si="137">H63</f>
        <v>5</v>
      </c>
      <c r="I133" s="40">
        <f t="shared" si="137"/>
        <v>5</v>
      </c>
      <c r="J133" s="40">
        <f t="shared" si="137"/>
        <v>8</v>
      </c>
      <c r="K133" s="40">
        <f t="shared" si="137"/>
        <v>3</v>
      </c>
      <c r="L133" s="40">
        <f t="shared" si="137"/>
        <v>6</v>
      </c>
      <c r="M133" s="40">
        <f t="shared" si="137"/>
        <v>5</v>
      </c>
      <c r="N133" s="40">
        <f t="shared" si="137"/>
        <v>7</v>
      </c>
      <c r="O133" s="40">
        <f t="shared" si="137"/>
        <v>5</v>
      </c>
      <c r="P133" s="40">
        <f t="shared" si="137"/>
        <v>5</v>
      </c>
      <c r="Q133" s="40"/>
      <c r="R133" s="40"/>
      <c r="S133" s="40">
        <f t="shared" ref="S133:AA133" si="138">S63</f>
        <v>5</v>
      </c>
      <c r="T133" s="40">
        <f t="shared" si="138"/>
        <v>3</v>
      </c>
      <c r="U133" s="40">
        <f t="shared" si="138"/>
        <v>7</v>
      </c>
      <c r="V133" s="40">
        <f t="shared" si="138"/>
        <v>6</v>
      </c>
      <c r="W133" s="40">
        <f t="shared" si="138"/>
        <v>4</v>
      </c>
      <c r="X133" s="40">
        <f t="shared" si="138"/>
        <v>4</v>
      </c>
      <c r="Y133" s="40">
        <f t="shared" si="138"/>
        <v>6</v>
      </c>
      <c r="Z133" s="40">
        <f t="shared" si="138"/>
        <v>4</v>
      </c>
      <c r="AA133" s="40">
        <f t="shared" si="138"/>
        <v>6</v>
      </c>
      <c r="AB133" s="1"/>
      <c r="AC133" s="1"/>
      <c r="AD133" s="1"/>
      <c r="AE133" s="1"/>
      <c r="AF133" s="1"/>
    </row>
    <row r="134" ht="14.25" hidden="1" customHeight="1">
      <c r="C134" s="1"/>
      <c r="D134" s="1"/>
      <c r="E134" s="1"/>
      <c r="F134" s="1" t="str">
        <f>F68</f>
        <v>BEN</v>
      </c>
      <c r="G134" s="1"/>
      <c r="H134" s="40">
        <f t="shared" ref="H134:P134" si="139">H69</f>
        <v>5</v>
      </c>
      <c r="I134" s="40">
        <f t="shared" si="139"/>
        <v>4</v>
      </c>
      <c r="J134" s="40">
        <f t="shared" si="139"/>
        <v>4</v>
      </c>
      <c r="K134" s="40">
        <f t="shared" si="139"/>
        <v>4</v>
      </c>
      <c r="L134" s="40">
        <f t="shared" si="139"/>
        <v>5</v>
      </c>
      <c r="M134" s="40">
        <f t="shared" si="139"/>
        <v>6</v>
      </c>
      <c r="N134" s="40">
        <f t="shared" si="139"/>
        <v>5</v>
      </c>
      <c r="O134" s="40">
        <f t="shared" si="139"/>
        <v>4</v>
      </c>
      <c r="P134" s="40">
        <f t="shared" si="139"/>
        <v>5</v>
      </c>
      <c r="Q134" s="40"/>
      <c r="R134" s="40"/>
      <c r="S134" s="40">
        <f t="shared" ref="S134:AA134" si="140">S69</f>
        <v>4</v>
      </c>
      <c r="T134" s="40">
        <f t="shared" si="140"/>
        <v>3</v>
      </c>
      <c r="U134" s="40">
        <f t="shared" si="140"/>
        <v>6</v>
      </c>
      <c r="V134" s="40">
        <f t="shared" si="140"/>
        <v>4</v>
      </c>
      <c r="W134" s="40">
        <f t="shared" si="140"/>
        <v>6</v>
      </c>
      <c r="X134" s="40">
        <f t="shared" si="140"/>
        <v>4</v>
      </c>
      <c r="Y134" s="40">
        <f t="shared" si="140"/>
        <v>4</v>
      </c>
      <c r="Z134" s="40">
        <f t="shared" si="140"/>
        <v>2</v>
      </c>
      <c r="AA134" s="40">
        <f t="shared" si="140"/>
        <v>4</v>
      </c>
      <c r="AB134" s="1"/>
      <c r="AC134" s="1"/>
      <c r="AD134" s="1"/>
      <c r="AE134" s="1"/>
      <c r="AF134" s="1"/>
    </row>
    <row r="135" ht="14.25" hidden="1" customHeight="1">
      <c r="C135" s="1"/>
      <c r="D135" s="1"/>
      <c r="E135" s="1"/>
      <c r="F135" s="1" t="str">
        <f>F70</f>
        <v>WAYS</v>
      </c>
      <c r="G135" s="1"/>
      <c r="H135" s="40">
        <f t="shared" ref="H135:P135" si="141">H71</f>
        <v>5</v>
      </c>
      <c r="I135" s="40">
        <f t="shared" si="141"/>
        <v>4</v>
      </c>
      <c r="J135" s="40">
        <f t="shared" si="141"/>
        <v>5</v>
      </c>
      <c r="K135" s="40">
        <f t="shared" si="141"/>
        <v>4</v>
      </c>
      <c r="L135" s="40">
        <f t="shared" si="141"/>
        <v>4</v>
      </c>
      <c r="M135" s="40">
        <f t="shared" si="141"/>
        <v>6</v>
      </c>
      <c r="N135" s="40">
        <f t="shared" si="141"/>
        <v>5</v>
      </c>
      <c r="O135" s="40">
        <f t="shared" si="141"/>
        <v>5</v>
      </c>
      <c r="P135" s="40">
        <f t="shared" si="141"/>
        <v>6</v>
      </c>
      <c r="Q135" s="40"/>
      <c r="R135" s="40"/>
      <c r="S135" s="40">
        <f t="shared" ref="S135:AA135" si="142">S71</f>
        <v>5</v>
      </c>
      <c r="T135" s="40">
        <f t="shared" si="142"/>
        <v>3</v>
      </c>
      <c r="U135" s="40">
        <f t="shared" si="142"/>
        <v>5</v>
      </c>
      <c r="V135" s="40">
        <f t="shared" si="142"/>
        <v>5</v>
      </c>
      <c r="W135" s="40">
        <f t="shared" si="142"/>
        <v>6</v>
      </c>
      <c r="X135" s="40">
        <f t="shared" si="142"/>
        <v>3</v>
      </c>
      <c r="Y135" s="40">
        <f t="shared" si="142"/>
        <v>5</v>
      </c>
      <c r="Z135" s="40">
        <f t="shared" si="142"/>
        <v>4</v>
      </c>
      <c r="AA135" s="40">
        <f t="shared" si="142"/>
        <v>3</v>
      </c>
      <c r="AB135" s="1"/>
      <c r="AC135" s="1"/>
      <c r="AD135" s="1"/>
      <c r="AE135" s="1"/>
      <c r="AF135" s="1"/>
    </row>
    <row r="136" ht="14.25" hidden="1" customHeight="1">
      <c r="C136" s="1"/>
      <c r="D136" s="1"/>
      <c r="E136" s="1"/>
      <c r="F136" s="1" t="str">
        <f>F85</f>
        <v>KIP</v>
      </c>
      <c r="G136" s="1"/>
      <c r="H136" s="40">
        <f t="shared" ref="H136:P136" si="143">H86</f>
        <v>6</v>
      </c>
      <c r="I136" s="40">
        <f t="shared" si="143"/>
        <v>6</v>
      </c>
      <c r="J136" s="40">
        <f t="shared" si="143"/>
        <v>4</v>
      </c>
      <c r="K136" s="40">
        <f t="shared" si="143"/>
        <v>6</v>
      </c>
      <c r="L136" s="40">
        <f t="shared" si="143"/>
        <v>5</v>
      </c>
      <c r="M136" s="40">
        <f t="shared" si="143"/>
        <v>7</v>
      </c>
      <c r="N136" s="40">
        <f t="shared" si="143"/>
        <v>7</v>
      </c>
      <c r="O136" s="40">
        <f t="shared" si="143"/>
        <v>4</v>
      </c>
      <c r="P136" s="40">
        <f t="shared" si="143"/>
        <v>7</v>
      </c>
      <c r="Q136" s="40"/>
      <c r="R136" s="40"/>
      <c r="S136" s="40">
        <f t="shared" ref="S136:AA136" si="144">S86</f>
        <v>8</v>
      </c>
      <c r="T136" s="40">
        <f t="shared" si="144"/>
        <v>6</v>
      </c>
      <c r="U136" s="40">
        <f t="shared" si="144"/>
        <v>6</v>
      </c>
      <c r="V136" s="40">
        <f t="shared" si="144"/>
        <v>7</v>
      </c>
      <c r="W136" s="40">
        <f t="shared" si="144"/>
        <v>7</v>
      </c>
      <c r="X136" s="40">
        <f t="shared" si="144"/>
        <v>4</v>
      </c>
      <c r="Y136" s="40">
        <f t="shared" si="144"/>
        <v>6</v>
      </c>
      <c r="Z136" s="40">
        <f t="shared" si="144"/>
        <v>4</v>
      </c>
      <c r="AA136" s="40">
        <f t="shared" si="144"/>
        <v>6</v>
      </c>
      <c r="AB136" s="1"/>
      <c r="AC136" s="1"/>
      <c r="AD136" s="1"/>
      <c r="AE136" s="1"/>
      <c r="AF136" s="1"/>
    </row>
    <row r="137" ht="14.25" hidden="1" customHeight="1">
      <c r="C137" s="1"/>
      <c r="D137" s="1"/>
      <c r="E137" s="1"/>
      <c r="F137" s="1" t="str">
        <f>F87</f>
        <v>RYAN</v>
      </c>
      <c r="G137" s="1"/>
      <c r="H137" s="40">
        <f t="shared" ref="H137:P137" si="145">H88</f>
        <v>6</v>
      </c>
      <c r="I137" s="40">
        <f t="shared" si="145"/>
        <v>6</v>
      </c>
      <c r="J137" s="40">
        <f t="shared" si="145"/>
        <v>6</v>
      </c>
      <c r="K137" s="40">
        <f t="shared" si="145"/>
        <v>4</v>
      </c>
      <c r="L137" s="40">
        <f t="shared" si="145"/>
        <v>5</v>
      </c>
      <c r="M137" s="40">
        <f t="shared" si="145"/>
        <v>7</v>
      </c>
      <c r="N137" s="40">
        <f t="shared" si="145"/>
        <v>8</v>
      </c>
      <c r="O137" s="40">
        <f t="shared" si="145"/>
        <v>5</v>
      </c>
      <c r="P137" s="40">
        <f t="shared" si="145"/>
        <v>6</v>
      </c>
      <c r="Q137" s="40"/>
      <c r="R137" s="40"/>
      <c r="S137" s="40">
        <f t="shared" ref="S137:AA137" si="146">S88</f>
        <v>6</v>
      </c>
      <c r="T137" s="40">
        <f t="shared" si="146"/>
        <v>3</v>
      </c>
      <c r="U137" s="40">
        <f t="shared" si="146"/>
        <v>8</v>
      </c>
      <c r="V137" s="40">
        <f t="shared" si="146"/>
        <v>8</v>
      </c>
      <c r="W137" s="40">
        <f t="shared" si="146"/>
        <v>7</v>
      </c>
      <c r="X137" s="40">
        <f t="shared" si="146"/>
        <v>5</v>
      </c>
      <c r="Y137" s="40">
        <f t="shared" si="146"/>
        <v>5</v>
      </c>
      <c r="Z137" s="40">
        <f t="shared" si="146"/>
        <v>4</v>
      </c>
      <c r="AA137" s="40">
        <f t="shared" si="146"/>
        <v>6</v>
      </c>
      <c r="AB137" s="1"/>
      <c r="AC137" s="1"/>
      <c r="AD137" s="1"/>
      <c r="AE137" s="1"/>
      <c r="AF137" s="1"/>
    </row>
    <row r="138" ht="14.25" hidden="1" customHeight="1">
      <c r="C138" s="1"/>
      <c r="D138" s="1"/>
      <c r="E138" s="1"/>
      <c r="F138" s="1" t="str">
        <f>F93</f>
        <v>SKYLAR</v>
      </c>
      <c r="G138" s="1"/>
      <c r="H138" s="40">
        <f t="shared" ref="H138:P138" si="147">H94</f>
        <v>6</v>
      </c>
      <c r="I138" s="40">
        <f t="shared" si="147"/>
        <v>5</v>
      </c>
      <c r="J138" s="40">
        <f t="shared" si="147"/>
        <v>6</v>
      </c>
      <c r="K138" s="40">
        <f t="shared" si="147"/>
        <v>6</v>
      </c>
      <c r="L138" s="40">
        <f t="shared" si="147"/>
        <v>6</v>
      </c>
      <c r="M138" s="40">
        <f t="shared" si="147"/>
        <v>8</v>
      </c>
      <c r="N138" s="40">
        <f t="shared" si="147"/>
        <v>7</v>
      </c>
      <c r="O138" s="40">
        <f t="shared" si="147"/>
        <v>3</v>
      </c>
      <c r="P138" s="40">
        <f t="shared" si="147"/>
        <v>6</v>
      </c>
      <c r="Q138" s="40"/>
      <c r="R138" s="40"/>
      <c r="S138" s="40">
        <f t="shared" ref="S138:AA138" si="148">S94</f>
        <v>7</v>
      </c>
      <c r="T138" s="40">
        <f t="shared" si="148"/>
        <v>4</v>
      </c>
      <c r="U138" s="40">
        <f t="shared" si="148"/>
        <v>6</v>
      </c>
      <c r="V138" s="40">
        <f t="shared" si="148"/>
        <v>6</v>
      </c>
      <c r="W138" s="40">
        <f t="shared" si="148"/>
        <v>6</v>
      </c>
      <c r="X138" s="40">
        <f t="shared" si="148"/>
        <v>7</v>
      </c>
      <c r="Y138" s="40">
        <f t="shared" si="148"/>
        <v>5</v>
      </c>
      <c r="Z138" s="40">
        <f t="shared" si="148"/>
        <v>4</v>
      </c>
      <c r="AA138" s="40">
        <f t="shared" si="148"/>
        <v>4</v>
      </c>
      <c r="AB138" s="1"/>
      <c r="AC138" s="1"/>
      <c r="AD138" s="1"/>
      <c r="AE138" s="1"/>
      <c r="AF138" s="1"/>
    </row>
    <row r="139" ht="14.25" hidden="1" customHeight="1">
      <c r="C139" s="1"/>
      <c r="D139" s="1"/>
      <c r="E139" s="1"/>
      <c r="F139" s="1" t="str">
        <f>F95</f>
        <v>SHEPP</v>
      </c>
      <c r="G139" s="1"/>
      <c r="H139" s="40">
        <f t="shared" ref="H139:P139" si="149">H96</f>
        <v>5</v>
      </c>
      <c r="I139" s="40">
        <f t="shared" si="149"/>
        <v>4</v>
      </c>
      <c r="J139" s="40">
        <f t="shared" si="149"/>
        <v>8</v>
      </c>
      <c r="K139" s="40">
        <f t="shared" si="149"/>
        <v>3</v>
      </c>
      <c r="L139" s="40">
        <f t="shared" si="149"/>
        <v>6</v>
      </c>
      <c r="M139" s="40">
        <f t="shared" si="149"/>
        <v>8</v>
      </c>
      <c r="N139" s="40">
        <f t="shared" si="149"/>
        <v>8</v>
      </c>
      <c r="O139" s="40">
        <f t="shared" si="149"/>
        <v>5</v>
      </c>
      <c r="P139" s="40">
        <f t="shared" si="149"/>
        <v>8</v>
      </c>
      <c r="Q139" s="40"/>
      <c r="R139" s="40"/>
      <c r="S139" s="40">
        <f t="shared" ref="S139:AA139" si="150">S96</f>
        <v>7</v>
      </c>
      <c r="T139" s="40">
        <f t="shared" si="150"/>
        <v>5</v>
      </c>
      <c r="U139" s="40">
        <f t="shared" si="150"/>
        <v>6</v>
      </c>
      <c r="V139" s="40">
        <f t="shared" si="150"/>
        <v>6</v>
      </c>
      <c r="W139" s="40">
        <f t="shared" si="150"/>
        <v>7</v>
      </c>
      <c r="X139" s="40">
        <f t="shared" si="150"/>
        <v>4</v>
      </c>
      <c r="Y139" s="40">
        <f t="shared" si="150"/>
        <v>7</v>
      </c>
      <c r="Z139" s="40">
        <f t="shared" si="150"/>
        <v>3</v>
      </c>
      <c r="AA139" s="40">
        <f t="shared" si="150"/>
        <v>7</v>
      </c>
      <c r="AB139" s="1"/>
      <c r="AC139" s="1"/>
      <c r="AD139" s="1"/>
      <c r="AE139" s="1"/>
      <c r="AF139" s="1"/>
    </row>
    <row r="140" ht="14.25" hidden="1" customHeight="1">
      <c r="C140" s="1"/>
      <c r="D140" s="1"/>
      <c r="E140" s="1"/>
      <c r="F140" s="1"/>
      <c r="G140" s="1"/>
      <c r="H140" s="40">
        <v>24.0</v>
      </c>
      <c r="I140" s="40">
        <f t="shared" ref="I140:P140" si="151">H140-1</f>
        <v>23</v>
      </c>
      <c r="J140" s="40">
        <f t="shared" si="151"/>
        <v>22</v>
      </c>
      <c r="K140" s="40">
        <f t="shared" si="151"/>
        <v>21</v>
      </c>
      <c r="L140" s="40">
        <f t="shared" si="151"/>
        <v>20</v>
      </c>
      <c r="M140" s="40">
        <f t="shared" si="151"/>
        <v>19</v>
      </c>
      <c r="N140" s="40">
        <f t="shared" si="151"/>
        <v>18</v>
      </c>
      <c r="O140" s="40">
        <f t="shared" si="151"/>
        <v>17</v>
      </c>
      <c r="P140" s="40">
        <f t="shared" si="151"/>
        <v>16</v>
      </c>
      <c r="Q140" s="40"/>
      <c r="R140" s="40"/>
      <c r="S140" s="40">
        <f>P140-3</f>
        <v>13</v>
      </c>
      <c r="T140" s="40">
        <f t="shared" ref="T140:AA140" si="152">S140-1</f>
        <v>12</v>
      </c>
      <c r="U140" s="40">
        <f t="shared" si="152"/>
        <v>11</v>
      </c>
      <c r="V140" s="40">
        <f t="shared" si="152"/>
        <v>10</v>
      </c>
      <c r="W140" s="40">
        <f t="shared" si="152"/>
        <v>9</v>
      </c>
      <c r="X140" s="40">
        <f t="shared" si="152"/>
        <v>8</v>
      </c>
      <c r="Y140" s="40">
        <f t="shared" si="152"/>
        <v>7</v>
      </c>
      <c r="Z140" s="40">
        <f t="shared" si="152"/>
        <v>6</v>
      </c>
      <c r="AA140" s="40">
        <f t="shared" si="152"/>
        <v>5</v>
      </c>
      <c r="AB140" s="1"/>
      <c r="AC140" s="1"/>
      <c r="AD140" s="1"/>
      <c r="AE140" s="1"/>
      <c r="AF140" s="1"/>
    </row>
    <row r="141" ht="14.25" hidden="1" customHeight="1">
      <c r="C141" s="1"/>
      <c r="D141" s="1"/>
      <c r="E141" s="1"/>
      <c r="F141" s="1"/>
      <c r="G141" s="1"/>
      <c r="H141" s="42">
        <v>3.0</v>
      </c>
      <c r="I141" s="42">
        <f t="shared" ref="I141:P141" si="153">H141+1</f>
        <v>4</v>
      </c>
      <c r="J141" s="42">
        <f t="shared" si="153"/>
        <v>5</v>
      </c>
      <c r="K141" s="42">
        <f t="shared" si="153"/>
        <v>6</v>
      </c>
      <c r="L141" s="42">
        <f t="shared" si="153"/>
        <v>7</v>
      </c>
      <c r="M141" s="42">
        <f t="shared" si="153"/>
        <v>8</v>
      </c>
      <c r="N141" s="42">
        <f t="shared" si="153"/>
        <v>9</v>
      </c>
      <c r="O141" s="42">
        <f t="shared" si="153"/>
        <v>10</v>
      </c>
      <c r="P141" s="42">
        <f t="shared" si="153"/>
        <v>11</v>
      </c>
      <c r="Q141" s="42"/>
      <c r="R141" s="42"/>
      <c r="S141" s="42">
        <f>P141+3</f>
        <v>14</v>
      </c>
      <c r="T141" s="42">
        <f t="shared" ref="T141:AA141" si="154">S141+1</f>
        <v>15</v>
      </c>
      <c r="U141" s="42">
        <f t="shared" si="154"/>
        <v>16</v>
      </c>
      <c r="V141" s="42">
        <f t="shared" si="154"/>
        <v>17</v>
      </c>
      <c r="W141" s="42">
        <f t="shared" si="154"/>
        <v>18</v>
      </c>
      <c r="X141" s="42">
        <f t="shared" si="154"/>
        <v>19</v>
      </c>
      <c r="Y141" s="42">
        <f t="shared" si="154"/>
        <v>20</v>
      </c>
      <c r="Z141" s="42">
        <f t="shared" si="154"/>
        <v>21</v>
      </c>
      <c r="AA141" s="42">
        <f t="shared" si="154"/>
        <v>22</v>
      </c>
      <c r="AB141" s="1"/>
      <c r="AC141" s="1"/>
      <c r="AD141" s="1"/>
      <c r="AE141" s="1"/>
      <c r="AF141" s="1"/>
    </row>
    <row r="142" ht="27.75" customHeight="1">
      <c r="C142" s="1"/>
      <c r="D142" s="1"/>
      <c r="E142" s="1"/>
      <c r="F142" s="66" t="s">
        <v>145</v>
      </c>
      <c r="G142" s="66" t="s">
        <v>113</v>
      </c>
      <c r="H142" s="66">
        <f t="shared" ref="H142:P142" si="155">H7</f>
        <v>4</v>
      </c>
      <c r="I142" s="66">
        <f t="shared" si="155"/>
        <v>4</v>
      </c>
      <c r="J142" s="66">
        <f t="shared" si="155"/>
        <v>4</v>
      </c>
      <c r="K142" s="66">
        <f t="shared" si="155"/>
        <v>3</v>
      </c>
      <c r="L142" s="66">
        <f t="shared" si="155"/>
        <v>4</v>
      </c>
      <c r="M142" s="66">
        <f t="shared" si="155"/>
        <v>4</v>
      </c>
      <c r="N142" s="66">
        <f t="shared" si="155"/>
        <v>5</v>
      </c>
      <c r="O142" s="66">
        <f t="shared" si="155"/>
        <v>3</v>
      </c>
      <c r="P142" s="66">
        <f t="shared" si="155"/>
        <v>5</v>
      </c>
      <c r="Q142" s="10"/>
      <c r="R142" s="10"/>
      <c r="S142" s="66">
        <f t="shared" ref="S142:AA142" si="156">S7</f>
        <v>4</v>
      </c>
      <c r="T142" s="66">
        <f t="shared" si="156"/>
        <v>3</v>
      </c>
      <c r="U142" s="66">
        <f t="shared" si="156"/>
        <v>5</v>
      </c>
      <c r="V142" s="66">
        <f t="shared" si="156"/>
        <v>4</v>
      </c>
      <c r="W142" s="66">
        <f t="shared" si="156"/>
        <v>5</v>
      </c>
      <c r="X142" s="66">
        <f t="shared" si="156"/>
        <v>4</v>
      </c>
      <c r="Y142" s="66">
        <f t="shared" si="156"/>
        <v>4</v>
      </c>
      <c r="Z142" s="66">
        <f t="shared" si="156"/>
        <v>3</v>
      </c>
      <c r="AA142" s="66">
        <f t="shared" si="156"/>
        <v>4</v>
      </c>
      <c r="AB142" s="1"/>
      <c r="AC142" s="1"/>
      <c r="AD142" s="1"/>
      <c r="AE142" s="1"/>
      <c r="AF142" s="1"/>
    </row>
    <row r="143" ht="27.75" customHeight="1">
      <c r="C143" s="1"/>
      <c r="D143" s="1"/>
      <c r="E143" s="1"/>
      <c r="F143" s="66" t="s">
        <v>146</v>
      </c>
      <c r="G143" s="166" t="s">
        <v>147</v>
      </c>
      <c r="H143" s="66">
        <v>1.0</v>
      </c>
      <c r="I143" s="66">
        <v>2.0</v>
      </c>
      <c r="J143" s="66">
        <v>3.0</v>
      </c>
      <c r="K143" s="66">
        <v>4.0</v>
      </c>
      <c r="L143" s="66">
        <v>5.0</v>
      </c>
      <c r="M143" s="66">
        <v>6.0</v>
      </c>
      <c r="N143" s="66">
        <v>7.0</v>
      </c>
      <c r="O143" s="66">
        <v>8.0</v>
      </c>
      <c r="P143" s="66">
        <v>9.0</v>
      </c>
      <c r="Q143" s="10"/>
      <c r="R143" s="10"/>
      <c r="S143" s="66">
        <v>10.0</v>
      </c>
      <c r="T143" s="66">
        <v>11.0</v>
      </c>
      <c r="U143" s="66">
        <v>12.0</v>
      </c>
      <c r="V143" s="66">
        <v>13.0</v>
      </c>
      <c r="W143" s="66">
        <v>14.0</v>
      </c>
      <c r="X143" s="66">
        <v>15.0</v>
      </c>
      <c r="Y143" s="66">
        <v>16.0</v>
      </c>
      <c r="Z143" s="66">
        <v>17.0</v>
      </c>
      <c r="AA143" s="66">
        <v>18.0</v>
      </c>
      <c r="AB143" s="39"/>
      <c r="AC143" s="39"/>
      <c r="AD143" s="39"/>
      <c r="AE143" s="66" t="s">
        <v>148</v>
      </c>
      <c r="AF143" s="167">
        <f>COUNTIF(G144:G159,"Y")*SKINS</f>
        <v>280</v>
      </c>
    </row>
    <row r="144" ht="27.75" customHeight="1">
      <c r="C144" s="1"/>
      <c r="D144" s="11" t="s">
        <v>17</v>
      </c>
      <c r="E144" s="1"/>
      <c r="F144" s="168" t="str">
        <f>HANDICAPS!B8</f>
        <v>DEREK</v>
      </c>
      <c r="G144" s="75" t="s">
        <v>17</v>
      </c>
      <c r="H144" s="169">
        <f t="shared" ref="H144:P144" si="157">IFERROR(IF(VLOOKUP($F144,$F$124:$AA$139,H$141,FALSE)=0,"",VLOOKUP($F144,$F$124:$AA$139,H$141,FALSE)-IF(VLOOKUP($F144,$F$10:$AA$100,H$141,FALSE)="**",2,IF(VLOOKUP($F144,$F$10:$AA$100,H$141,FALSE)="*",1,0))),"")</f>
        <v>4</v>
      </c>
      <c r="I144" s="169">
        <f t="shared" si="157"/>
        <v>4</v>
      </c>
      <c r="J144" s="169">
        <f t="shared" si="157"/>
        <v>3</v>
      </c>
      <c r="K144" s="169">
        <f t="shared" si="157"/>
        <v>3</v>
      </c>
      <c r="L144" s="169">
        <f t="shared" si="157"/>
        <v>3</v>
      </c>
      <c r="M144" s="169">
        <f t="shared" si="157"/>
        <v>5</v>
      </c>
      <c r="N144" s="169">
        <f t="shared" si="157"/>
        <v>4</v>
      </c>
      <c r="O144" s="169">
        <f t="shared" si="157"/>
        <v>3</v>
      </c>
      <c r="P144" s="169">
        <f t="shared" si="157"/>
        <v>6</v>
      </c>
      <c r="Q144" s="51"/>
      <c r="R144" s="51"/>
      <c r="S144" s="169">
        <f t="shared" ref="S144:AA144" si="158">IFERROR(IF(VLOOKUP($F144,$F$124:$AA$139,S$141,FALSE)=0,"",VLOOKUP($F144,$F$124:$AA$139,S$141,FALSE)-IF(VLOOKUP($F144,$F$10:$AA$100,S$141,FALSE)="**",2,IF(VLOOKUP($F144,$F$10:$AA$100,S$141,FALSE)="*",1,0))),"")</f>
        <v>3</v>
      </c>
      <c r="T144" s="169">
        <f t="shared" si="158"/>
        <v>4</v>
      </c>
      <c r="U144" s="169">
        <f t="shared" si="158"/>
        <v>5</v>
      </c>
      <c r="V144" s="169">
        <f t="shared" si="158"/>
        <v>4</v>
      </c>
      <c r="W144" s="169">
        <f t="shared" si="158"/>
        <v>6</v>
      </c>
      <c r="X144" s="169">
        <f t="shared" si="158"/>
        <v>5</v>
      </c>
      <c r="Y144" s="169">
        <f t="shared" si="158"/>
        <v>5</v>
      </c>
      <c r="Z144" s="169">
        <f t="shared" si="158"/>
        <v>3</v>
      </c>
      <c r="AA144" s="169">
        <f t="shared" si="158"/>
        <v>3</v>
      </c>
      <c r="AB144" s="39"/>
      <c r="AC144" s="39"/>
      <c r="AD144" s="1"/>
      <c r="AE144" s="173" t="str">
        <f t="shared" ref="AE144:AE159" si="161">F144</f>
        <v>DEREK</v>
      </c>
      <c r="AF144" s="170">
        <f t="shared" ref="AF144:AF159" si="162">IFERROR(($AF$143/$AB$163)*COUNTIF($H$164:$AA$164,AE144),0)</f>
        <v>0</v>
      </c>
    </row>
    <row r="145" ht="27.75" customHeight="1">
      <c r="C145" s="1"/>
      <c r="D145" s="11" t="s">
        <v>18</v>
      </c>
      <c r="E145" s="1"/>
      <c r="F145" s="168" t="str">
        <f>HANDICAPS!B9</f>
        <v>SCOTT</v>
      </c>
      <c r="G145" s="75" t="s">
        <v>17</v>
      </c>
      <c r="H145" s="169">
        <f t="shared" ref="H145:P145" si="159">IFERROR(IF(VLOOKUP($F145,$F$124:$AA$139,H$141,FALSE)=0,"",VLOOKUP($F145,$F$124:$AA$139,H$141,FALSE)-IF(VLOOKUP($F145,$F$10:$AA$100,H$141,FALSE)="**",2,IF(VLOOKUP($F145,$F$10:$AA$100,H$141,FALSE)="*",1,0))),"")</f>
        <v>3</v>
      </c>
      <c r="I145" s="169">
        <f t="shared" si="159"/>
        <v>4</v>
      </c>
      <c r="J145" s="169">
        <f t="shared" si="159"/>
        <v>6</v>
      </c>
      <c r="K145" s="169">
        <f t="shared" si="159"/>
        <v>4</v>
      </c>
      <c r="L145" s="169">
        <f t="shared" si="159"/>
        <v>5</v>
      </c>
      <c r="M145" s="169">
        <f t="shared" si="159"/>
        <v>3</v>
      </c>
      <c r="N145" s="169">
        <f t="shared" si="159"/>
        <v>5</v>
      </c>
      <c r="O145" s="169">
        <f t="shared" si="159"/>
        <v>4</v>
      </c>
      <c r="P145" s="169">
        <f t="shared" si="159"/>
        <v>5</v>
      </c>
      <c r="Q145" s="51"/>
      <c r="R145" s="51"/>
      <c r="S145" s="169">
        <f t="shared" ref="S145:AA145" si="160">IFERROR(IF(VLOOKUP($F145,$F$124:$AA$139,S$141,FALSE)=0,"",VLOOKUP($F145,$F$124:$AA$139,S$141,FALSE)-IF(VLOOKUP($F145,$F$10:$AA$100,S$141,FALSE)="**",2,IF(VLOOKUP($F145,$F$10:$AA$100,S$141,FALSE)="*",1,0))),"")</f>
        <v>4</v>
      </c>
      <c r="T145" s="169">
        <f t="shared" si="160"/>
        <v>4</v>
      </c>
      <c r="U145" s="169">
        <f t="shared" si="160"/>
        <v>7</v>
      </c>
      <c r="V145" s="169">
        <f t="shared" si="160"/>
        <v>5</v>
      </c>
      <c r="W145" s="169">
        <f t="shared" si="160"/>
        <v>4</v>
      </c>
      <c r="X145" s="169">
        <f t="shared" si="160"/>
        <v>3</v>
      </c>
      <c r="Y145" s="169">
        <f t="shared" si="160"/>
        <v>4</v>
      </c>
      <c r="Z145" s="169">
        <f t="shared" si="160"/>
        <v>3</v>
      </c>
      <c r="AA145" s="169">
        <f t="shared" si="160"/>
        <v>6</v>
      </c>
      <c r="AB145" s="39"/>
      <c r="AC145" s="39"/>
      <c r="AD145" s="1"/>
      <c r="AE145" s="171" t="str">
        <f t="shared" si="161"/>
        <v>SCOTT</v>
      </c>
      <c r="AF145" s="172">
        <f t="shared" si="162"/>
        <v>0</v>
      </c>
    </row>
    <row r="146" ht="27.75" customHeight="1">
      <c r="C146" s="1"/>
      <c r="D146" s="1"/>
      <c r="E146" s="1"/>
      <c r="F146" s="168" t="str">
        <f>HANDICAPS!B10</f>
        <v>WAYS</v>
      </c>
      <c r="G146" s="75" t="s">
        <v>17</v>
      </c>
      <c r="H146" s="169">
        <f t="shared" ref="H146:P146" si="163">IFERROR(IF(VLOOKUP($F146,$F$124:$AA$139,H$141,FALSE)=0,"",VLOOKUP($F146,$F$124:$AA$139,H$141,FALSE)-IF(VLOOKUP($F146,$F$10:$AA$100,H$141,FALSE)="**",2,IF(VLOOKUP($F146,$F$10:$AA$100,H$141,FALSE)="*",1,0))),"")</f>
        <v>4</v>
      </c>
      <c r="I146" s="169">
        <f t="shared" si="163"/>
        <v>4</v>
      </c>
      <c r="J146" s="169">
        <f t="shared" si="163"/>
        <v>4</v>
      </c>
      <c r="K146" s="169">
        <f t="shared" si="163"/>
        <v>4</v>
      </c>
      <c r="L146" s="169">
        <f t="shared" si="163"/>
        <v>4</v>
      </c>
      <c r="M146" s="169">
        <f t="shared" si="163"/>
        <v>5</v>
      </c>
      <c r="N146" s="169">
        <f t="shared" si="163"/>
        <v>5</v>
      </c>
      <c r="O146" s="169">
        <f t="shared" si="163"/>
        <v>5</v>
      </c>
      <c r="P146" s="169">
        <f t="shared" si="163"/>
        <v>5</v>
      </c>
      <c r="Q146" s="51"/>
      <c r="R146" s="51"/>
      <c r="S146" s="169">
        <f t="shared" ref="S146:AA146" si="164">IFERROR(IF(VLOOKUP($F146,$F$124:$AA$139,S$141,FALSE)=0,"",VLOOKUP($F146,$F$124:$AA$139,S$141,FALSE)-IF(VLOOKUP($F146,$F$10:$AA$100,S$141,FALSE)="**",2,IF(VLOOKUP($F146,$F$10:$AA$100,S$141,FALSE)="*",1,0))),"")</f>
        <v>5</v>
      </c>
      <c r="T146" s="169">
        <f t="shared" si="164"/>
        <v>3</v>
      </c>
      <c r="U146" s="169">
        <f t="shared" si="164"/>
        <v>4</v>
      </c>
      <c r="V146" s="169">
        <f t="shared" si="164"/>
        <v>5</v>
      </c>
      <c r="W146" s="169">
        <f t="shared" si="164"/>
        <v>5</v>
      </c>
      <c r="X146" s="169">
        <f t="shared" si="164"/>
        <v>3</v>
      </c>
      <c r="Y146" s="169">
        <f t="shared" si="164"/>
        <v>4</v>
      </c>
      <c r="Z146" s="169">
        <f t="shared" si="164"/>
        <v>4</v>
      </c>
      <c r="AA146" s="169">
        <f t="shared" si="164"/>
        <v>3</v>
      </c>
      <c r="AB146" s="39"/>
      <c r="AC146" s="39"/>
      <c r="AD146" s="1"/>
      <c r="AE146" s="173" t="str">
        <f t="shared" si="161"/>
        <v>WAYS</v>
      </c>
      <c r="AF146" s="170">
        <f t="shared" si="162"/>
        <v>46.66666667</v>
      </c>
    </row>
    <row r="147" ht="27.75" customHeight="1">
      <c r="C147" s="1"/>
      <c r="D147" s="1"/>
      <c r="E147" s="1"/>
      <c r="F147" s="168" t="str">
        <f>HANDICAPS!B11</f>
        <v>BEN</v>
      </c>
      <c r="G147" s="75" t="s">
        <v>17</v>
      </c>
      <c r="H147" s="169">
        <f t="shared" ref="H147:P147" si="165">IFERROR(IF(VLOOKUP($F147,$F$124:$AA$139,H$141,FALSE)=0,"",VLOOKUP($F147,$F$124:$AA$139,H$141,FALSE)-IF(VLOOKUP($F147,$F$10:$AA$100,H$141,FALSE)="**",2,IF(VLOOKUP($F147,$F$10:$AA$100,H$141,FALSE)="*",1,0))),"")</f>
        <v>4</v>
      </c>
      <c r="I147" s="169">
        <f t="shared" si="165"/>
        <v>4</v>
      </c>
      <c r="J147" s="169">
        <f t="shared" si="165"/>
        <v>3</v>
      </c>
      <c r="K147" s="169">
        <f t="shared" si="165"/>
        <v>4</v>
      </c>
      <c r="L147" s="169">
        <f t="shared" si="165"/>
        <v>5</v>
      </c>
      <c r="M147" s="169">
        <f t="shared" si="165"/>
        <v>5</v>
      </c>
      <c r="N147" s="169">
        <f t="shared" si="165"/>
        <v>5</v>
      </c>
      <c r="O147" s="169">
        <f t="shared" si="165"/>
        <v>4</v>
      </c>
      <c r="P147" s="169">
        <f t="shared" si="165"/>
        <v>4</v>
      </c>
      <c r="Q147" s="51"/>
      <c r="R147" s="51"/>
      <c r="S147" s="169">
        <f t="shared" ref="S147:AA147" si="166">IFERROR(IF(VLOOKUP($F147,$F$124:$AA$139,S$141,FALSE)=0,"",VLOOKUP($F147,$F$124:$AA$139,S$141,FALSE)-IF(VLOOKUP($F147,$F$10:$AA$100,S$141,FALSE)="**",2,IF(VLOOKUP($F147,$F$10:$AA$100,S$141,FALSE)="*",1,0))),"")</f>
        <v>4</v>
      </c>
      <c r="T147" s="169">
        <f t="shared" si="166"/>
        <v>3</v>
      </c>
      <c r="U147" s="169">
        <f t="shared" si="166"/>
        <v>5</v>
      </c>
      <c r="V147" s="169">
        <f t="shared" si="166"/>
        <v>4</v>
      </c>
      <c r="W147" s="169">
        <f t="shared" si="166"/>
        <v>5</v>
      </c>
      <c r="X147" s="169">
        <f t="shared" si="166"/>
        <v>4</v>
      </c>
      <c r="Y147" s="169">
        <f t="shared" si="166"/>
        <v>3</v>
      </c>
      <c r="Z147" s="169">
        <f t="shared" si="166"/>
        <v>2</v>
      </c>
      <c r="AA147" s="169">
        <f t="shared" si="166"/>
        <v>4</v>
      </c>
      <c r="AB147" s="39"/>
      <c r="AC147" s="39"/>
      <c r="AD147" s="1"/>
      <c r="AE147" s="173" t="str">
        <f t="shared" si="161"/>
        <v>BEN</v>
      </c>
      <c r="AF147" s="170">
        <f t="shared" si="162"/>
        <v>0</v>
      </c>
    </row>
    <row r="148" ht="27.75" customHeight="1">
      <c r="C148" s="1"/>
      <c r="D148" s="1"/>
      <c r="E148" s="1"/>
      <c r="F148" s="168" t="str">
        <f>HANDICAPS!B12</f>
        <v>DANNY</v>
      </c>
      <c r="G148" s="75" t="s">
        <v>17</v>
      </c>
      <c r="H148" s="169">
        <f t="shared" ref="H148:P148" si="167">IFERROR(IF(VLOOKUP($F148,$F$124:$AA$139,H$141,FALSE)=0,"",VLOOKUP($F148,$F$124:$AA$139,H$141,FALSE)-IF(VLOOKUP($F148,$F$10:$AA$100,H$141,FALSE)="**",2,IF(VLOOKUP($F148,$F$10:$AA$100,H$141,FALSE)="*",1,0))),"")</f>
        <v>3</v>
      </c>
      <c r="I148" s="169">
        <f t="shared" si="167"/>
        <v>4</v>
      </c>
      <c r="J148" s="169">
        <f t="shared" si="167"/>
        <v>4</v>
      </c>
      <c r="K148" s="169">
        <f t="shared" si="167"/>
        <v>3</v>
      </c>
      <c r="L148" s="169">
        <f t="shared" si="167"/>
        <v>4</v>
      </c>
      <c r="M148" s="169">
        <f t="shared" si="167"/>
        <v>4</v>
      </c>
      <c r="N148" s="169">
        <f t="shared" si="167"/>
        <v>5</v>
      </c>
      <c r="O148" s="169">
        <f t="shared" si="167"/>
        <v>4</v>
      </c>
      <c r="P148" s="169">
        <f t="shared" si="167"/>
        <v>4</v>
      </c>
      <c r="Q148" s="51"/>
      <c r="R148" s="51"/>
      <c r="S148" s="169">
        <f t="shared" ref="S148:AA148" si="168">IFERROR(IF(VLOOKUP($F148,$F$124:$AA$139,S$141,FALSE)=0,"",VLOOKUP($F148,$F$124:$AA$139,S$141,FALSE)-IF(VLOOKUP($F148,$F$10:$AA$100,S$141,FALSE)="**",2,IF(VLOOKUP($F148,$F$10:$AA$100,S$141,FALSE)="*",1,0))),"")</f>
        <v>4</v>
      </c>
      <c r="T148" s="169">
        <f t="shared" si="168"/>
        <v>3</v>
      </c>
      <c r="U148" s="169">
        <f t="shared" si="168"/>
        <v>5</v>
      </c>
      <c r="V148" s="169">
        <f t="shared" si="168"/>
        <v>6</v>
      </c>
      <c r="W148" s="169">
        <f t="shared" si="168"/>
        <v>4</v>
      </c>
      <c r="X148" s="169">
        <f t="shared" si="168"/>
        <v>4</v>
      </c>
      <c r="Y148" s="169">
        <f t="shared" si="168"/>
        <v>3</v>
      </c>
      <c r="Z148" s="169">
        <f t="shared" si="168"/>
        <v>4</v>
      </c>
      <c r="AA148" s="169">
        <f t="shared" si="168"/>
        <v>6</v>
      </c>
      <c r="AB148" s="39"/>
      <c r="AC148" s="39"/>
      <c r="AD148" s="1"/>
      <c r="AE148" s="173" t="str">
        <f t="shared" si="161"/>
        <v>DANNY</v>
      </c>
      <c r="AF148" s="170">
        <f t="shared" si="162"/>
        <v>0</v>
      </c>
    </row>
    <row r="149" ht="27.75" customHeight="1">
      <c r="C149" s="1"/>
      <c r="D149" s="1"/>
      <c r="E149" s="1"/>
      <c r="F149" s="168" t="str">
        <f>HANDICAPS!B13</f>
        <v>ZACH</v>
      </c>
      <c r="G149" s="75" t="s">
        <v>17</v>
      </c>
      <c r="H149" s="169">
        <f t="shared" ref="H149:P149" si="169">IFERROR(IF(VLOOKUP($F149,$F$124:$AA$139,H$141,FALSE)=0,"",VLOOKUP($F149,$F$124:$AA$139,H$141,FALSE)-IF(VLOOKUP($F149,$F$10:$AA$100,H$141,FALSE)="**",2,IF(VLOOKUP($F149,$F$10:$AA$100,H$141,FALSE)="*",1,0))),"")</f>
        <v>3</v>
      </c>
      <c r="I149" s="169">
        <f t="shared" si="169"/>
        <v>5</v>
      </c>
      <c r="J149" s="169">
        <f t="shared" si="169"/>
        <v>3</v>
      </c>
      <c r="K149" s="169">
        <f t="shared" si="169"/>
        <v>3</v>
      </c>
      <c r="L149" s="169">
        <f t="shared" si="169"/>
        <v>7</v>
      </c>
      <c r="M149" s="169">
        <f t="shared" si="169"/>
        <v>6</v>
      </c>
      <c r="N149" s="169">
        <f t="shared" si="169"/>
        <v>5</v>
      </c>
      <c r="O149" s="169">
        <f t="shared" si="169"/>
        <v>4</v>
      </c>
      <c r="P149" s="169">
        <f t="shared" si="169"/>
        <v>2</v>
      </c>
      <c r="Q149" s="51"/>
      <c r="R149" s="51"/>
      <c r="S149" s="169">
        <f t="shared" ref="S149:AA149" si="170">IFERROR(IF(VLOOKUP($F149,$F$124:$AA$139,S$141,FALSE)=0,"",VLOOKUP($F149,$F$124:$AA$139,S$141,FALSE)-IF(VLOOKUP($F149,$F$10:$AA$100,S$141,FALSE)="**",2,IF(VLOOKUP($F149,$F$10:$AA$100,S$141,FALSE)="*",1,0))),"")</f>
        <v>4</v>
      </c>
      <c r="T149" s="169">
        <f t="shared" si="170"/>
        <v>3</v>
      </c>
      <c r="U149" s="169">
        <f t="shared" si="170"/>
        <v>5</v>
      </c>
      <c r="V149" s="169">
        <f t="shared" si="170"/>
        <v>4</v>
      </c>
      <c r="W149" s="169">
        <f t="shared" si="170"/>
        <v>5</v>
      </c>
      <c r="X149" s="169">
        <f t="shared" si="170"/>
        <v>5</v>
      </c>
      <c r="Y149" s="169">
        <f t="shared" si="170"/>
        <v>2</v>
      </c>
      <c r="Z149" s="169">
        <f t="shared" si="170"/>
        <v>4</v>
      </c>
      <c r="AA149" s="169">
        <f t="shared" si="170"/>
        <v>5</v>
      </c>
      <c r="AB149" s="39"/>
      <c r="AC149" s="39"/>
      <c r="AD149" s="1"/>
      <c r="AE149" s="173" t="str">
        <f t="shared" si="161"/>
        <v>ZACH</v>
      </c>
      <c r="AF149" s="170">
        <f t="shared" si="162"/>
        <v>93.33333333</v>
      </c>
    </row>
    <row r="150" ht="27.75" customHeight="1">
      <c r="C150" s="1"/>
      <c r="D150" s="1"/>
      <c r="E150" s="1"/>
      <c r="F150" s="168" t="str">
        <f>HANDICAPS!B14</f>
        <v>SLICK</v>
      </c>
      <c r="G150" s="75" t="s">
        <v>17</v>
      </c>
      <c r="H150" s="169">
        <f t="shared" ref="H150:P150" si="171">IFERROR(IF(VLOOKUP($F150,$F$124:$AA$139,H$141,FALSE)=0,"",VLOOKUP($F150,$F$124:$AA$139,H$141,FALSE)-IF(VLOOKUP($F150,$F$10:$AA$100,H$141,FALSE)="**",2,IF(VLOOKUP($F150,$F$10:$AA$100,H$141,FALSE)="*",1,0))),"")</f>
        <v>3</v>
      </c>
      <c r="I150" s="169">
        <f t="shared" si="171"/>
        <v>2</v>
      </c>
      <c r="J150" s="169">
        <f t="shared" si="171"/>
        <v>4</v>
      </c>
      <c r="K150" s="169">
        <f t="shared" si="171"/>
        <v>4</v>
      </c>
      <c r="L150" s="169">
        <f t="shared" si="171"/>
        <v>5</v>
      </c>
      <c r="M150" s="169">
        <f t="shared" si="171"/>
        <v>3</v>
      </c>
      <c r="N150" s="169">
        <f t="shared" si="171"/>
        <v>6</v>
      </c>
      <c r="O150" s="169">
        <f t="shared" si="171"/>
        <v>4</v>
      </c>
      <c r="P150" s="169">
        <f t="shared" si="171"/>
        <v>4</v>
      </c>
      <c r="Q150" s="51"/>
      <c r="R150" s="51"/>
      <c r="S150" s="169">
        <f t="shared" ref="S150:AA150" si="172">IFERROR(IF(VLOOKUP($F150,$F$124:$AA$139,S$141,FALSE)=0,"",VLOOKUP($F150,$F$124:$AA$139,S$141,FALSE)-IF(VLOOKUP($F150,$F$10:$AA$100,S$141,FALSE)="**",2,IF(VLOOKUP($F150,$F$10:$AA$100,S$141,FALSE)="*",1,0))),"")</f>
        <v>4</v>
      </c>
      <c r="T150" s="169">
        <f t="shared" si="172"/>
        <v>4</v>
      </c>
      <c r="U150" s="169">
        <f t="shared" si="172"/>
        <v>5</v>
      </c>
      <c r="V150" s="169">
        <f t="shared" si="172"/>
        <v>4</v>
      </c>
      <c r="W150" s="169">
        <f t="shared" si="172"/>
        <v>4</v>
      </c>
      <c r="X150" s="169">
        <f t="shared" si="172"/>
        <v>6</v>
      </c>
      <c r="Y150" s="169">
        <f t="shared" si="172"/>
        <v>3</v>
      </c>
      <c r="Z150" s="169">
        <f t="shared" si="172"/>
        <v>4</v>
      </c>
      <c r="AA150" s="169">
        <f t="shared" si="172"/>
        <v>3</v>
      </c>
      <c r="AB150" s="39"/>
      <c r="AC150" s="39"/>
      <c r="AD150" s="1"/>
      <c r="AE150" s="173" t="str">
        <f t="shared" si="161"/>
        <v>SLICK</v>
      </c>
      <c r="AF150" s="170">
        <f t="shared" si="162"/>
        <v>46.66666667</v>
      </c>
    </row>
    <row r="151" ht="27.75" customHeight="1">
      <c r="C151" s="1"/>
      <c r="D151" s="1"/>
      <c r="E151" s="1"/>
      <c r="F151" s="168" t="str">
        <f>HANDICAPS!B15</f>
        <v>PAXTON</v>
      </c>
      <c r="G151" s="75" t="s">
        <v>17</v>
      </c>
      <c r="H151" s="169">
        <f t="shared" ref="H151:P151" si="173">IFERROR(IF(VLOOKUP($F151,$F$124:$AA$139,H$141,FALSE)=0,"",VLOOKUP($F151,$F$124:$AA$139,H$141,FALSE)-IF(VLOOKUP($F151,$F$10:$AA$100,H$141,FALSE)="**",2,IF(VLOOKUP($F151,$F$10:$AA$100,H$141,FALSE)="*",1,0))),"")</f>
        <v>4</v>
      </c>
      <c r="I151" s="169">
        <f t="shared" si="173"/>
        <v>5</v>
      </c>
      <c r="J151" s="169">
        <f t="shared" si="173"/>
        <v>3</v>
      </c>
      <c r="K151" s="169">
        <f t="shared" si="173"/>
        <v>3</v>
      </c>
      <c r="L151" s="169">
        <f t="shared" si="173"/>
        <v>3</v>
      </c>
      <c r="M151" s="169">
        <f t="shared" si="173"/>
        <v>3</v>
      </c>
      <c r="N151" s="169">
        <f t="shared" si="173"/>
        <v>7</v>
      </c>
      <c r="O151" s="169">
        <f t="shared" si="173"/>
        <v>3</v>
      </c>
      <c r="P151" s="169">
        <f t="shared" si="173"/>
        <v>7</v>
      </c>
      <c r="Q151" s="51"/>
      <c r="R151" s="51"/>
      <c r="S151" s="169">
        <f t="shared" ref="S151:AA151" si="174">IFERROR(IF(VLOOKUP($F151,$F$124:$AA$139,S$141,FALSE)=0,"",VLOOKUP($F151,$F$124:$AA$139,S$141,FALSE)-IF(VLOOKUP($F151,$F$10:$AA$100,S$141,FALSE)="**",2,IF(VLOOKUP($F151,$F$10:$AA$100,S$141,FALSE)="*",1,0))),"")</f>
        <v>6</v>
      </c>
      <c r="T151" s="169">
        <f t="shared" si="174"/>
        <v>4</v>
      </c>
      <c r="U151" s="169">
        <f t="shared" si="174"/>
        <v>6</v>
      </c>
      <c r="V151" s="169">
        <f t="shared" si="174"/>
        <v>3</v>
      </c>
      <c r="W151" s="169">
        <f t="shared" si="174"/>
        <v>7</v>
      </c>
      <c r="X151" s="169">
        <f t="shared" si="174"/>
        <v>6</v>
      </c>
      <c r="Y151" s="169">
        <f t="shared" si="174"/>
        <v>4</v>
      </c>
      <c r="Z151" s="169">
        <f t="shared" si="174"/>
        <v>5</v>
      </c>
      <c r="AA151" s="169">
        <f t="shared" si="174"/>
        <v>4</v>
      </c>
      <c r="AB151" s="39"/>
      <c r="AC151" s="39"/>
      <c r="AD151" s="1"/>
      <c r="AE151" s="173" t="str">
        <f t="shared" si="161"/>
        <v>PAXTON</v>
      </c>
      <c r="AF151" s="170">
        <f t="shared" si="162"/>
        <v>0</v>
      </c>
    </row>
    <row r="152" ht="27.75" customHeight="1">
      <c r="C152" s="1"/>
      <c r="D152" s="1"/>
      <c r="E152" s="1"/>
      <c r="F152" s="168" t="str">
        <f>HANDICAPS!B16</f>
        <v>DYLAN</v>
      </c>
      <c r="G152" s="75" t="s">
        <v>17</v>
      </c>
      <c r="H152" s="169">
        <f t="shared" ref="H152:P152" si="175">IFERROR(IF(VLOOKUP($F152,$F$124:$AA$139,H$141,FALSE)=0,"",VLOOKUP($F152,$F$124:$AA$139,H$141,FALSE)-IF(VLOOKUP($F152,$F$10:$AA$100,H$141,FALSE)="**",2,IF(VLOOKUP($F152,$F$10:$AA$100,H$141,FALSE)="*",1,0))),"")</f>
        <v>5</v>
      </c>
      <c r="I152" s="169">
        <f t="shared" si="175"/>
        <v>3</v>
      </c>
      <c r="J152" s="169">
        <f t="shared" si="175"/>
        <v>4</v>
      </c>
      <c r="K152" s="169">
        <f t="shared" si="175"/>
        <v>3</v>
      </c>
      <c r="L152" s="169">
        <f t="shared" si="175"/>
        <v>4</v>
      </c>
      <c r="M152" s="169">
        <f t="shared" si="175"/>
        <v>4</v>
      </c>
      <c r="N152" s="169">
        <f t="shared" si="175"/>
        <v>5</v>
      </c>
      <c r="O152" s="169">
        <f t="shared" si="175"/>
        <v>4</v>
      </c>
      <c r="P152" s="169">
        <f t="shared" si="175"/>
        <v>4</v>
      </c>
      <c r="Q152" s="51"/>
      <c r="R152" s="51"/>
      <c r="S152" s="169">
        <f t="shared" ref="S152:AA152" si="176">IFERROR(IF(VLOOKUP($F152,$F$124:$AA$139,S$141,FALSE)=0,"",VLOOKUP($F152,$F$124:$AA$139,S$141,FALSE)-IF(VLOOKUP($F152,$F$10:$AA$100,S$141,FALSE)="**",2,IF(VLOOKUP($F152,$F$10:$AA$100,S$141,FALSE)="*",1,0))),"")</f>
        <v>5</v>
      </c>
      <c r="T152" s="169">
        <f t="shared" si="176"/>
        <v>4</v>
      </c>
      <c r="U152" s="169">
        <f t="shared" si="176"/>
        <v>5</v>
      </c>
      <c r="V152" s="169">
        <f t="shared" si="176"/>
        <v>4</v>
      </c>
      <c r="W152" s="169">
        <f t="shared" si="176"/>
        <v>5</v>
      </c>
      <c r="X152" s="169">
        <f t="shared" si="176"/>
        <v>4</v>
      </c>
      <c r="Y152" s="169">
        <f t="shared" si="176"/>
        <v>4</v>
      </c>
      <c r="Z152" s="169">
        <f t="shared" si="176"/>
        <v>4</v>
      </c>
      <c r="AA152" s="169">
        <f t="shared" si="176"/>
        <v>5</v>
      </c>
      <c r="AB152" s="39"/>
      <c r="AC152" s="39"/>
      <c r="AD152" s="1"/>
      <c r="AE152" s="173" t="str">
        <f t="shared" si="161"/>
        <v>DYLAN</v>
      </c>
      <c r="AF152" s="170">
        <f t="shared" si="162"/>
        <v>0</v>
      </c>
    </row>
    <row r="153" ht="27.75" customHeight="1">
      <c r="C153" s="1"/>
      <c r="D153" s="1"/>
      <c r="E153" s="1"/>
      <c r="F153" s="168" t="str">
        <f>HANDICAPS!B17</f>
        <v>TOM</v>
      </c>
      <c r="G153" s="75" t="s">
        <v>17</v>
      </c>
      <c r="H153" s="169">
        <f t="shared" ref="H153:P153" si="177">IFERROR(IF(VLOOKUP($F153,$F$124:$AA$139,H$141,FALSE)=0,"",VLOOKUP($F153,$F$124:$AA$139,H$141,FALSE)-IF(VLOOKUP($F153,$F$10:$AA$100,H$141,FALSE)="**",2,IF(VLOOKUP($F153,$F$10:$AA$100,H$141,FALSE)="*",1,0))),"")</f>
        <v>6</v>
      </c>
      <c r="I153" s="169">
        <f t="shared" si="177"/>
        <v>5</v>
      </c>
      <c r="J153" s="169">
        <f t="shared" si="177"/>
        <v>4</v>
      </c>
      <c r="K153" s="169">
        <f t="shared" si="177"/>
        <v>4</v>
      </c>
      <c r="L153" s="169">
        <f t="shared" si="177"/>
        <v>4</v>
      </c>
      <c r="M153" s="169">
        <f t="shared" si="177"/>
        <v>6</v>
      </c>
      <c r="N153" s="169">
        <f t="shared" si="177"/>
        <v>5</v>
      </c>
      <c r="O153" s="169">
        <f t="shared" si="177"/>
        <v>4</v>
      </c>
      <c r="P153" s="169">
        <f t="shared" si="177"/>
        <v>4</v>
      </c>
      <c r="Q153" s="51"/>
      <c r="R153" s="51"/>
      <c r="S153" s="169">
        <f t="shared" ref="S153:AA153" si="178">IFERROR(IF(VLOOKUP($F153,$F$124:$AA$139,S$141,FALSE)=0,"",VLOOKUP($F153,$F$124:$AA$139,S$141,FALSE)-IF(VLOOKUP($F153,$F$10:$AA$100,S$141,FALSE)="**",2,IF(VLOOKUP($F153,$F$10:$AA$100,S$141,FALSE)="*",1,0))),"")</f>
        <v>5</v>
      </c>
      <c r="T153" s="169">
        <f t="shared" si="178"/>
        <v>4</v>
      </c>
      <c r="U153" s="169">
        <f t="shared" si="178"/>
        <v>5</v>
      </c>
      <c r="V153" s="169">
        <f t="shared" si="178"/>
        <v>3</v>
      </c>
      <c r="W153" s="169">
        <f t="shared" si="178"/>
        <v>5</v>
      </c>
      <c r="X153" s="169">
        <f t="shared" si="178"/>
        <v>5</v>
      </c>
      <c r="Y153" s="169">
        <f t="shared" si="178"/>
        <v>5</v>
      </c>
      <c r="Z153" s="169">
        <f t="shared" si="178"/>
        <v>2</v>
      </c>
      <c r="AA153" s="169">
        <f t="shared" si="178"/>
        <v>5</v>
      </c>
      <c r="AB153" s="39"/>
      <c r="AC153" s="39"/>
      <c r="AD153" s="1"/>
      <c r="AE153" s="173" t="str">
        <f t="shared" si="161"/>
        <v>TOM</v>
      </c>
      <c r="AF153" s="170">
        <f t="shared" si="162"/>
        <v>0</v>
      </c>
    </row>
    <row r="154" ht="27.75" customHeight="1">
      <c r="C154" s="1"/>
      <c r="D154" s="1"/>
      <c r="E154" s="1"/>
      <c r="F154" s="168" t="str">
        <f>HANDICAPS!B18</f>
        <v>ERIC</v>
      </c>
      <c r="G154" s="174" t="s">
        <v>18</v>
      </c>
      <c r="H154" s="169"/>
      <c r="I154" s="169"/>
      <c r="J154" s="169"/>
      <c r="K154" s="169"/>
      <c r="L154" s="169"/>
      <c r="M154" s="169"/>
      <c r="N154" s="169"/>
      <c r="O154" s="169"/>
      <c r="P154" s="169"/>
      <c r="Q154" s="51"/>
      <c r="R154" s="51"/>
      <c r="S154" s="169"/>
      <c r="T154" s="169"/>
      <c r="U154" s="169"/>
      <c r="V154" s="169"/>
      <c r="W154" s="169"/>
      <c r="X154" s="169"/>
      <c r="Y154" s="169"/>
      <c r="Z154" s="169"/>
      <c r="AA154" s="169"/>
      <c r="AB154" s="39"/>
      <c r="AC154" s="39"/>
      <c r="AD154" s="1"/>
      <c r="AE154" s="173" t="str">
        <f t="shared" si="161"/>
        <v>ERIC</v>
      </c>
      <c r="AF154" s="170">
        <f t="shared" si="162"/>
        <v>0</v>
      </c>
    </row>
    <row r="155" ht="27.75" customHeight="1">
      <c r="C155" s="1"/>
      <c r="D155" s="1"/>
      <c r="E155" s="1"/>
      <c r="F155" s="168" t="str">
        <f>HANDICAPS!B19</f>
        <v>MAX</v>
      </c>
      <c r="G155" s="75" t="s">
        <v>17</v>
      </c>
      <c r="H155" s="169">
        <f t="shared" ref="H155:P155" si="179">IFERROR(IF(VLOOKUP($F155,$F$124:$AA$139,H$141,FALSE)=0,"",VLOOKUP($F155,$F$124:$AA$139,H$141,FALSE)-IF(VLOOKUP($F155,$F$10:$AA$100,H$141,FALSE)="**",2,IF(VLOOKUP($F155,$F$10:$AA$100,H$141,FALSE)="*",1,0))),"")</f>
        <v>4</v>
      </c>
      <c r="I155" s="169">
        <f t="shared" si="179"/>
        <v>3</v>
      </c>
      <c r="J155" s="169">
        <f t="shared" si="179"/>
        <v>3</v>
      </c>
      <c r="K155" s="169">
        <f t="shared" si="179"/>
        <v>3</v>
      </c>
      <c r="L155" s="169">
        <f t="shared" si="179"/>
        <v>3</v>
      </c>
      <c r="M155" s="169">
        <f t="shared" si="179"/>
        <v>5</v>
      </c>
      <c r="N155" s="169">
        <f t="shared" si="179"/>
        <v>4</v>
      </c>
      <c r="O155" s="169">
        <f t="shared" si="179"/>
        <v>5</v>
      </c>
      <c r="P155" s="169">
        <f t="shared" si="179"/>
        <v>5</v>
      </c>
      <c r="Q155" s="51"/>
      <c r="R155" s="51"/>
      <c r="S155" s="169">
        <f t="shared" ref="S155:AA155" si="180">IFERROR(IF(VLOOKUP($F155,$F$124:$AA$139,S$141,FALSE)=0,"",VLOOKUP($F155,$F$124:$AA$139,S$141,FALSE)-IF(VLOOKUP($F155,$F$10:$AA$100,S$141,FALSE)="**",2,IF(VLOOKUP($F155,$F$10:$AA$100,S$141,FALSE)="*",1,0))),"")</f>
        <v>3</v>
      </c>
      <c r="T155" s="169">
        <f t="shared" si="180"/>
        <v>4</v>
      </c>
      <c r="U155" s="169">
        <f t="shared" si="180"/>
        <v>5</v>
      </c>
      <c r="V155" s="169">
        <f t="shared" si="180"/>
        <v>4</v>
      </c>
      <c r="W155" s="169">
        <f t="shared" si="180"/>
        <v>4</v>
      </c>
      <c r="X155" s="169">
        <f t="shared" si="180"/>
        <v>4</v>
      </c>
      <c r="Y155" s="169">
        <f t="shared" si="180"/>
        <v>3</v>
      </c>
      <c r="Z155" s="169">
        <f t="shared" si="180"/>
        <v>4</v>
      </c>
      <c r="AA155" s="169">
        <f t="shared" si="180"/>
        <v>5</v>
      </c>
      <c r="AB155" s="39"/>
      <c r="AC155" s="39"/>
      <c r="AD155" s="1"/>
      <c r="AE155" s="173" t="str">
        <f t="shared" si="161"/>
        <v>MAX</v>
      </c>
      <c r="AF155" s="170">
        <f t="shared" si="162"/>
        <v>0</v>
      </c>
    </row>
    <row r="156" ht="27.75" customHeight="1">
      <c r="C156" s="1"/>
      <c r="D156" s="1"/>
      <c r="E156" s="1"/>
      <c r="F156" s="168" t="str">
        <f>HANDICAPS!B20</f>
        <v>KIP</v>
      </c>
      <c r="G156" s="75" t="s">
        <v>17</v>
      </c>
      <c r="H156" s="169">
        <f t="shared" ref="H156:P156" si="181">IFERROR(IF(VLOOKUP($F156,$F$124:$AA$139,H$141,FALSE)=0,"",VLOOKUP($F156,$F$124:$AA$139,H$141,FALSE)-IF(VLOOKUP($F156,$F$10:$AA$100,H$141,FALSE)="**",2,IF(VLOOKUP($F156,$F$10:$AA$100,H$141,FALSE)="*",1,0))),"")</f>
        <v>5</v>
      </c>
      <c r="I156" s="169">
        <f t="shared" si="181"/>
        <v>5</v>
      </c>
      <c r="J156" s="169">
        <f t="shared" si="181"/>
        <v>3</v>
      </c>
      <c r="K156" s="169">
        <f t="shared" si="181"/>
        <v>5</v>
      </c>
      <c r="L156" s="169">
        <f t="shared" si="181"/>
        <v>4</v>
      </c>
      <c r="M156" s="169">
        <f t="shared" si="181"/>
        <v>5</v>
      </c>
      <c r="N156" s="169">
        <f t="shared" si="181"/>
        <v>6</v>
      </c>
      <c r="O156" s="169">
        <f t="shared" si="181"/>
        <v>3</v>
      </c>
      <c r="P156" s="169">
        <f t="shared" si="181"/>
        <v>6</v>
      </c>
      <c r="Q156" s="51"/>
      <c r="R156" s="51"/>
      <c r="S156" s="169">
        <f t="shared" ref="S156:AA156" si="182">IFERROR(IF(VLOOKUP($F156,$F$124:$AA$139,S$141,FALSE)=0,"",VLOOKUP($F156,$F$124:$AA$139,S$141,FALSE)-IF(VLOOKUP($F156,$F$10:$AA$100,S$141,FALSE)="**",2,IF(VLOOKUP($F156,$F$10:$AA$100,S$141,FALSE)="*",1,0))),"")</f>
        <v>7</v>
      </c>
      <c r="T156" s="169">
        <f t="shared" si="182"/>
        <v>5</v>
      </c>
      <c r="U156" s="169">
        <f t="shared" si="182"/>
        <v>5</v>
      </c>
      <c r="V156" s="169">
        <f t="shared" si="182"/>
        <v>6</v>
      </c>
      <c r="W156" s="169">
        <f t="shared" si="182"/>
        <v>5</v>
      </c>
      <c r="X156" s="169">
        <f t="shared" si="182"/>
        <v>3</v>
      </c>
      <c r="Y156" s="169">
        <f t="shared" si="182"/>
        <v>5</v>
      </c>
      <c r="Z156" s="169">
        <f t="shared" si="182"/>
        <v>3</v>
      </c>
      <c r="AA156" s="169">
        <f t="shared" si="182"/>
        <v>5</v>
      </c>
      <c r="AB156" s="39"/>
      <c r="AC156" s="39"/>
      <c r="AD156" s="1"/>
      <c r="AE156" s="173" t="str">
        <f t="shared" si="161"/>
        <v>KIP</v>
      </c>
      <c r="AF156" s="170">
        <f t="shared" si="162"/>
        <v>0</v>
      </c>
    </row>
    <row r="157" ht="27.75" customHeight="1">
      <c r="C157" s="1"/>
      <c r="D157" s="1"/>
      <c r="E157" s="1"/>
      <c r="F157" s="168" t="str">
        <f>HANDICAPS!B21</f>
        <v>SHEPP</v>
      </c>
      <c r="G157" s="75" t="s">
        <v>17</v>
      </c>
      <c r="H157" s="169">
        <f t="shared" ref="H157:P157" si="183">IFERROR(IF(VLOOKUP($F157,$F$124:$AA$139,H$141,FALSE)=0,"",VLOOKUP($F157,$F$124:$AA$139,H$141,FALSE)-IF(VLOOKUP($F157,$F$10:$AA$100,H$141,FALSE)="**",2,IF(VLOOKUP($F157,$F$10:$AA$100,H$141,FALSE)="*",1,0))),"")</f>
        <v>4</v>
      </c>
      <c r="I157" s="169">
        <f t="shared" si="183"/>
        <v>3</v>
      </c>
      <c r="J157" s="169">
        <f t="shared" si="183"/>
        <v>7</v>
      </c>
      <c r="K157" s="169">
        <f t="shared" si="183"/>
        <v>2</v>
      </c>
      <c r="L157" s="169">
        <f t="shared" si="183"/>
        <v>5</v>
      </c>
      <c r="M157" s="169">
        <f t="shared" si="183"/>
        <v>6</v>
      </c>
      <c r="N157" s="169">
        <f t="shared" si="183"/>
        <v>7</v>
      </c>
      <c r="O157" s="169">
        <f t="shared" si="183"/>
        <v>4</v>
      </c>
      <c r="P157" s="169">
        <f t="shared" si="183"/>
        <v>7</v>
      </c>
      <c r="Q157" s="51"/>
      <c r="R157" s="51"/>
      <c r="S157" s="169">
        <f t="shared" ref="S157:AA157" si="184">IFERROR(IF(VLOOKUP($F157,$F$124:$AA$139,S$141,FALSE)=0,"",VLOOKUP($F157,$F$124:$AA$139,S$141,FALSE)-IF(VLOOKUP($F157,$F$10:$AA$100,S$141,FALSE)="**",2,IF(VLOOKUP($F157,$F$10:$AA$100,S$141,FALSE)="*",1,0))),"")</f>
        <v>6</v>
      </c>
      <c r="T157" s="169">
        <f t="shared" si="184"/>
        <v>4</v>
      </c>
      <c r="U157" s="169">
        <f t="shared" si="184"/>
        <v>5</v>
      </c>
      <c r="V157" s="169">
        <f t="shared" si="184"/>
        <v>5</v>
      </c>
      <c r="W157" s="169">
        <f t="shared" si="184"/>
        <v>5</v>
      </c>
      <c r="X157" s="169">
        <f t="shared" si="184"/>
        <v>3</v>
      </c>
      <c r="Y157" s="169">
        <f t="shared" si="184"/>
        <v>6</v>
      </c>
      <c r="Z157" s="169">
        <f t="shared" si="184"/>
        <v>2</v>
      </c>
      <c r="AA157" s="169">
        <f t="shared" si="184"/>
        <v>6</v>
      </c>
      <c r="AB157" s="39"/>
      <c r="AC157" s="39"/>
      <c r="AD157" s="1"/>
      <c r="AE157" s="173" t="str">
        <f t="shared" si="161"/>
        <v>SHEPP</v>
      </c>
      <c r="AF157" s="170">
        <f t="shared" si="162"/>
        <v>46.66666667</v>
      </c>
    </row>
    <row r="158" ht="27.75" customHeight="1">
      <c r="C158" s="1"/>
      <c r="D158" s="1"/>
      <c r="E158" s="1"/>
      <c r="F158" s="168" t="str">
        <f>HANDICAPS!B22</f>
        <v>SKYLAR</v>
      </c>
      <c r="G158" s="174" t="s">
        <v>18</v>
      </c>
      <c r="H158" s="169"/>
      <c r="I158" s="169"/>
      <c r="J158" s="169"/>
      <c r="K158" s="169"/>
      <c r="L158" s="169"/>
      <c r="M158" s="169"/>
      <c r="N158" s="169"/>
      <c r="O158" s="169"/>
      <c r="P158" s="169"/>
      <c r="Q158" s="51"/>
      <c r="R158" s="51"/>
      <c r="S158" s="169"/>
      <c r="T158" s="169"/>
      <c r="U158" s="169"/>
      <c r="V158" s="169"/>
      <c r="W158" s="169"/>
      <c r="X158" s="169"/>
      <c r="Y158" s="169"/>
      <c r="Z158" s="169"/>
      <c r="AA158" s="169"/>
      <c r="AB158" s="39"/>
      <c r="AC158" s="39"/>
      <c r="AD158" s="1"/>
      <c r="AE158" s="173" t="str">
        <f t="shared" si="161"/>
        <v>SKYLAR</v>
      </c>
      <c r="AF158" s="170">
        <f t="shared" si="162"/>
        <v>0</v>
      </c>
    </row>
    <row r="159" ht="27.75" customHeight="1">
      <c r="C159" s="1"/>
      <c r="D159" s="1"/>
      <c r="E159" s="1"/>
      <c r="F159" s="168" t="str">
        <f>HANDICAPS!B23</f>
        <v>RYAN</v>
      </c>
      <c r="G159" s="75" t="s">
        <v>17</v>
      </c>
      <c r="H159" s="169">
        <f t="shared" ref="H159:P159" si="185">IFERROR(IF(VLOOKUP($F159,$F$124:$AA$139,H$141,FALSE)=0,"",VLOOKUP($F159,$F$124:$AA$139,H$141,FALSE)-IF(VLOOKUP($F159,$F$10:$AA$100,H$141,FALSE)="**",2,IF(VLOOKUP($F159,$F$10:$AA$100,H$141,FALSE)="*",1,0))),"")</f>
        <v>4</v>
      </c>
      <c r="I159" s="169">
        <f t="shared" si="185"/>
        <v>5</v>
      </c>
      <c r="J159" s="169">
        <f t="shared" si="185"/>
        <v>5</v>
      </c>
      <c r="K159" s="169">
        <f t="shared" si="185"/>
        <v>3</v>
      </c>
      <c r="L159" s="169">
        <f t="shared" si="185"/>
        <v>4</v>
      </c>
      <c r="M159" s="169">
        <f t="shared" si="185"/>
        <v>5</v>
      </c>
      <c r="N159" s="169">
        <f t="shared" si="185"/>
        <v>7</v>
      </c>
      <c r="O159" s="169">
        <f t="shared" si="185"/>
        <v>4</v>
      </c>
      <c r="P159" s="169">
        <f t="shared" si="185"/>
        <v>4</v>
      </c>
      <c r="Q159" s="51"/>
      <c r="R159" s="51"/>
      <c r="S159" s="169">
        <f t="shared" ref="S159:AA159" si="186">IFERROR(IF(VLOOKUP($F159,$F$124:$AA$139,S$141,FALSE)=0,"",VLOOKUP($F159,$F$124:$AA$139,S$141,FALSE)-IF(VLOOKUP($F159,$F$10:$AA$100,S$141,FALSE)="**",2,IF(VLOOKUP($F159,$F$10:$AA$100,S$141,FALSE)="*",1,0))),"")</f>
        <v>5</v>
      </c>
      <c r="T159" s="169">
        <f t="shared" si="186"/>
        <v>2</v>
      </c>
      <c r="U159" s="169">
        <f t="shared" si="186"/>
        <v>7</v>
      </c>
      <c r="V159" s="169">
        <f t="shared" si="186"/>
        <v>7</v>
      </c>
      <c r="W159" s="169">
        <f t="shared" si="186"/>
        <v>5</v>
      </c>
      <c r="X159" s="169">
        <f t="shared" si="186"/>
        <v>4</v>
      </c>
      <c r="Y159" s="169">
        <f t="shared" si="186"/>
        <v>3</v>
      </c>
      <c r="Z159" s="169">
        <f t="shared" si="186"/>
        <v>3</v>
      </c>
      <c r="AA159" s="169">
        <f t="shared" si="186"/>
        <v>5</v>
      </c>
      <c r="AB159" s="39"/>
      <c r="AC159" s="39"/>
      <c r="AD159" s="1"/>
      <c r="AE159" s="175" t="str">
        <f t="shared" si="161"/>
        <v>RYAN</v>
      </c>
      <c r="AF159" s="176">
        <f t="shared" si="162"/>
        <v>46.66666667</v>
      </c>
    </row>
    <row r="160" ht="6.75" customHeight="1">
      <c r="C160" s="1"/>
      <c r="D160" s="1"/>
      <c r="E160" s="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39"/>
      <c r="AC160" s="39"/>
      <c r="AD160" s="1"/>
      <c r="AE160" s="1"/>
      <c r="AF160" s="1"/>
    </row>
    <row r="161" ht="27.75" customHeight="1">
      <c r="C161" s="1"/>
      <c r="D161" s="1"/>
      <c r="E161" s="1"/>
      <c r="F161" s="180" t="s">
        <v>149</v>
      </c>
      <c r="G161" s="142"/>
      <c r="H161" s="179">
        <f t="shared" ref="H161:P161" si="187">IFERROR(MINIFS(H$144:H$159,H$144:H$159,"&gt;0"),"0")</f>
        <v>3</v>
      </c>
      <c r="I161" s="179">
        <f t="shared" si="187"/>
        <v>2</v>
      </c>
      <c r="J161" s="179">
        <f t="shared" si="187"/>
        <v>3</v>
      </c>
      <c r="K161" s="179">
        <f t="shared" si="187"/>
        <v>2</v>
      </c>
      <c r="L161" s="179">
        <f t="shared" si="187"/>
        <v>3</v>
      </c>
      <c r="M161" s="179">
        <f t="shared" si="187"/>
        <v>3</v>
      </c>
      <c r="N161" s="179">
        <f t="shared" si="187"/>
        <v>4</v>
      </c>
      <c r="O161" s="179">
        <f t="shared" si="187"/>
        <v>3</v>
      </c>
      <c r="P161" s="179">
        <f t="shared" si="187"/>
        <v>2</v>
      </c>
      <c r="Q161" s="51"/>
      <c r="R161" s="51"/>
      <c r="S161" s="179">
        <f t="shared" ref="S161:AA161" si="188">IFERROR(MINIFS(S$144:S$159,S$144:S$159,"&gt;0"),"0")</f>
        <v>3</v>
      </c>
      <c r="T161" s="179">
        <f t="shared" si="188"/>
        <v>2</v>
      </c>
      <c r="U161" s="179">
        <f t="shared" si="188"/>
        <v>4</v>
      </c>
      <c r="V161" s="179">
        <f t="shared" si="188"/>
        <v>3</v>
      </c>
      <c r="W161" s="179">
        <f t="shared" si="188"/>
        <v>4</v>
      </c>
      <c r="X161" s="179">
        <f t="shared" si="188"/>
        <v>3</v>
      </c>
      <c r="Y161" s="179">
        <f t="shared" si="188"/>
        <v>2</v>
      </c>
      <c r="Z161" s="179">
        <f t="shared" si="188"/>
        <v>2</v>
      </c>
      <c r="AA161" s="179">
        <f t="shared" si="188"/>
        <v>3</v>
      </c>
      <c r="AB161" s="39"/>
      <c r="AC161" s="1"/>
      <c r="AD161" s="1"/>
      <c r="AE161" s="1"/>
      <c r="AF161" s="1"/>
    </row>
    <row r="162" ht="14.25" customHeight="1">
      <c r="C162" s="1"/>
      <c r="D162" s="1"/>
      <c r="E162" s="1"/>
      <c r="F162" s="1" t="s">
        <v>20</v>
      </c>
      <c r="G162" s="1"/>
      <c r="H162" s="40">
        <f t="shared" ref="H162:P162" si="189">COUNTIF(H$144:H$159,H$161)</f>
        <v>4</v>
      </c>
      <c r="I162" s="40">
        <f t="shared" si="189"/>
        <v>1</v>
      </c>
      <c r="J162" s="40">
        <f t="shared" si="189"/>
        <v>6</v>
      </c>
      <c r="K162" s="40">
        <f t="shared" si="189"/>
        <v>1</v>
      </c>
      <c r="L162" s="40">
        <f t="shared" si="189"/>
        <v>3</v>
      </c>
      <c r="M162" s="40">
        <f t="shared" si="189"/>
        <v>3</v>
      </c>
      <c r="N162" s="40">
        <f t="shared" si="189"/>
        <v>2</v>
      </c>
      <c r="O162" s="40">
        <f t="shared" si="189"/>
        <v>3</v>
      </c>
      <c r="P162" s="40">
        <f t="shared" si="189"/>
        <v>1</v>
      </c>
      <c r="Q162" s="40"/>
      <c r="R162" s="40"/>
      <c r="S162" s="40">
        <f t="shared" ref="S162:AA162" si="190">COUNTIF(S$144:S$159,S$161)</f>
        <v>2</v>
      </c>
      <c r="T162" s="40">
        <f t="shared" si="190"/>
        <v>1</v>
      </c>
      <c r="U162" s="40">
        <f t="shared" si="190"/>
        <v>1</v>
      </c>
      <c r="V162" s="40">
        <f t="shared" si="190"/>
        <v>2</v>
      </c>
      <c r="W162" s="40">
        <f t="shared" si="190"/>
        <v>4</v>
      </c>
      <c r="X162" s="40">
        <f t="shared" si="190"/>
        <v>4</v>
      </c>
      <c r="Y162" s="40">
        <f t="shared" si="190"/>
        <v>1</v>
      </c>
      <c r="Z162" s="40">
        <f t="shared" si="190"/>
        <v>3</v>
      </c>
      <c r="AA162" s="40">
        <f t="shared" si="190"/>
        <v>3</v>
      </c>
      <c r="AB162" s="1"/>
      <c r="AC162" s="1"/>
      <c r="AD162" s="1"/>
      <c r="AE162" s="1"/>
      <c r="AF162" s="1"/>
    </row>
    <row r="163" ht="14.25" customHeight="1">
      <c r="C163" s="1"/>
      <c r="D163" s="1"/>
      <c r="E163" s="1"/>
      <c r="F163" s="1" t="s">
        <v>21</v>
      </c>
      <c r="G163" s="1"/>
      <c r="H163" s="40" t="str">
        <f t="shared" ref="H163:P163" si="191">IF(H162=1,"1","")</f>
        <v/>
      </c>
      <c r="I163" s="40" t="str">
        <f t="shared" si="191"/>
        <v>1</v>
      </c>
      <c r="J163" s="40" t="str">
        <f t="shared" si="191"/>
        <v/>
      </c>
      <c r="K163" s="40" t="str">
        <f t="shared" si="191"/>
        <v>1</v>
      </c>
      <c r="L163" s="40" t="str">
        <f t="shared" si="191"/>
        <v/>
      </c>
      <c r="M163" s="40" t="str">
        <f t="shared" si="191"/>
        <v/>
      </c>
      <c r="N163" s="40" t="str">
        <f t="shared" si="191"/>
        <v/>
      </c>
      <c r="O163" s="40" t="str">
        <f t="shared" si="191"/>
        <v/>
      </c>
      <c r="P163" s="40" t="str">
        <f t="shared" si="191"/>
        <v>1</v>
      </c>
      <c r="Q163" s="40"/>
      <c r="R163" s="40"/>
      <c r="S163" s="40" t="str">
        <f t="shared" ref="S163:AA163" si="192">IF(S162=1,"1","")</f>
        <v/>
      </c>
      <c r="T163" s="40" t="str">
        <f t="shared" si="192"/>
        <v>1</v>
      </c>
      <c r="U163" s="40" t="str">
        <f t="shared" si="192"/>
        <v>1</v>
      </c>
      <c r="V163" s="40" t="str">
        <f t="shared" si="192"/>
        <v/>
      </c>
      <c r="W163" s="40" t="str">
        <f t="shared" si="192"/>
        <v/>
      </c>
      <c r="X163" s="40" t="str">
        <f t="shared" si="192"/>
        <v/>
      </c>
      <c r="Y163" s="40" t="str">
        <f t="shared" si="192"/>
        <v>1</v>
      </c>
      <c r="Z163" s="40" t="str">
        <f t="shared" si="192"/>
        <v/>
      </c>
      <c r="AA163" s="40" t="str">
        <f t="shared" si="192"/>
        <v/>
      </c>
      <c r="AB163" s="1">
        <f>COUNTIF($H$163:$AA$163,"1")</f>
        <v>6</v>
      </c>
      <c r="AC163" s="1"/>
      <c r="AD163" s="1"/>
      <c r="AE163" s="1"/>
      <c r="AF163" s="1"/>
    </row>
    <row r="164" ht="14.25" customHeight="1">
      <c r="C164" s="1"/>
      <c r="D164" s="1"/>
      <c r="E164" s="1"/>
      <c r="F164" s="1" t="s">
        <v>22</v>
      </c>
      <c r="G164" s="1"/>
      <c r="H164" s="1" t="str">
        <f t="shared" ref="H164:P164" si="193">IFERROR(IF(H163="1",VLOOKUP(H161,H$144:$AE$159,H$140,FALSE),""),"")</f>
        <v/>
      </c>
      <c r="I164" s="1" t="str">
        <f t="shared" si="193"/>
        <v>SLICK</v>
      </c>
      <c r="J164" s="1" t="str">
        <f t="shared" si="193"/>
        <v/>
      </c>
      <c r="K164" s="1" t="str">
        <f t="shared" si="193"/>
        <v>SHEPP</v>
      </c>
      <c r="L164" s="1" t="str">
        <f t="shared" si="193"/>
        <v/>
      </c>
      <c r="M164" s="1" t="str">
        <f t="shared" si="193"/>
        <v/>
      </c>
      <c r="N164" s="1" t="str">
        <f t="shared" si="193"/>
        <v/>
      </c>
      <c r="O164" s="1" t="str">
        <f t="shared" si="193"/>
        <v/>
      </c>
      <c r="P164" s="1" t="str">
        <f t="shared" si="193"/>
        <v>ZACH</v>
      </c>
      <c r="Q164" s="1"/>
      <c r="R164" s="1"/>
      <c r="S164" s="1" t="str">
        <f t="shared" ref="S164:AA164" si="194">IFERROR(IF(S163="1",VLOOKUP(S161,S$144:$AE$159,S$140,FALSE),""),"")</f>
        <v/>
      </c>
      <c r="T164" s="1" t="str">
        <f t="shared" si="194"/>
        <v>RYAN</v>
      </c>
      <c r="U164" s="1" t="str">
        <f t="shared" si="194"/>
        <v>WAYS</v>
      </c>
      <c r="V164" s="1" t="str">
        <f t="shared" si="194"/>
        <v/>
      </c>
      <c r="W164" s="1" t="str">
        <f t="shared" si="194"/>
        <v/>
      </c>
      <c r="X164" s="1" t="str">
        <f t="shared" si="194"/>
        <v/>
      </c>
      <c r="Y164" s="1" t="str">
        <f t="shared" si="194"/>
        <v>ZACH</v>
      </c>
      <c r="Z164" s="1" t="str">
        <f t="shared" si="194"/>
        <v/>
      </c>
      <c r="AA164" s="1" t="str">
        <f t="shared" si="194"/>
        <v/>
      </c>
      <c r="AB164" s="1"/>
      <c r="AC164" s="1"/>
      <c r="AD164" s="1"/>
      <c r="AE164" s="1"/>
      <c r="AF164" s="1"/>
    </row>
    <row r="165" ht="14.2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27.75" customHeight="1">
      <c r="C166" s="1"/>
      <c r="D166" s="1"/>
      <c r="E166" s="1"/>
      <c r="F166" s="66" t="s">
        <v>36</v>
      </c>
      <c r="G166" s="66" t="s">
        <v>113</v>
      </c>
      <c r="H166" s="66">
        <f t="shared" ref="H166:P166" si="195">H7</f>
        <v>4</v>
      </c>
      <c r="I166" s="66">
        <f t="shared" si="195"/>
        <v>4</v>
      </c>
      <c r="J166" s="66">
        <f t="shared" si="195"/>
        <v>4</v>
      </c>
      <c r="K166" s="66">
        <f t="shared" si="195"/>
        <v>3</v>
      </c>
      <c r="L166" s="66">
        <f t="shared" si="195"/>
        <v>4</v>
      </c>
      <c r="M166" s="66">
        <f t="shared" si="195"/>
        <v>4</v>
      </c>
      <c r="N166" s="66">
        <f t="shared" si="195"/>
        <v>5</v>
      </c>
      <c r="O166" s="66">
        <f t="shared" si="195"/>
        <v>3</v>
      </c>
      <c r="P166" s="66">
        <f t="shared" si="195"/>
        <v>5</v>
      </c>
      <c r="Q166" s="10"/>
      <c r="R166" s="10"/>
      <c r="S166" s="66">
        <f t="shared" ref="S166:AA166" si="196">S7</f>
        <v>4</v>
      </c>
      <c r="T166" s="66">
        <f t="shared" si="196"/>
        <v>3</v>
      </c>
      <c r="U166" s="66">
        <f t="shared" si="196"/>
        <v>5</v>
      </c>
      <c r="V166" s="66">
        <f t="shared" si="196"/>
        <v>4</v>
      </c>
      <c r="W166" s="66">
        <f t="shared" si="196"/>
        <v>5</v>
      </c>
      <c r="X166" s="66">
        <f t="shared" si="196"/>
        <v>4</v>
      </c>
      <c r="Y166" s="66">
        <f t="shared" si="196"/>
        <v>4</v>
      </c>
      <c r="Z166" s="66">
        <f t="shared" si="196"/>
        <v>3</v>
      </c>
      <c r="AA166" s="66">
        <f t="shared" si="196"/>
        <v>4</v>
      </c>
      <c r="AB166" s="66"/>
      <c r="AC166" s="39"/>
      <c r="AD166" s="39"/>
      <c r="AE166" s="39"/>
      <c r="AF166" s="39"/>
    </row>
    <row r="167" ht="27.75" customHeight="1">
      <c r="C167" s="1"/>
      <c r="D167" s="1"/>
      <c r="E167" s="1"/>
      <c r="F167" s="66" t="s">
        <v>146</v>
      </c>
      <c r="G167" s="166" t="s">
        <v>137</v>
      </c>
      <c r="H167" s="66">
        <f t="shared" ref="H167:P167" si="197">H143</f>
        <v>1</v>
      </c>
      <c r="I167" s="66">
        <f t="shared" si="197"/>
        <v>2</v>
      </c>
      <c r="J167" s="66">
        <f t="shared" si="197"/>
        <v>3</v>
      </c>
      <c r="K167" s="66">
        <f t="shared" si="197"/>
        <v>4</v>
      </c>
      <c r="L167" s="66">
        <f t="shared" si="197"/>
        <v>5</v>
      </c>
      <c r="M167" s="66">
        <f t="shared" si="197"/>
        <v>6</v>
      </c>
      <c r="N167" s="66">
        <f t="shared" si="197"/>
        <v>7</v>
      </c>
      <c r="O167" s="66">
        <f t="shared" si="197"/>
        <v>8</v>
      </c>
      <c r="P167" s="66">
        <f t="shared" si="197"/>
        <v>9</v>
      </c>
      <c r="Q167" s="10"/>
      <c r="R167" s="10"/>
      <c r="S167" s="66">
        <f t="shared" ref="S167:AA167" si="198">S143</f>
        <v>10</v>
      </c>
      <c r="T167" s="66">
        <f t="shared" si="198"/>
        <v>11</v>
      </c>
      <c r="U167" s="66">
        <f t="shared" si="198"/>
        <v>12</v>
      </c>
      <c r="V167" s="66">
        <f t="shared" si="198"/>
        <v>13</v>
      </c>
      <c r="W167" s="66">
        <f t="shared" si="198"/>
        <v>14</v>
      </c>
      <c r="X167" s="66">
        <f t="shared" si="198"/>
        <v>15</v>
      </c>
      <c r="Y167" s="66">
        <f t="shared" si="198"/>
        <v>16</v>
      </c>
      <c r="Z167" s="66">
        <f t="shared" si="198"/>
        <v>17</v>
      </c>
      <c r="AA167" s="66">
        <f t="shared" si="198"/>
        <v>18</v>
      </c>
      <c r="AB167" s="66" t="s">
        <v>24</v>
      </c>
      <c r="AC167" s="39"/>
      <c r="AD167" s="39"/>
      <c r="AE167" s="39"/>
      <c r="AF167" s="39"/>
    </row>
    <row r="168" ht="27.75" customHeight="1">
      <c r="C168" s="1"/>
      <c r="D168" s="1"/>
      <c r="E168" s="1"/>
      <c r="F168" s="73" t="str">
        <f t="shared" ref="F168:F183" si="201">F144</f>
        <v>DEREK</v>
      </c>
      <c r="G168" s="142"/>
      <c r="H168" s="169">
        <f t="shared" ref="H168:P168" si="199">IFERROR(IF(VLOOKUP($F168,$F$124:$AA$139,H$141,FALSE)=0,"",IF(VLOOKUP($F168,$F$124:$AA$139,H$141,FALSE)&lt;H$166,1,0)),"")</f>
        <v>0</v>
      </c>
      <c r="I168" s="169">
        <f t="shared" si="199"/>
        <v>0</v>
      </c>
      <c r="J168" s="169">
        <f t="shared" si="199"/>
        <v>1</v>
      </c>
      <c r="K168" s="169">
        <f t="shared" si="199"/>
        <v>0</v>
      </c>
      <c r="L168" s="169">
        <f t="shared" si="199"/>
        <v>1</v>
      </c>
      <c r="M168" s="169">
        <f t="shared" si="199"/>
        <v>0</v>
      </c>
      <c r="N168" s="169">
        <f t="shared" si="199"/>
        <v>1</v>
      </c>
      <c r="O168" s="169">
        <f t="shared" si="199"/>
        <v>0</v>
      </c>
      <c r="P168" s="169">
        <f t="shared" si="199"/>
        <v>0</v>
      </c>
      <c r="Q168" s="51"/>
      <c r="R168" s="51"/>
      <c r="S168" s="169">
        <f t="shared" ref="S168:AA168" si="200">IFERROR(IF(VLOOKUP($F168,$F$124:$AA$139,S$141,FALSE)=0,"",IF(VLOOKUP($F168,$F$124:$AA$139,S$141,FALSE)&lt;S$166,1,0)),"")</f>
        <v>1</v>
      </c>
      <c r="T168" s="169">
        <f t="shared" si="200"/>
        <v>0</v>
      </c>
      <c r="U168" s="169">
        <f t="shared" si="200"/>
        <v>0</v>
      </c>
      <c r="V168" s="169">
        <f t="shared" si="200"/>
        <v>0</v>
      </c>
      <c r="W168" s="169">
        <f t="shared" si="200"/>
        <v>0</v>
      </c>
      <c r="X168" s="169">
        <f t="shared" si="200"/>
        <v>0</v>
      </c>
      <c r="Y168" s="169">
        <f t="shared" si="200"/>
        <v>0</v>
      </c>
      <c r="Z168" s="169">
        <f t="shared" si="200"/>
        <v>0</v>
      </c>
      <c r="AA168" s="169">
        <f t="shared" si="200"/>
        <v>1</v>
      </c>
      <c r="AB168" s="75">
        <f t="shared" ref="AB168:AB183" si="204">SUM(H168:AA168)</f>
        <v>5</v>
      </c>
      <c r="AC168" s="39"/>
      <c r="AD168" s="1"/>
      <c r="AE168" s="1"/>
      <c r="AF168" s="1"/>
    </row>
    <row r="169" ht="27.75" customHeight="1">
      <c r="C169" s="1"/>
      <c r="D169" s="1"/>
      <c r="E169" s="1"/>
      <c r="F169" s="73" t="str">
        <f t="shared" si="201"/>
        <v>SCOTT</v>
      </c>
      <c r="G169" s="142"/>
      <c r="H169" s="169">
        <f t="shared" ref="H169:P169" si="202">IFERROR(IF(VLOOKUP($F169,$F$124:$AA$139,H$141,FALSE)=0,"",IF(VLOOKUP($F169,$F$124:$AA$139,H$141,FALSE)&lt;H$166,1,0)),"")</f>
        <v>1</v>
      </c>
      <c r="I169" s="169">
        <f t="shared" si="202"/>
        <v>0</v>
      </c>
      <c r="J169" s="169">
        <f t="shared" si="202"/>
        <v>0</v>
      </c>
      <c r="K169" s="169">
        <f t="shared" si="202"/>
        <v>0</v>
      </c>
      <c r="L169" s="169">
        <f t="shared" si="202"/>
        <v>0</v>
      </c>
      <c r="M169" s="169">
        <f t="shared" si="202"/>
        <v>0</v>
      </c>
      <c r="N169" s="169">
        <f t="shared" si="202"/>
        <v>0</v>
      </c>
      <c r="O169" s="169">
        <f t="shared" si="202"/>
        <v>0</v>
      </c>
      <c r="P169" s="169">
        <f t="shared" si="202"/>
        <v>0</v>
      </c>
      <c r="Q169" s="51"/>
      <c r="R169" s="51"/>
      <c r="S169" s="169">
        <f t="shared" ref="S169:AA169" si="203">IFERROR(IF(VLOOKUP($F169,$F$124:$AA$139,S$141,FALSE)=0,"",IF(VLOOKUP($F169,$F$124:$AA$139,S$141,FALSE)&lt;S$166,1,0)),"")</f>
        <v>0</v>
      </c>
      <c r="T169" s="169">
        <f t="shared" si="203"/>
        <v>0</v>
      </c>
      <c r="U169" s="169">
        <f t="shared" si="203"/>
        <v>0</v>
      </c>
      <c r="V169" s="169">
        <f t="shared" si="203"/>
        <v>0</v>
      </c>
      <c r="W169" s="169">
        <f t="shared" si="203"/>
        <v>1</v>
      </c>
      <c r="X169" s="169">
        <f t="shared" si="203"/>
        <v>1</v>
      </c>
      <c r="Y169" s="169">
        <f t="shared" si="203"/>
        <v>0</v>
      </c>
      <c r="Z169" s="169">
        <f t="shared" si="203"/>
        <v>0</v>
      </c>
      <c r="AA169" s="169">
        <f t="shared" si="203"/>
        <v>0</v>
      </c>
      <c r="AB169" s="75">
        <f t="shared" si="204"/>
        <v>3</v>
      </c>
      <c r="AC169" s="39"/>
      <c r="AD169" s="1"/>
      <c r="AE169" s="1"/>
      <c r="AF169" s="1"/>
    </row>
    <row r="170" ht="27.75" customHeight="1">
      <c r="C170" s="1"/>
      <c r="D170" s="1"/>
      <c r="E170" s="1"/>
      <c r="F170" s="73" t="str">
        <f t="shared" si="201"/>
        <v>WAYS</v>
      </c>
      <c r="G170" s="142"/>
      <c r="H170" s="169">
        <f t="shared" ref="H170:P170" si="205">IFERROR(IF(VLOOKUP($F170,$F$124:$AA$139,H$141,FALSE)=0,"",IF(VLOOKUP($F170,$F$124:$AA$139,H$141,FALSE)&lt;H$166,1,0)),"")</f>
        <v>0</v>
      </c>
      <c r="I170" s="169">
        <f t="shared" si="205"/>
        <v>0</v>
      </c>
      <c r="J170" s="169">
        <f t="shared" si="205"/>
        <v>0</v>
      </c>
      <c r="K170" s="169">
        <f t="shared" si="205"/>
        <v>0</v>
      </c>
      <c r="L170" s="169">
        <f t="shared" si="205"/>
        <v>0</v>
      </c>
      <c r="M170" s="169">
        <f t="shared" si="205"/>
        <v>0</v>
      </c>
      <c r="N170" s="169">
        <f t="shared" si="205"/>
        <v>0</v>
      </c>
      <c r="O170" s="169">
        <f t="shared" si="205"/>
        <v>0</v>
      </c>
      <c r="P170" s="169">
        <f t="shared" si="205"/>
        <v>0</v>
      </c>
      <c r="Q170" s="51"/>
      <c r="R170" s="51"/>
      <c r="S170" s="169">
        <f t="shared" ref="S170:AA170" si="206">IFERROR(IF(VLOOKUP($F170,$F$124:$AA$139,S$141,FALSE)=0,"",IF(VLOOKUP($F170,$F$124:$AA$139,S$141,FALSE)&lt;S$166,1,0)),"")</f>
        <v>0</v>
      </c>
      <c r="T170" s="169">
        <f t="shared" si="206"/>
        <v>0</v>
      </c>
      <c r="U170" s="169">
        <f t="shared" si="206"/>
        <v>0</v>
      </c>
      <c r="V170" s="169">
        <f t="shared" si="206"/>
        <v>0</v>
      </c>
      <c r="W170" s="169">
        <f t="shared" si="206"/>
        <v>0</v>
      </c>
      <c r="X170" s="169">
        <f t="shared" si="206"/>
        <v>1</v>
      </c>
      <c r="Y170" s="169">
        <f t="shared" si="206"/>
        <v>0</v>
      </c>
      <c r="Z170" s="169">
        <f t="shared" si="206"/>
        <v>0</v>
      </c>
      <c r="AA170" s="169">
        <f t="shared" si="206"/>
        <v>1</v>
      </c>
      <c r="AB170" s="75">
        <f t="shared" si="204"/>
        <v>2</v>
      </c>
      <c r="AC170" s="39"/>
      <c r="AD170" s="1"/>
      <c r="AE170" s="1"/>
      <c r="AF170" s="1"/>
    </row>
    <row r="171" ht="27.75" customHeight="1">
      <c r="C171" s="1"/>
      <c r="D171" s="1"/>
      <c r="E171" s="1"/>
      <c r="F171" s="73" t="str">
        <f t="shared" si="201"/>
        <v>BEN</v>
      </c>
      <c r="G171" s="142"/>
      <c r="H171" s="169">
        <f t="shared" ref="H171:P171" si="207">IFERROR(IF(VLOOKUP($F171,$F$124:$AA$139,H$141,FALSE)=0,"",IF(VLOOKUP($F171,$F$124:$AA$139,H$141,FALSE)&lt;H$166,1,0)),"")</f>
        <v>0</v>
      </c>
      <c r="I171" s="169">
        <f t="shared" si="207"/>
        <v>0</v>
      </c>
      <c r="J171" s="169">
        <f t="shared" si="207"/>
        <v>0</v>
      </c>
      <c r="K171" s="169">
        <f t="shared" si="207"/>
        <v>0</v>
      </c>
      <c r="L171" s="169">
        <f t="shared" si="207"/>
        <v>0</v>
      </c>
      <c r="M171" s="169">
        <f t="shared" si="207"/>
        <v>0</v>
      </c>
      <c r="N171" s="169">
        <f t="shared" si="207"/>
        <v>0</v>
      </c>
      <c r="O171" s="169">
        <f t="shared" si="207"/>
        <v>0</v>
      </c>
      <c r="P171" s="169">
        <f t="shared" si="207"/>
        <v>0</v>
      </c>
      <c r="Q171" s="51"/>
      <c r="R171" s="51"/>
      <c r="S171" s="169">
        <f t="shared" ref="S171:AA171" si="208">IFERROR(IF(VLOOKUP($F171,$F$124:$AA$139,S$141,FALSE)=0,"",IF(VLOOKUP($F171,$F$124:$AA$139,S$141,FALSE)&lt;S$166,1,0)),"")</f>
        <v>0</v>
      </c>
      <c r="T171" s="169">
        <f t="shared" si="208"/>
        <v>0</v>
      </c>
      <c r="U171" s="169">
        <f t="shared" si="208"/>
        <v>0</v>
      </c>
      <c r="V171" s="169">
        <f t="shared" si="208"/>
        <v>0</v>
      </c>
      <c r="W171" s="169">
        <f t="shared" si="208"/>
        <v>0</v>
      </c>
      <c r="X171" s="169">
        <f t="shared" si="208"/>
        <v>0</v>
      </c>
      <c r="Y171" s="169">
        <f t="shared" si="208"/>
        <v>0</v>
      </c>
      <c r="Z171" s="169">
        <f t="shared" si="208"/>
        <v>1</v>
      </c>
      <c r="AA171" s="169">
        <f t="shared" si="208"/>
        <v>0</v>
      </c>
      <c r="AB171" s="75">
        <f t="shared" si="204"/>
        <v>1</v>
      </c>
      <c r="AC171" s="39"/>
      <c r="AD171" s="1"/>
      <c r="AE171" s="1"/>
      <c r="AF171" s="1"/>
    </row>
    <row r="172" ht="27.75" customHeight="1">
      <c r="C172" s="1"/>
      <c r="D172" s="1"/>
      <c r="E172" s="1"/>
      <c r="F172" s="73" t="str">
        <f t="shared" si="201"/>
        <v>DANNY</v>
      </c>
      <c r="G172" s="142"/>
      <c r="H172" s="169">
        <f t="shared" ref="H172:P172" si="209">IFERROR(IF(VLOOKUP($F172,$F$124:$AA$139,H$141,FALSE)=0,"",IF(VLOOKUP($F172,$F$124:$AA$139,H$141,FALSE)&lt;H$166,1,0)),"")</f>
        <v>0</v>
      </c>
      <c r="I172" s="169">
        <f t="shared" si="209"/>
        <v>0</v>
      </c>
      <c r="J172" s="169">
        <f t="shared" si="209"/>
        <v>0</v>
      </c>
      <c r="K172" s="169">
        <f t="shared" si="209"/>
        <v>0</v>
      </c>
      <c r="L172" s="169">
        <f t="shared" si="209"/>
        <v>0</v>
      </c>
      <c r="M172" s="169">
        <f t="shared" si="209"/>
        <v>0</v>
      </c>
      <c r="N172" s="169">
        <f t="shared" si="209"/>
        <v>0</v>
      </c>
      <c r="O172" s="169">
        <f t="shared" si="209"/>
        <v>0</v>
      </c>
      <c r="P172" s="169">
        <f t="shared" si="209"/>
        <v>0</v>
      </c>
      <c r="Q172" s="51"/>
      <c r="R172" s="51"/>
      <c r="S172" s="169">
        <f t="shared" ref="S172:AA172" si="210">IFERROR(IF(VLOOKUP($F172,$F$124:$AA$139,S$141,FALSE)=0,"",IF(VLOOKUP($F172,$F$124:$AA$139,S$141,FALSE)&lt;S$166,1,0)),"")</f>
        <v>0</v>
      </c>
      <c r="T172" s="169">
        <f t="shared" si="210"/>
        <v>0</v>
      </c>
      <c r="U172" s="169">
        <f t="shared" si="210"/>
        <v>0</v>
      </c>
      <c r="V172" s="169">
        <f t="shared" si="210"/>
        <v>0</v>
      </c>
      <c r="W172" s="169">
        <f t="shared" si="210"/>
        <v>0</v>
      </c>
      <c r="X172" s="169">
        <f t="shared" si="210"/>
        <v>0</v>
      </c>
      <c r="Y172" s="169">
        <f t="shared" si="210"/>
        <v>0</v>
      </c>
      <c r="Z172" s="169">
        <f t="shared" si="210"/>
        <v>0</v>
      </c>
      <c r="AA172" s="169">
        <f t="shared" si="210"/>
        <v>0</v>
      </c>
      <c r="AB172" s="75">
        <f t="shared" si="204"/>
        <v>0</v>
      </c>
      <c r="AC172" s="39"/>
      <c r="AD172" s="1"/>
      <c r="AE172" s="1"/>
      <c r="AF172" s="1"/>
    </row>
    <row r="173" ht="27.75" customHeight="1">
      <c r="C173" s="1"/>
      <c r="D173" s="1"/>
      <c r="E173" s="1"/>
      <c r="F173" s="73" t="str">
        <f t="shared" si="201"/>
        <v>ZACH</v>
      </c>
      <c r="G173" s="142"/>
      <c r="H173" s="169">
        <f t="shared" ref="H173:P173" si="211">IFERROR(IF(VLOOKUP($F173,$F$124:$AA$139,H$141,FALSE)=0,"",IF(VLOOKUP($F173,$F$124:$AA$139,H$141,FALSE)&lt;H$166,1,0)),"")</f>
        <v>0</v>
      </c>
      <c r="I173" s="169">
        <f t="shared" si="211"/>
        <v>0</v>
      </c>
      <c r="J173" s="169">
        <f t="shared" si="211"/>
        <v>0</v>
      </c>
      <c r="K173" s="169">
        <f t="shared" si="211"/>
        <v>0</v>
      </c>
      <c r="L173" s="169">
        <f t="shared" si="211"/>
        <v>0</v>
      </c>
      <c r="M173" s="169">
        <f t="shared" si="211"/>
        <v>0</v>
      </c>
      <c r="N173" s="169">
        <f t="shared" si="211"/>
        <v>0</v>
      </c>
      <c r="O173" s="169">
        <f t="shared" si="211"/>
        <v>0</v>
      </c>
      <c r="P173" s="169">
        <f t="shared" si="211"/>
        <v>1</v>
      </c>
      <c r="Q173" s="51"/>
      <c r="R173" s="51"/>
      <c r="S173" s="169">
        <f t="shared" ref="S173:AA173" si="212">IFERROR(IF(VLOOKUP($F173,$F$124:$AA$139,S$141,FALSE)=0,"",IF(VLOOKUP($F173,$F$124:$AA$139,S$141,FALSE)&lt;S$166,1,0)),"")</f>
        <v>0</v>
      </c>
      <c r="T173" s="169">
        <f t="shared" si="212"/>
        <v>0</v>
      </c>
      <c r="U173" s="169">
        <f t="shared" si="212"/>
        <v>0</v>
      </c>
      <c r="V173" s="169">
        <f t="shared" si="212"/>
        <v>0</v>
      </c>
      <c r="W173" s="169">
        <f t="shared" si="212"/>
        <v>0</v>
      </c>
      <c r="X173" s="169">
        <f t="shared" si="212"/>
        <v>0</v>
      </c>
      <c r="Y173" s="169">
        <f t="shared" si="212"/>
        <v>1</v>
      </c>
      <c r="Z173" s="169">
        <f t="shared" si="212"/>
        <v>0</v>
      </c>
      <c r="AA173" s="169">
        <f t="shared" si="212"/>
        <v>0</v>
      </c>
      <c r="AB173" s="75">
        <f t="shared" si="204"/>
        <v>2</v>
      </c>
      <c r="AC173" s="39"/>
      <c r="AD173" s="1"/>
      <c r="AE173" s="1"/>
      <c r="AF173" s="1"/>
    </row>
    <row r="174" ht="27.75" customHeight="1">
      <c r="C174" s="1"/>
      <c r="D174" s="1"/>
      <c r="E174" s="1"/>
      <c r="F174" s="73" t="str">
        <f t="shared" si="201"/>
        <v>SLICK</v>
      </c>
      <c r="G174" s="142"/>
      <c r="H174" s="169">
        <f t="shared" ref="H174:P174" si="213">IFERROR(IF(VLOOKUP($F174,$F$124:$AA$139,H$141,FALSE)=0,"",IF(VLOOKUP($F174,$F$124:$AA$139,H$141,FALSE)&lt;H$166,1,0)),"")</f>
        <v>0</v>
      </c>
      <c r="I174" s="169">
        <f t="shared" si="213"/>
        <v>1</v>
      </c>
      <c r="J174" s="169">
        <f t="shared" si="213"/>
        <v>0</v>
      </c>
      <c r="K174" s="169">
        <f t="shared" si="213"/>
        <v>0</v>
      </c>
      <c r="L174" s="169">
        <f t="shared" si="213"/>
        <v>0</v>
      </c>
      <c r="M174" s="169">
        <f t="shared" si="213"/>
        <v>0</v>
      </c>
      <c r="N174" s="169">
        <f t="shared" si="213"/>
        <v>0</v>
      </c>
      <c r="O174" s="169">
        <f t="shared" si="213"/>
        <v>0</v>
      </c>
      <c r="P174" s="169">
        <f t="shared" si="213"/>
        <v>0</v>
      </c>
      <c r="Q174" s="51"/>
      <c r="R174" s="51"/>
      <c r="S174" s="169">
        <f t="shared" ref="S174:AA174" si="214">IFERROR(IF(VLOOKUP($F174,$F$124:$AA$139,S$141,FALSE)=0,"",IF(VLOOKUP($F174,$F$124:$AA$139,S$141,FALSE)&lt;S$166,1,0)),"")</f>
        <v>0</v>
      </c>
      <c r="T174" s="169">
        <f t="shared" si="214"/>
        <v>0</v>
      </c>
      <c r="U174" s="169">
        <f t="shared" si="214"/>
        <v>0</v>
      </c>
      <c r="V174" s="169">
        <f t="shared" si="214"/>
        <v>0</v>
      </c>
      <c r="W174" s="169">
        <f t="shared" si="214"/>
        <v>0</v>
      </c>
      <c r="X174" s="169">
        <f t="shared" si="214"/>
        <v>0</v>
      </c>
      <c r="Y174" s="169">
        <f t="shared" si="214"/>
        <v>0</v>
      </c>
      <c r="Z174" s="169">
        <f t="shared" si="214"/>
        <v>0</v>
      </c>
      <c r="AA174" s="169">
        <f t="shared" si="214"/>
        <v>0</v>
      </c>
      <c r="AB174" s="75">
        <f t="shared" si="204"/>
        <v>1</v>
      </c>
      <c r="AC174" s="39"/>
      <c r="AD174" s="1"/>
      <c r="AE174" s="1"/>
      <c r="AF174" s="1"/>
    </row>
    <row r="175" ht="27.75" customHeight="1">
      <c r="C175" s="1"/>
      <c r="D175" s="1"/>
      <c r="E175" s="1"/>
      <c r="F175" s="73" t="str">
        <f t="shared" si="201"/>
        <v>PAXTON</v>
      </c>
      <c r="G175" s="142"/>
      <c r="H175" s="169">
        <f t="shared" ref="H175:P175" si="215">IFERROR(IF(VLOOKUP($F175,$F$124:$AA$139,H$141,FALSE)=0,"",IF(VLOOKUP($F175,$F$124:$AA$139,H$141,FALSE)&lt;H$166,1,0)),"")</f>
        <v>0</v>
      </c>
      <c r="I175" s="169">
        <f t="shared" si="215"/>
        <v>0</v>
      </c>
      <c r="J175" s="169">
        <f t="shared" si="215"/>
        <v>0</v>
      </c>
      <c r="K175" s="169">
        <f t="shared" si="215"/>
        <v>0</v>
      </c>
      <c r="L175" s="169">
        <f t="shared" si="215"/>
        <v>0</v>
      </c>
      <c r="M175" s="169">
        <f t="shared" si="215"/>
        <v>0</v>
      </c>
      <c r="N175" s="169">
        <f t="shared" si="215"/>
        <v>0</v>
      </c>
      <c r="O175" s="169">
        <f t="shared" si="215"/>
        <v>0</v>
      </c>
      <c r="P175" s="169">
        <f t="shared" si="215"/>
        <v>0</v>
      </c>
      <c r="Q175" s="51"/>
      <c r="R175" s="51"/>
      <c r="S175" s="169">
        <f t="shared" ref="S175:AA175" si="216">IFERROR(IF(VLOOKUP($F175,$F$124:$AA$139,S$141,FALSE)=0,"",IF(VLOOKUP($F175,$F$124:$AA$139,S$141,FALSE)&lt;S$166,1,0)),"")</f>
        <v>0</v>
      </c>
      <c r="T175" s="169">
        <f t="shared" si="216"/>
        <v>0</v>
      </c>
      <c r="U175" s="169">
        <f t="shared" si="216"/>
        <v>0</v>
      </c>
      <c r="V175" s="169">
        <f t="shared" si="216"/>
        <v>0</v>
      </c>
      <c r="W175" s="169">
        <f t="shared" si="216"/>
        <v>0</v>
      </c>
      <c r="X175" s="169">
        <f t="shared" si="216"/>
        <v>0</v>
      </c>
      <c r="Y175" s="169">
        <f t="shared" si="216"/>
        <v>0</v>
      </c>
      <c r="Z175" s="169">
        <f t="shared" si="216"/>
        <v>0</v>
      </c>
      <c r="AA175" s="169">
        <f t="shared" si="216"/>
        <v>0</v>
      </c>
      <c r="AB175" s="75">
        <f t="shared" si="204"/>
        <v>0</v>
      </c>
      <c r="AC175" s="39"/>
      <c r="AD175" s="1"/>
      <c r="AE175" s="1"/>
      <c r="AF175" s="1"/>
    </row>
    <row r="176" ht="27.75" customHeight="1">
      <c r="C176" s="1"/>
      <c r="D176" s="1"/>
      <c r="E176" s="1"/>
      <c r="F176" s="73" t="str">
        <f t="shared" si="201"/>
        <v>DYLAN</v>
      </c>
      <c r="G176" s="142"/>
      <c r="H176" s="169">
        <f t="shared" ref="H176:P176" si="217">IFERROR(IF(VLOOKUP($F176,$F$124:$AA$139,H$141,FALSE)=0,"",IF(VLOOKUP($F176,$F$124:$AA$139,H$141,FALSE)&lt;H$166,1,0)),"")</f>
        <v>0</v>
      </c>
      <c r="I176" s="169">
        <f t="shared" si="217"/>
        <v>0</v>
      </c>
      <c r="J176" s="169">
        <f t="shared" si="217"/>
        <v>0</v>
      </c>
      <c r="K176" s="169">
        <f t="shared" si="217"/>
        <v>0</v>
      </c>
      <c r="L176" s="169">
        <f t="shared" si="217"/>
        <v>0</v>
      </c>
      <c r="M176" s="169">
        <f t="shared" si="217"/>
        <v>0</v>
      </c>
      <c r="N176" s="169">
        <f t="shared" si="217"/>
        <v>0</v>
      </c>
      <c r="O176" s="169">
        <f t="shared" si="217"/>
        <v>0</v>
      </c>
      <c r="P176" s="169">
        <f t="shared" si="217"/>
        <v>0</v>
      </c>
      <c r="Q176" s="51"/>
      <c r="R176" s="51"/>
      <c r="S176" s="169">
        <f t="shared" ref="S176:AA176" si="218">IFERROR(IF(VLOOKUP($F176,$F$124:$AA$139,S$141,FALSE)=0,"",IF(VLOOKUP($F176,$F$124:$AA$139,S$141,FALSE)&lt;S$166,1,0)),"")</f>
        <v>0</v>
      </c>
      <c r="T176" s="169">
        <f t="shared" si="218"/>
        <v>0</v>
      </c>
      <c r="U176" s="169">
        <f t="shared" si="218"/>
        <v>0</v>
      </c>
      <c r="V176" s="169">
        <f t="shared" si="218"/>
        <v>0</v>
      </c>
      <c r="W176" s="169">
        <f t="shared" si="218"/>
        <v>0</v>
      </c>
      <c r="X176" s="169">
        <f t="shared" si="218"/>
        <v>0</v>
      </c>
      <c r="Y176" s="169">
        <f t="shared" si="218"/>
        <v>0</v>
      </c>
      <c r="Z176" s="169">
        <f t="shared" si="218"/>
        <v>0</v>
      </c>
      <c r="AA176" s="169">
        <f t="shared" si="218"/>
        <v>0</v>
      </c>
      <c r="AB176" s="75">
        <f t="shared" si="204"/>
        <v>0</v>
      </c>
      <c r="AC176" s="39"/>
      <c r="AD176" s="1"/>
      <c r="AE176" s="1"/>
      <c r="AF176" s="1"/>
    </row>
    <row r="177" ht="27.75" customHeight="1">
      <c r="C177" s="1"/>
      <c r="D177" s="1"/>
      <c r="E177" s="1"/>
      <c r="F177" s="73" t="str">
        <f t="shared" si="201"/>
        <v>TOM</v>
      </c>
      <c r="G177" s="142"/>
      <c r="H177" s="169">
        <f t="shared" ref="H177:P177" si="219">IFERROR(IF(VLOOKUP($F177,$F$124:$AA$139,H$141,FALSE)=0,"",IF(VLOOKUP($F177,$F$124:$AA$139,H$141,FALSE)&lt;H$166,1,0)),"")</f>
        <v>0</v>
      </c>
      <c r="I177" s="169">
        <f t="shared" si="219"/>
        <v>0</v>
      </c>
      <c r="J177" s="169">
        <f t="shared" si="219"/>
        <v>0</v>
      </c>
      <c r="K177" s="169">
        <f t="shared" si="219"/>
        <v>0</v>
      </c>
      <c r="L177" s="169">
        <f t="shared" si="219"/>
        <v>0</v>
      </c>
      <c r="M177" s="169">
        <f t="shared" si="219"/>
        <v>0</v>
      </c>
      <c r="N177" s="169">
        <f t="shared" si="219"/>
        <v>0</v>
      </c>
      <c r="O177" s="169">
        <f t="shared" si="219"/>
        <v>0</v>
      </c>
      <c r="P177" s="169">
        <f t="shared" si="219"/>
        <v>0</v>
      </c>
      <c r="Q177" s="51"/>
      <c r="R177" s="51"/>
      <c r="S177" s="169">
        <f t="shared" ref="S177:AA177" si="220">IFERROR(IF(VLOOKUP($F177,$F$124:$AA$139,S$141,FALSE)=0,"",IF(VLOOKUP($F177,$F$124:$AA$139,S$141,FALSE)&lt;S$166,1,0)),"")</f>
        <v>0</v>
      </c>
      <c r="T177" s="169">
        <f t="shared" si="220"/>
        <v>0</v>
      </c>
      <c r="U177" s="169">
        <f t="shared" si="220"/>
        <v>0</v>
      </c>
      <c r="V177" s="169">
        <f t="shared" si="220"/>
        <v>0</v>
      </c>
      <c r="W177" s="169">
        <f t="shared" si="220"/>
        <v>0</v>
      </c>
      <c r="X177" s="169">
        <f t="shared" si="220"/>
        <v>0</v>
      </c>
      <c r="Y177" s="169">
        <f t="shared" si="220"/>
        <v>0</v>
      </c>
      <c r="Z177" s="169">
        <f t="shared" si="220"/>
        <v>1</v>
      </c>
      <c r="AA177" s="169">
        <f t="shared" si="220"/>
        <v>0</v>
      </c>
      <c r="AB177" s="75">
        <f t="shared" si="204"/>
        <v>1</v>
      </c>
      <c r="AC177" s="39"/>
      <c r="AD177" s="1"/>
      <c r="AE177" s="1"/>
      <c r="AF177" s="1"/>
    </row>
    <row r="178" ht="27.75" customHeight="1">
      <c r="C178" s="1"/>
      <c r="D178" s="1"/>
      <c r="E178" s="1"/>
      <c r="F178" s="73" t="str">
        <f t="shared" si="201"/>
        <v>ERIC</v>
      </c>
      <c r="G178" s="142"/>
      <c r="H178" s="169">
        <f t="shared" ref="H178:P178" si="221">IFERROR(IF(VLOOKUP($F178,$F$124:$AA$139,H$141,FALSE)=0,"",IF(VLOOKUP($F178,$F$124:$AA$139,H$141,FALSE)&lt;H$166,1,0)),"")</f>
        <v>0</v>
      </c>
      <c r="I178" s="169">
        <f t="shared" si="221"/>
        <v>0</v>
      </c>
      <c r="J178" s="169">
        <f t="shared" si="221"/>
        <v>0</v>
      </c>
      <c r="K178" s="169">
        <f t="shared" si="221"/>
        <v>0</v>
      </c>
      <c r="L178" s="169">
        <f t="shared" si="221"/>
        <v>0</v>
      </c>
      <c r="M178" s="169">
        <f t="shared" si="221"/>
        <v>0</v>
      </c>
      <c r="N178" s="169">
        <f t="shared" si="221"/>
        <v>0</v>
      </c>
      <c r="O178" s="169">
        <f t="shared" si="221"/>
        <v>0</v>
      </c>
      <c r="P178" s="169">
        <f t="shared" si="221"/>
        <v>0</v>
      </c>
      <c r="Q178" s="51"/>
      <c r="R178" s="51"/>
      <c r="S178" s="169">
        <f t="shared" ref="S178:AA178" si="222">IFERROR(IF(VLOOKUP($F178,$F$124:$AA$139,S$141,FALSE)=0,"",IF(VLOOKUP($F178,$F$124:$AA$139,S$141,FALSE)&lt;S$166,1,0)),"")</f>
        <v>0</v>
      </c>
      <c r="T178" s="169">
        <f t="shared" si="222"/>
        <v>0</v>
      </c>
      <c r="U178" s="169">
        <f t="shared" si="222"/>
        <v>0</v>
      </c>
      <c r="V178" s="169">
        <f t="shared" si="222"/>
        <v>0</v>
      </c>
      <c r="W178" s="169">
        <f t="shared" si="222"/>
        <v>1</v>
      </c>
      <c r="X178" s="169">
        <f t="shared" si="222"/>
        <v>0</v>
      </c>
      <c r="Y178" s="169">
        <f t="shared" si="222"/>
        <v>0</v>
      </c>
      <c r="Z178" s="169">
        <f t="shared" si="222"/>
        <v>0</v>
      </c>
      <c r="AA178" s="169">
        <f t="shared" si="222"/>
        <v>0</v>
      </c>
      <c r="AB178" s="75">
        <f t="shared" si="204"/>
        <v>1</v>
      </c>
      <c r="AC178" s="39"/>
      <c r="AD178" s="1"/>
      <c r="AE178" s="1"/>
      <c r="AF178" s="1"/>
    </row>
    <row r="179" ht="27.75" customHeight="1">
      <c r="C179" s="1"/>
      <c r="D179" s="1"/>
      <c r="E179" s="1"/>
      <c r="F179" s="73" t="str">
        <f t="shared" si="201"/>
        <v>MAX</v>
      </c>
      <c r="G179" s="142"/>
      <c r="H179" s="169">
        <f t="shared" ref="H179:P179" si="223">IFERROR(IF(VLOOKUP($F179,$F$124:$AA$139,H$141,FALSE)=0,"",IF(VLOOKUP($F179,$F$124:$AA$139,H$141,FALSE)&lt;H$166,1,0)),"")</f>
        <v>0</v>
      </c>
      <c r="I179" s="169">
        <f t="shared" si="223"/>
        <v>0</v>
      </c>
      <c r="J179" s="169">
        <f t="shared" si="223"/>
        <v>0</v>
      </c>
      <c r="K179" s="169">
        <f t="shared" si="223"/>
        <v>0</v>
      </c>
      <c r="L179" s="169">
        <f t="shared" si="223"/>
        <v>0</v>
      </c>
      <c r="M179" s="169">
        <f t="shared" si="223"/>
        <v>0</v>
      </c>
      <c r="N179" s="169">
        <f t="shared" si="223"/>
        <v>0</v>
      </c>
      <c r="O179" s="169">
        <f t="shared" si="223"/>
        <v>0</v>
      </c>
      <c r="P179" s="169">
        <f t="shared" si="223"/>
        <v>0</v>
      </c>
      <c r="Q179" s="51"/>
      <c r="R179" s="51"/>
      <c r="S179" s="169">
        <f t="shared" ref="S179:AA179" si="224">IFERROR(IF(VLOOKUP($F179,$F$124:$AA$139,S$141,FALSE)=0,"",IF(VLOOKUP($F179,$F$124:$AA$139,S$141,FALSE)&lt;S$166,1,0)),"")</f>
        <v>0</v>
      </c>
      <c r="T179" s="169">
        <f t="shared" si="224"/>
        <v>0</v>
      </c>
      <c r="U179" s="169">
        <f t="shared" si="224"/>
        <v>0</v>
      </c>
      <c r="V179" s="169">
        <f t="shared" si="224"/>
        <v>0</v>
      </c>
      <c r="W179" s="169">
        <f t="shared" si="224"/>
        <v>0</v>
      </c>
      <c r="X179" s="169">
        <f t="shared" si="224"/>
        <v>0</v>
      </c>
      <c r="Y179" s="169">
        <f t="shared" si="224"/>
        <v>0</v>
      </c>
      <c r="Z179" s="169">
        <f t="shared" si="224"/>
        <v>0</v>
      </c>
      <c r="AA179" s="169">
        <f t="shared" si="224"/>
        <v>0</v>
      </c>
      <c r="AB179" s="75">
        <f t="shared" si="204"/>
        <v>0</v>
      </c>
      <c r="AC179" s="39"/>
      <c r="AD179" s="1"/>
      <c r="AE179" s="1"/>
      <c r="AF179" s="1"/>
    </row>
    <row r="180" ht="27.75" customHeight="1">
      <c r="C180" s="1"/>
      <c r="D180" s="1"/>
      <c r="E180" s="1"/>
      <c r="F180" s="73" t="str">
        <f t="shared" si="201"/>
        <v>KIP</v>
      </c>
      <c r="G180" s="142"/>
      <c r="H180" s="169">
        <f t="shared" ref="H180:P180" si="225">IFERROR(IF(VLOOKUP($F180,$F$124:$AA$139,H$141,FALSE)=0,"",IF(VLOOKUP($F180,$F$124:$AA$139,H$141,FALSE)&lt;H$166,1,0)),"")</f>
        <v>0</v>
      </c>
      <c r="I180" s="169">
        <f t="shared" si="225"/>
        <v>0</v>
      </c>
      <c r="J180" s="169">
        <f t="shared" si="225"/>
        <v>0</v>
      </c>
      <c r="K180" s="169">
        <f t="shared" si="225"/>
        <v>0</v>
      </c>
      <c r="L180" s="169">
        <f t="shared" si="225"/>
        <v>0</v>
      </c>
      <c r="M180" s="169">
        <f t="shared" si="225"/>
        <v>0</v>
      </c>
      <c r="N180" s="169">
        <f t="shared" si="225"/>
        <v>0</v>
      </c>
      <c r="O180" s="169">
        <f t="shared" si="225"/>
        <v>0</v>
      </c>
      <c r="P180" s="169">
        <f t="shared" si="225"/>
        <v>0</v>
      </c>
      <c r="Q180" s="51"/>
      <c r="R180" s="51"/>
      <c r="S180" s="169">
        <f t="shared" ref="S180:AA180" si="226">IFERROR(IF(VLOOKUP($F180,$F$124:$AA$139,S$141,FALSE)=0,"",IF(VLOOKUP($F180,$F$124:$AA$139,S$141,FALSE)&lt;S$166,1,0)),"")</f>
        <v>0</v>
      </c>
      <c r="T180" s="169">
        <f t="shared" si="226"/>
        <v>0</v>
      </c>
      <c r="U180" s="169">
        <f t="shared" si="226"/>
        <v>0</v>
      </c>
      <c r="V180" s="169">
        <f t="shared" si="226"/>
        <v>0</v>
      </c>
      <c r="W180" s="169">
        <f t="shared" si="226"/>
        <v>0</v>
      </c>
      <c r="X180" s="169">
        <f t="shared" si="226"/>
        <v>0</v>
      </c>
      <c r="Y180" s="169">
        <f t="shared" si="226"/>
        <v>0</v>
      </c>
      <c r="Z180" s="169">
        <f t="shared" si="226"/>
        <v>0</v>
      </c>
      <c r="AA180" s="169">
        <f t="shared" si="226"/>
        <v>0</v>
      </c>
      <c r="AB180" s="75">
        <f t="shared" si="204"/>
        <v>0</v>
      </c>
      <c r="AC180" s="39"/>
      <c r="AD180" s="1"/>
      <c r="AE180" s="1"/>
      <c r="AF180" s="1"/>
    </row>
    <row r="181" ht="27.75" customHeight="1">
      <c r="C181" s="1"/>
      <c r="D181" s="1"/>
      <c r="E181" s="1"/>
      <c r="F181" s="73" t="str">
        <f t="shared" si="201"/>
        <v>SHEPP</v>
      </c>
      <c r="G181" s="142"/>
      <c r="H181" s="169">
        <f t="shared" ref="H181:P181" si="227">IFERROR(IF(VLOOKUP($F181,$F$124:$AA$139,H$141,FALSE)=0,"",IF(VLOOKUP($F181,$F$124:$AA$139,H$141,FALSE)&lt;H$166,1,0)),"")</f>
        <v>0</v>
      </c>
      <c r="I181" s="169">
        <f t="shared" si="227"/>
        <v>0</v>
      </c>
      <c r="J181" s="169">
        <f t="shared" si="227"/>
        <v>0</v>
      </c>
      <c r="K181" s="169">
        <f t="shared" si="227"/>
        <v>0</v>
      </c>
      <c r="L181" s="169">
        <f t="shared" si="227"/>
        <v>0</v>
      </c>
      <c r="M181" s="169">
        <f t="shared" si="227"/>
        <v>0</v>
      </c>
      <c r="N181" s="169">
        <f t="shared" si="227"/>
        <v>0</v>
      </c>
      <c r="O181" s="169">
        <f t="shared" si="227"/>
        <v>0</v>
      </c>
      <c r="P181" s="169">
        <f t="shared" si="227"/>
        <v>0</v>
      </c>
      <c r="Q181" s="51"/>
      <c r="R181" s="51"/>
      <c r="S181" s="169">
        <f t="shared" ref="S181:AA181" si="228">IFERROR(IF(VLOOKUP($F181,$F$124:$AA$139,S$141,FALSE)=0,"",IF(VLOOKUP($F181,$F$124:$AA$139,S$141,FALSE)&lt;S$166,1,0)),"")</f>
        <v>0</v>
      </c>
      <c r="T181" s="169">
        <f t="shared" si="228"/>
        <v>0</v>
      </c>
      <c r="U181" s="169">
        <f t="shared" si="228"/>
        <v>0</v>
      </c>
      <c r="V181" s="169">
        <f t="shared" si="228"/>
        <v>0</v>
      </c>
      <c r="W181" s="169">
        <f t="shared" si="228"/>
        <v>0</v>
      </c>
      <c r="X181" s="169">
        <f t="shared" si="228"/>
        <v>0</v>
      </c>
      <c r="Y181" s="169">
        <f t="shared" si="228"/>
        <v>0</v>
      </c>
      <c r="Z181" s="169">
        <f t="shared" si="228"/>
        <v>0</v>
      </c>
      <c r="AA181" s="169">
        <f t="shared" si="228"/>
        <v>0</v>
      </c>
      <c r="AB181" s="75">
        <f t="shared" si="204"/>
        <v>0</v>
      </c>
      <c r="AC181" s="39"/>
      <c r="AD181" s="1"/>
      <c r="AE181" s="1"/>
      <c r="AF181" s="1"/>
    </row>
    <row r="182" ht="27.75" customHeight="1">
      <c r="C182" s="1"/>
      <c r="D182" s="1"/>
      <c r="E182" s="1"/>
      <c r="F182" s="73" t="str">
        <f t="shared" si="201"/>
        <v>SKYLAR</v>
      </c>
      <c r="G182" s="142"/>
      <c r="H182" s="169">
        <f t="shared" ref="H182:P182" si="229">IFERROR(IF(VLOOKUP($F182,$F$124:$AA$139,H$141,FALSE)=0,"",IF(VLOOKUP($F182,$F$124:$AA$139,H$141,FALSE)&lt;H$166,1,0)),"")</f>
        <v>0</v>
      </c>
      <c r="I182" s="169">
        <f t="shared" si="229"/>
        <v>0</v>
      </c>
      <c r="J182" s="169">
        <f t="shared" si="229"/>
        <v>0</v>
      </c>
      <c r="K182" s="169">
        <f t="shared" si="229"/>
        <v>0</v>
      </c>
      <c r="L182" s="169">
        <f t="shared" si="229"/>
        <v>0</v>
      </c>
      <c r="M182" s="169">
        <f t="shared" si="229"/>
        <v>0</v>
      </c>
      <c r="N182" s="169">
        <f t="shared" si="229"/>
        <v>0</v>
      </c>
      <c r="O182" s="169">
        <f t="shared" si="229"/>
        <v>0</v>
      </c>
      <c r="P182" s="169">
        <f t="shared" si="229"/>
        <v>0</v>
      </c>
      <c r="Q182" s="51"/>
      <c r="R182" s="51"/>
      <c r="S182" s="169">
        <f t="shared" ref="S182:AA182" si="230">IFERROR(IF(VLOOKUP($F182,$F$124:$AA$139,S$141,FALSE)=0,"",IF(VLOOKUP($F182,$F$124:$AA$139,S$141,FALSE)&lt;S$166,1,0)),"")</f>
        <v>0</v>
      </c>
      <c r="T182" s="169">
        <f t="shared" si="230"/>
        <v>0</v>
      </c>
      <c r="U182" s="169">
        <f t="shared" si="230"/>
        <v>0</v>
      </c>
      <c r="V182" s="169">
        <f t="shared" si="230"/>
        <v>0</v>
      </c>
      <c r="W182" s="169">
        <f t="shared" si="230"/>
        <v>0</v>
      </c>
      <c r="X182" s="169">
        <f t="shared" si="230"/>
        <v>0</v>
      </c>
      <c r="Y182" s="169">
        <f t="shared" si="230"/>
        <v>0</v>
      </c>
      <c r="Z182" s="169">
        <f t="shared" si="230"/>
        <v>0</v>
      </c>
      <c r="AA182" s="169">
        <f t="shared" si="230"/>
        <v>0</v>
      </c>
      <c r="AB182" s="75">
        <f t="shared" si="204"/>
        <v>0</v>
      </c>
      <c r="AC182" s="39"/>
      <c r="AD182" s="1"/>
      <c r="AE182" s="1"/>
      <c r="AF182" s="1"/>
    </row>
    <row r="183" ht="27.75" customHeight="1">
      <c r="C183" s="1"/>
      <c r="D183" s="1"/>
      <c r="E183" s="1"/>
      <c r="F183" s="73" t="str">
        <f t="shared" si="201"/>
        <v>RYAN</v>
      </c>
      <c r="G183" s="142"/>
      <c r="H183" s="169">
        <f t="shared" ref="H183:P183" si="231">IFERROR(IF(VLOOKUP($F183,$F$124:$AA$139,H$141,FALSE)=0,"",IF(VLOOKUP($F183,$F$124:$AA$139,H$141,FALSE)&lt;H$166,1,0)),"")</f>
        <v>0</v>
      </c>
      <c r="I183" s="169">
        <f t="shared" si="231"/>
        <v>0</v>
      </c>
      <c r="J183" s="169">
        <f t="shared" si="231"/>
        <v>0</v>
      </c>
      <c r="K183" s="169">
        <f t="shared" si="231"/>
        <v>0</v>
      </c>
      <c r="L183" s="169">
        <f t="shared" si="231"/>
        <v>0</v>
      </c>
      <c r="M183" s="169">
        <f t="shared" si="231"/>
        <v>0</v>
      </c>
      <c r="N183" s="169">
        <f t="shared" si="231"/>
        <v>0</v>
      </c>
      <c r="O183" s="169">
        <f t="shared" si="231"/>
        <v>0</v>
      </c>
      <c r="P183" s="169">
        <f t="shared" si="231"/>
        <v>0</v>
      </c>
      <c r="Q183" s="51"/>
      <c r="R183" s="51"/>
      <c r="S183" s="169">
        <f t="shared" ref="S183:AA183" si="232">IFERROR(IF(VLOOKUP($F183,$F$124:$AA$139,S$141,FALSE)=0,"",IF(VLOOKUP($F183,$F$124:$AA$139,S$141,FALSE)&lt;S$166,1,0)),"")</f>
        <v>0</v>
      </c>
      <c r="T183" s="169">
        <f t="shared" si="232"/>
        <v>0</v>
      </c>
      <c r="U183" s="169">
        <f t="shared" si="232"/>
        <v>0</v>
      </c>
      <c r="V183" s="169">
        <f t="shared" si="232"/>
        <v>0</v>
      </c>
      <c r="W183" s="169">
        <f t="shared" si="232"/>
        <v>0</v>
      </c>
      <c r="X183" s="169">
        <f t="shared" si="232"/>
        <v>0</v>
      </c>
      <c r="Y183" s="169">
        <f t="shared" si="232"/>
        <v>0</v>
      </c>
      <c r="Z183" s="169">
        <f t="shared" si="232"/>
        <v>0</v>
      </c>
      <c r="AA183" s="169">
        <f t="shared" si="232"/>
        <v>0</v>
      </c>
      <c r="AB183" s="75">
        <f t="shared" si="204"/>
        <v>0</v>
      </c>
      <c r="AC183" s="39"/>
      <c r="AD183" s="1"/>
      <c r="AE183" s="1"/>
      <c r="AF183" s="1"/>
    </row>
    <row r="184" ht="7.5" customHeight="1">
      <c r="C184" s="1"/>
      <c r="D184" s="1"/>
      <c r="E184" s="1"/>
      <c r="F184" s="9"/>
      <c r="G184" s="9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10"/>
      <c r="AC184" s="39"/>
      <c r="AD184" s="1"/>
      <c r="AE184" s="1"/>
      <c r="AF184" s="1"/>
    </row>
    <row r="185" ht="24.75" customHeight="1">
      <c r="C185" s="1"/>
      <c r="D185" s="1"/>
      <c r="E185" s="1"/>
      <c r="F185" s="180" t="s">
        <v>31</v>
      </c>
      <c r="G185" s="142"/>
      <c r="H185" s="66">
        <f t="shared" ref="H185:P185" si="233">SUM(H168:H183)</f>
        <v>1</v>
      </c>
      <c r="I185" s="66">
        <f t="shared" si="233"/>
        <v>1</v>
      </c>
      <c r="J185" s="66">
        <f t="shared" si="233"/>
        <v>1</v>
      </c>
      <c r="K185" s="66">
        <f t="shared" si="233"/>
        <v>0</v>
      </c>
      <c r="L185" s="66">
        <f t="shared" si="233"/>
        <v>1</v>
      </c>
      <c r="M185" s="66">
        <f t="shared" si="233"/>
        <v>0</v>
      </c>
      <c r="N185" s="66">
        <f t="shared" si="233"/>
        <v>1</v>
      </c>
      <c r="O185" s="66">
        <f t="shared" si="233"/>
        <v>0</v>
      </c>
      <c r="P185" s="66">
        <f t="shared" si="233"/>
        <v>1</v>
      </c>
      <c r="Q185" s="1"/>
      <c r="R185" s="1"/>
      <c r="S185" s="66">
        <f t="shared" ref="S185:AB185" si="234">SUM(S168:S183)</f>
        <v>1</v>
      </c>
      <c r="T185" s="66">
        <f t="shared" si="234"/>
        <v>0</v>
      </c>
      <c r="U185" s="66">
        <f t="shared" si="234"/>
        <v>0</v>
      </c>
      <c r="V185" s="66">
        <f t="shared" si="234"/>
        <v>0</v>
      </c>
      <c r="W185" s="66">
        <f t="shared" si="234"/>
        <v>2</v>
      </c>
      <c r="X185" s="66">
        <f t="shared" si="234"/>
        <v>2</v>
      </c>
      <c r="Y185" s="66">
        <f t="shared" si="234"/>
        <v>1</v>
      </c>
      <c r="Z185" s="66">
        <f t="shared" si="234"/>
        <v>2</v>
      </c>
      <c r="AA185" s="66">
        <f t="shared" si="234"/>
        <v>2</v>
      </c>
      <c r="AB185" s="66">
        <f t="shared" si="234"/>
        <v>16</v>
      </c>
      <c r="AC185" s="1"/>
      <c r="AD185" s="1"/>
      <c r="AE185" s="1"/>
      <c r="AF185" s="1"/>
    </row>
    <row r="186" ht="14.25" customHeight="1"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4.25" customHeight="1"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4.25" customHeight="1"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4.25" customHeight="1"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4.25" customHeight="1"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4.25" customHeight="1"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4.25" customHeight="1"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4.25" customHeight="1"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4.25" customHeight="1"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4.2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4.2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4.2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4.2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4.2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4.2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4.2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4.2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4.2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4.2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4.2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4.2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4.2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4.2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4.2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4.2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4.2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4.2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4.2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4.2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4.2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4.2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4.2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4.2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4.2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4.2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4.2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4.2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4.2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4.2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4.2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4.2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4.2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4.2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4.2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4.2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4.2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4.2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4.2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4.2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4.2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4.2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4.2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4.2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4.2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4.2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4.2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4.2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4.2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4.2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4.2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4.2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4.2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4.2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4.2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4.2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4.2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4.2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4.2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4.2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4.2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4.2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4.2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4.2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4.2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4.2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4.2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4.2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4.2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4.2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4.2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4.2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4.2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4.2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4.2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4.2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4.2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4.2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4.2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4.2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4.2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4.2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4.2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4.2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4.2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4.2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4.2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4.2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4.2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4.2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4.2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4.2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4.2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4.2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4.2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4.2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4.2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4.2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4.2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4.2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4.2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4.2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4.2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4.2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4.2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4.2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4.2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4.2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4.2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4.2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4.2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4.2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4.2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4.2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4.2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4.2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4.2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4.2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4.2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4.2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4.2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4.2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4.2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4.2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4.2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4.2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4.2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4.2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4.2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4.2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4.2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4.2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4.2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4.2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4.2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4.2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4.2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4.2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4.2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4.2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4.2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4.2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4.2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4.2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4.2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4.2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4.2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4.2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4.2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4.2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4.2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4.2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4.2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4.2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4.2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4.2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4.2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4.2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4.2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4.2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4.2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4.2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4.2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4.2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4.2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4.2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4.2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4.2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4.2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4.2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4.2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4.2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4.2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4.2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4.2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4.2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4.2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4.2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4.2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4.2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4.2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4.2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4.2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4.2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4.2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4.2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4.2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4.2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4.2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4.2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4.2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F68:F69"/>
    <mergeCell ref="G68:G69"/>
    <mergeCell ref="F70:F71"/>
    <mergeCell ref="G70:G71"/>
    <mergeCell ref="F73:G73"/>
    <mergeCell ref="F74:G74"/>
    <mergeCell ref="F78:AC78"/>
    <mergeCell ref="J79:N79"/>
    <mergeCell ref="V79:Z79"/>
    <mergeCell ref="F81:F82"/>
    <mergeCell ref="F85:F86"/>
    <mergeCell ref="G85:G86"/>
    <mergeCell ref="F87:F88"/>
    <mergeCell ref="G87:G88"/>
    <mergeCell ref="F90:G90"/>
    <mergeCell ref="F91:G91"/>
    <mergeCell ref="F93:F94"/>
    <mergeCell ref="G93:G94"/>
    <mergeCell ref="F95:F96"/>
    <mergeCell ref="G95:G96"/>
    <mergeCell ref="F98:G98"/>
    <mergeCell ref="F99:G99"/>
    <mergeCell ref="F161:G161"/>
    <mergeCell ref="F168:G168"/>
    <mergeCell ref="F169:G169"/>
    <mergeCell ref="F170:G170"/>
    <mergeCell ref="F171:G171"/>
    <mergeCell ref="F172:G172"/>
    <mergeCell ref="F180:G180"/>
    <mergeCell ref="F181:G181"/>
    <mergeCell ref="F182:G182"/>
    <mergeCell ref="F183:G183"/>
    <mergeCell ref="F185:G185"/>
    <mergeCell ref="F173:G173"/>
    <mergeCell ref="F174:G174"/>
    <mergeCell ref="F175:G175"/>
    <mergeCell ref="F176:G176"/>
    <mergeCell ref="F177:G177"/>
    <mergeCell ref="F178:G178"/>
    <mergeCell ref="F179:G179"/>
    <mergeCell ref="F3:AC3"/>
    <mergeCell ref="J4:N4"/>
    <mergeCell ref="V4:Z4"/>
    <mergeCell ref="F6:F7"/>
    <mergeCell ref="F10:F11"/>
    <mergeCell ref="G10:G11"/>
    <mergeCell ref="F12:F13"/>
    <mergeCell ref="F23:G23"/>
    <mergeCell ref="F24:G24"/>
    <mergeCell ref="F28:AC28"/>
    <mergeCell ref="J29:N29"/>
    <mergeCell ref="V29:Z29"/>
    <mergeCell ref="G12:G13"/>
    <mergeCell ref="F15:G15"/>
    <mergeCell ref="F16:G16"/>
    <mergeCell ref="F18:F19"/>
    <mergeCell ref="G18:G19"/>
    <mergeCell ref="F20:F21"/>
    <mergeCell ref="G20:G21"/>
    <mergeCell ref="J54:N54"/>
    <mergeCell ref="V54:Z54"/>
    <mergeCell ref="F43:F44"/>
    <mergeCell ref="G43:G44"/>
    <mergeCell ref="F45:F46"/>
    <mergeCell ref="G45:G46"/>
    <mergeCell ref="F48:G48"/>
    <mergeCell ref="F49:G49"/>
    <mergeCell ref="F53:AC53"/>
    <mergeCell ref="F31:F32"/>
    <mergeCell ref="F35:F36"/>
    <mergeCell ref="G35:G36"/>
    <mergeCell ref="F37:F38"/>
    <mergeCell ref="G37:G38"/>
    <mergeCell ref="F40:G40"/>
    <mergeCell ref="F41:G41"/>
    <mergeCell ref="F56:F57"/>
    <mergeCell ref="F60:F61"/>
    <mergeCell ref="G60:G61"/>
    <mergeCell ref="F62:F63"/>
    <mergeCell ref="G62:G63"/>
    <mergeCell ref="F65:G65"/>
    <mergeCell ref="F66:G66"/>
  </mergeCells>
  <conditionalFormatting sqref="AB168">
    <cfRule type="expression" dxfId="0" priority="1">
      <formula>AND(AB168=AB$171,AB$173="1")</formula>
    </cfRule>
  </conditionalFormatting>
  <conditionalFormatting sqref="AB168">
    <cfRule type="expression" dxfId="0" priority="2">
      <formula>AND(AB168=$H$171,$H$173="1")</formula>
    </cfRule>
  </conditionalFormatting>
  <conditionalFormatting sqref="AB169:AB183">
    <cfRule type="expression" dxfId="0" priority="3">
      <formula>AND(AB169=AB$171,AB$173="1")</formula>
    </cfRule>
  </conditionalFormatting>
  <conditionalFormatting sqref="AB169:AB183">
    <cfRule type="expression" dxfId="0" priority="4">
      <formula>AND(AB169=$H$171,$H$173="1")</formula>
    </cfRule>
  </conditionalFormatting>
  <conditionalFormatting sqref="S168:AA183">
    <cfRule type="expression" dxfId="0" priority="5">
      <formula>S168&gt;=1</formula>
    </cfRule>
  </conditionalFormatting>
  <conditionalFormatting sqref="H144:P144">
    <cfRule type="expression" dxfId="0" priority="6">
      <formula>AND(H144=H$161,H$163="1")</formula>
    </cfRule>
  </conditionalFormatting>
  <conditionalFormatting sqref="I144:P144">
    <cfRule type="expression" dxfId="0" priority="7">
      <formula>AND(I144=$H$161,$H$163="1")</formula>
    </cfRule>
  </conditionalFormatting>
  <conditionalFormatting sqref="H145:P159">
    <cfRule type="expression" dxfId="0" priority="8">
      <formula>AND(H145=H$161,H$163="1")</formula>
    </cfRule>
  </conditionalFormatting>
  <conditionalFormatting sqref="I145:P159">
    <cfRule type="expression" dxfId="0" priority="9">
      <formula>AND(I145=$H$161,$H$163="1")</formula>
    </cfRule>
  </conditionalFormatting>
  <conditionalFormatting sqref="S144:AA144">
    <cfRule type="expression" dxfId="0" priority="10">
      <formula>AND(S144=S$161,S$163="1")</formula>
    </cfRule>
  </conditionalFormatting>
  <conditionalFormatting sqref="T144:AA144">
    <cfRule type="expression" dxfId="0" priority="11">
      <formula>AND(T144=$H$161,$H$163="1")</formula>
    </cfRule>
  </conditionalFormatting>
  <conditionalFormatting sqref="S145:AA159">
    <cfRule type="expression" dxfId="0" priority="12">
      <formula>AND(S145=S$161,S$163="1")</formula>
    </cfRule>
  </conditionalFormatting>
  <conditionalFormatting sqref="T145:AA159">
    <cfRule type="expression" dxfId="0" priority="13">
      <formula>AND(T145=$H$161,$H$163="1")</formula>
    </cfRule>
  </conditionalFormatting>
  <conditionalFormatting sqref="H168:P183">
    <cfRule type="expression" dxfId="0" priority="14">
      <formula>H168=1</formula>
    </cfRule>
  </conditionalFormatting>
  <conditionalFormatting sqref="I168">
    <cfRule type="expression" dxfId="0" priority="15">
      <formula>AND(I168=$H$161,$H$163="1")</formula>
    </cfRule>
  </conditionalFormatting>
  <conditionalFormatting sqref="H169:I183">
    <cfRule type="expression" dxfId="0" priority="16">
      <formula>AND(H169=H$161,H$163="1")</formula>
    </cfRule>
  </conditionalFormatting>
  <conditionalFormatting sqref="I169:I183">
    <cfRule type="expression" dxfId="0" priority="17">
      <formula>AND(I169=$H$161,$H$163="1")</formula>
    </cfRule>
  </conditionalFormatting>
  <conditionalFormatting sqref="J168:P168">
    <cfRule type="expression" dxfId="0" priority="18">
      <formula>AND(J168=J$161,J$163="1")</formula>
    </cfRule>
  </conditionalFormatting>
  <conditionalFormatting sqref="J168:P168">
    <cfRule type="expression" dxfId="0" priority="19">
      <formula>AND(J168=$H$161,$H$163="1")</formula>
    </cfRule>
  </conditionalFormatting>
  <conditionalFormatting sqref="J169:P183">
    <cfRule type="expression" dxfId="0" priority="20">
      <formula>AND(J169=J$161,J$163="1")</formula>
    </cfRule>
  </conditionalFormatting>
  <conditionalFormatting sqref="J169:P183">
    <cfRule type="expression" dxfId="0" priority="21">
      <formula>AND(J169=$H$161,$H$163="1")</formula>
    </cfRule>
  </conditionalFormatting>
  <dataValidations>
    <dataValidation type="list" allowBlank="1" showErrorMessage="1" sqref="F10 F12 F18 F20 F35 F37 F43 F45 F60 F62 F68 F70 F85 F87 F93 F95 F144:F160 F168:F184">
      <formula1>HANDICAPS!$B$8:$B$23</formula1>
    </dataValidation>
    <dataValidation type="list" allowBlank="1" showErrorMessage="1" sqref="G144:G159">
      <formula1>$D$144:$D$145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" width="2.0"/>
    <col customWidth="1" min="3" max="4" width="20.63"/>
    <col customWidth="1" min="5" max="26" width="6.38"/>
    <col customWidth="1" min="27" max="27" width="16.88"/>
    <col customWidth="1" min="28" max="28" width="30.25"/>
  </cols>
  <sheetData>
    <row r="1">
      <c r="B1" s="191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1"/>
      <c r="U1" s="191"/>
      <c r="V1" s="191"/>
      <c r="W1" s="191"/>
      <c r="X1" s="191"/>
      <c r="Y1" s="191"/>
      <c r="Z1" s="191"/>
      <c r="AA1" s="193" t="s">
        <v>155</v>
      </c>
      <c r="AB1" s="142"/>
    </row>
    <row r="2">
      <c r="B2" s="1"/>
      <c r="C2" s="270" t="s">
        <v>174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4"/>
      <c r="AA2" s="271" t="s">
        <v>157</v>
      </c>
      <c r="AB2" s="142"/>
    </row>
    <row r="3">
      <c r="B3" s="1"/>
      <c r="C3" s="196"/>
      <c r="D3" s="197"/>
      <c r="E3" s="198"/>
      <c r="F3" s="198"/>
      <c r="G3" s="199" t="s">
        <v>152</v>
      </c>
      <c r="H3" s="200"/>
      <c r="I3" s="200"/>
      <c r="J3" s="200"/>
      <c r="K3" s="200"/>
      <c r="L3" s="198"/>
      <c r="M3" s="198"/>
      <c r="N3" s="198"/>
      <c r="O3" s="201"/>
      <c r="P3" s="198"/>
      <c r="Q3" s="198"/>
      <c r="R3" s="198"/>
      <c r="S3" s="199" t="s">
        <v>153</v>
      </c>
      <c r="T3" s="200"/>
      <c r="U3" s="200"/>
      <c r="V3" s="200"/>
      <c r="W3" s="200"/>
      <c r="X3" s="198"/>
      <c r="Y3" s="198"/>
      <c r="Z3" s="272"/>
      <c r="AA3" s="273" t="s">
        <v>158</v>
      </c>
      <c r="AB3" s="204" t="s">
        <v>175</v>
      </c>
    </row>
    <row r="4">
      <c r="B4" s="1"/>
      <c r="C4" s="205" t="s">
        <v>160</v>
      </c>
      <c r="D4" s="206" t="s">
        <v>137</v>
      </c>
      <c r="E4" s="207">
        <v>1.0</v>
      </c>
      <c r="F4" s="207">
        <v>2.0</v>
      </c>
      <c r="G4" s="207">
        <v>3.0</v>
      </c>
      <c r="H4" s="207">
        <v>4.0</v>
      </c>
      <c r="I4" s="207">
        <v>5.0</v>
      </c>
      <c r="J4" s="207">
        <v>6.0</v>
      </c>
      <c r="K4" s="207">
        <v>7.0</v>
      </c>
      <c r="L4" s="207">
        <v>8.0</v>
      </c>
      <c r="M4" s="207">
        <v>9.0</v>
      </c>
      <c r="N4" s="208" t="s">
        <v>138</v>
      </c>
      <c r="O4" s="209"/>
      <c r="P4" s="206">
        <v>1.0</v>
      </c>
      <c r="Q4" s="207">
        <v>2.0</v>
      </c>
      <c r="R4" s="207">
        <v>3.0</v>
      </c>
      <c r="S4" s="207">
        <v>4.0</v>
      </c>
      <c r="T4" s="207">
        <v>5.0</v>
      </c>
      <c r="U4" s="207">
        <v>6.0</v>
      </c>
      <c r="V4" s="207">
        <v>7.0</v>
      </c>
      <c r="W4" s="207">
        <v>8.0</v>
      </c>
      <c r="X4" s="207">
        <v>9.0</v>
      </c>
      <c r="Y4" s="207" t="s">
        <v>139</v>
      </c>
      <c r="Z4" s="208" t="s">
        <v>31</v>
      </c>
      <c r="AA4" s="274" t="s">
        <v>161</v>
      </c>
      <c r="AB4" s="212" t="s">
        <v>176</v>
      </c>
    </row>
    <row r="5">
      <c r="B5" s="1"/>
      <c r="C5" s="125"/>
      <c r="D5" s="213" t="s">
        <v>104</v>
      </c>
      <c r="E5" s="182">
        <v>375.0</v>
      </c>
      <c r="F5" s="182">
        <v>383.0</v>
      </c>
      <c r="G5" s="182">
        <v>368.0</v>
      </c>
      <c r="H5" s="182">
        <v>151.0</v>
      </c>
      <c r="I5" s="182">
        <v>332.0</v>
      </c>
      <c r="J5" s="182">
        <v>352.0</v>
      </c>
      <c r="K5" s="182">
        <v>490.0</v>
      </c>
      <c r="L5" s="182">
        <v>175.0</v>
      </c>
      <c r="M5" s="182">
        <v>490.0</v>
      </c>
      <c r="N5" s="214">
        <f t="shared" ref="N5:N6" si="1">SUM(E5:M5)</f>
        <v>3116</v>
      </c>
      <c r="O5" s="215"/>
      <c r="P5" s="213">
        <v>355.0</v>
      </c>
      <c r="Q5" s="182">
        <v>146.0</v>
      </c>
      <c r="R5" s="182">
        <v>523.0</v>
      </c>
      <c r="S5" s="182">
        <v>412.0</v>
      </c>
      <c r="T5" s="182">
        <v>468.0</v>
      </c>
      <c r="U5" s="182">
        <v>312.0</v>
      </c>
      <c r="V5" s="182">
        <v>366.0</v>
      </c>
      <c r="W5" s="182">
        <v>172.0</v>
      </c>
      <c r="X5" s="182">
        <v>358.0</v>
      </c>
      <c r="Y5" s="182">
        <f t="shared" ref="Y5:Y6" si="2">SUM(P5:X5)</f>
        <v>3112</v>
      </c>
      <c r="Z5" s="214">
        <f t="shared" ref="Z5:Z6" si="3">Y5+N5</f>
        <v>6228</v>
      </c>
      <c r="AA5" s="274" t="s">
        <v>9</v>
      </c>
      <c r="AB5" s="212" t="s">
        <v>177</v>
      </c>
    </row>
    <row r="6">
      <c r="B6" s="1"/>
      <c r="C6" s="125"/>
      <c r="D6" s="217" t="s">
        <v>113</v>
      </c>
      <c r="E6" s="147">
        <v>4.0</v>
      </c>
      <c r="F6" s="147">
        <v>4.0</v>
      </c>
      <c r="G6" s="147">
        <v>4.0</v>
      </c>
      <c r="H6" s="147">
        <v>3.0</v>
      </c>
      <c r="I6" s="147">
        <v>4.0</v>
      </c>
      <c r="J6" s="147">
        <v>4.0</v>
      </c>
      <c r="K6" s="147">
        <v>5.0</v>
      </c>
      <c r="L6" s="147">
        <v>3.0</v>
      </c>
      <c r="M6" s="147">
        <v>5.0</v>
      </c>
      <c r="N6" s="218">
        <f t="shared" si="1"/>
        <v>36</v>
      </c>
      <c r="O6" s="215"/>
      <c r="P6" s="217">
        <v>4.0</v>
      </c>
      <c r="Q6" s="147">
        <v>3.0</v>
      </c>
      <c r="R6" s="147">
        <v>5.0</v>
      </c>
      <c r="S6" s="147">
        <v>4.0</v>
      </c>
      <c r="T6" s="147">
        <v>5.0</v>
      </c>
      <c r="U6" s="147">
        <v>4.0</v>
      </c>
      <c r="V6" s="147">
        <v>4.0</v>
      </c>
      <c r="W6" s="147">
        <v>3.0</v>
      </c>
      <c r="X6" s="147">
        <v>4.0</v>
      </c>
      <c r="Y6" s="147">
        <f t="shared" si="2"/>
        <v>36</v>
      </c>
      <c r="Z6" s="218">
        <f t="shared" si="3"/>
        <v>72</v>
      </c>
      <c r="AA6" s="274" t="s">
        <v>164</v>
      </c>
      <c r="AB6" s="212" t="s">
        <v>178</v>
      </c>
    </row>
    <row r="7">
      <c r="B7" s="1"/>
      <c r="C7" s="127"/>
      <c r="D7" s="220" t="s">
        <v>142</v>
      </c>
      <c r="E7" s="221">
        <v>5.0</v>
      </c>
      <c r="F7" s="221">
        <v>9.0</v>
      </c>
      <c r="G7" s="221">
        <v>7.0</v>
      </c>
      <c r="H7" s="221">
        <v>17.0</v>
      </c>
      <c r="I7" s="221">
        <v>11.0</v>
      </c>
      <c r="J7" s="221">
        <v>1.0</v>
      </c>
      <c r="K7" s="221">
        <v>13.0</v>
      </c>
      <c r="L7" s="222">
        <v>15.0</v>
      </c>
      <c r="M7" s="221">
        <v>3.0</v>
      </c>
      <c r="N7" s="223"/>
      <c r="O7" s="224"/>
      <c r="P7" s="225">
        <v>14.0</v>
      </c>
      <c r="Q7" s="221">
        <v>18.0</v>
      </c>
      <c r="R7" s="221">
        <v>6.0</v>
      </c>
      <c r="S7" s="221">
        <v>10.0</v>
      </c>
      <c r="T7" s="221">
        <v>2.0</v>
      </c>
      <c r="U7" s="221">
        <v>12.0</v>
      </c>
      <c r="V7" s="221">
        <v>4.0</v>
      </c>
      <c r="W7" s="221">
        <v>16.0</v>
      </c>
      <c r="X7" s="221">
        <v>8.0</v>
      </c>
      <c r="Y7" s="222"/>
      <c r="Z7" s="223"/>
      <c r="AA7" s="274" t="s">
        <v>166</v>
      </c>
      <c r="AB7" s="212" t="s">
        <v>179</v>
      </c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27" t="s">
        <v>168</v>
      </c>
      <c r="AB8" s="228" t="s">
        <v>180</v>
      </c>
    </row>
    <row r="9">
      <c r="B9" s="1"/>
      <c r="C9" s="229" t="str">
        <f>'ROUND 2 - FOURBALL'!F10</f>
        <v>SCOTT</v>
      </c>
      <c r="D9" s="230">
        <f>vlookup($C9,HANDICAPS!$B$33:$G$48,4,false)</f>
        <v>1</v>
      </c>
      <c r="E9" s="231">
        <f>if(isblank(E10),"",if(E11=-3,16*D12,if(E11=-2,8*D12,if(E11=-1,4*D12,if(E11=0,2*D12,if(E11=1,0,if(E11&gt;1,-4*D12))))))+D10)</f>
        <v>4</v>
      </c>
      <c r="F9" s="232">
        <f t="shared" ref="F9:M9" si="4">if(isblank(F10),"",if(F11=-3,16*E12+E9,if(F11=-2,8*E12+E9,if(F11=-1,4*E12+E9,if(F11=0,2*E12+E9,if(F11=1,0+E9,if(F11&gt;1,-4*E12+E9)))))))</f>
        <v>8</v>
      </c>
      <c r="G9" s="232">
        <f t="shared" si="4"/>
        <v>4</v>
      </c>
      <c r="H9" s="232">
        <f t="shared" si="4"/>
        <v>4</v>
      </c>
      <c r="I9" s="232">
        <f t="shared" si="4"/>
        <v>4</v>
      </c>
      <c r="J9" s="232">
        <f t="shared" si="4"/>
        <v>8</v>
      </c>
      <c r="K9" s="232">
        <f t="shared" si="4"/>
        <v>12</v>
      </c>
      <c r="L9" s="232">
        <f t="shared" si="4"/>
        <v>12</v>
      </c>
      <c r="M9" s="233">
        <f t="shared" si="4"/>
        <v>14</v>
      </c>
      <c r="N9" s="234">
        <f>M9</f>
        <v>14</v>
      </c>
      <c r="O9" s="235"/>
      <c r="P9" s="231">
        <f>if(isblank(P10),"",if(P11=-3,16*O12+O10+N9,if(P11=-2,8*O12+O10+N9,if(P11=-1,4*O12+O10+N9,if(P11=0,2*O12+O10+N9,if(P11=1,0+N9,if(P11&gt;1,-4*O12+O10+N9)))))))</f>
        <v>16</v>
      </c>
      <c r="Q9" s="232">
        <f t="shared" ref="Q9:X9" si="5">if(isblank(Q10),"",if(Q11=-3,16*P12+P9,if(Q11=-2,8*P12+P9,if(Q11=-1,4*P12+P9,if(Q11=0,2*P12+P9,if(Q11=1,0+P9,if(Q11&gt;1,-4*P12+P9)))))))</f>
        <v>16</v>
      </c>
      <c r="R9" s="232">
        <f t="shared" si="5"/>
        <v>12</v>
      </c>
      <c r="S9" s="232">
        <f t="shared" si="5"/>
        <v>12</v>
      </c>
      <c r="T9" s="232">
        <f t="shared" si="5"/>
        <v>16</v>
      </c>
      <c r="U9" s="232">
        <f t="shared" si="5"/>
        <v>24</v>
      </c>
      <c r="V9" s="232">
        <f t="shared" si="5"/>
        <v>30</v>
      </c>
      <c r="W9" s="232">
        <f t="shared" si="5"/>
        <v>32</v>
      </c>
      <c r="X9" s="233">
        <f t="shared" si="5"/>
        <v>28</v>
      </c>
      <c r="Y9" s="234">
        <f>if(isblank(X10),"",X9-N9)</f>
        <v>14</v>
      </c>
      <c r="Z9" s="234">
        <f>if(isblank(X10),0,X9)</f>
        <v>28</v>
      </c>
      <c r="AA9" s="236">
        <f>X12</f>
        <v>1</v>
      </c>
      <c r="AB9" s="1"/>
    </row>
    <row r="10">
      <c r="A10" s="237"/>
      <c r="B10" s="39"/>
      <c r="C10" s="238" t="s">
        <v>170</v>
      </c>
      <c r="D10" s="239"/>
      <c r="E10" s="240">
        <f>vlookup('ROUND 2 - FOURBALL'!$B11,'ROUND 2 - FOURBALL'!$B:$AC,7,false)</f>
        <v>3</v>
      </c>
      <c r="F10" s="241">
        <f>vlookup('ROUND 2 - FOURBALL'!$B11,'ROUND 2 - FOURBALL'!$B:$AC,8,false)</f>
        <v>4</v>
      </c>
      <c r="G10" s="241">
        <f>vlookup('ROUND 2 - FOURBALL'!$B11,'ROUND 2 - FOURBALL'!$B:$AC,9,false)</f>
        <v>6</v>
      </c>
      <c r="H10" s="241">
        <f>vlookup('ROUND 2 - FOURBALL'!$B11,'ROUND 2 - FOURBALL'!$B:$AC,10,false)</f>
        <v>4</v>
      </c>
      <c r="I10" s="241">
        <f>vlookup('ROUND 2 - FOURBALL'!$B11,'ROUND 2 - FOURBALL'!$B:$AC,11,false)</f>
        <v>5</v>
      </c>
      <c r="J10" s="241">
        <f>vlookup('ROUND 2 - FOURBALL'!$B11,'ROUND 2 - FOURBALL'!$B:$AC,12,false)</f>
        <v>4</v>
      </c>
      <c r="K10" s="241">
        <f>vlookup('ROUND 2 - FOURBALL'!$B11,'ROUND 2 - FOURBALL'!$B:$AC,13,false)</f>
        <v>5</v>
      </c>
      <c r="L10" s="241">
        <f>vlookup('ROUND 2 - FOURBALL'!$B11,'ROUND 2 - FOURBALL'!$B:$AC,14,false)</f>
        <v>4</v>
      </c>
      <c r="M10" s="242">
        <f>vlookup('ROUND 2 - FOURBALL'!$B11,'ROUND 2 - FOURBALL'!$B:$AC,15,false)</f>
        <v>5</v>
      </c>
      <c r="N10" s="243">
        <f>if(isblank(M10),"",sum(E10:M10))</f>
        <v>40</v>
      </c>
      <c r="O10" s="244"/>
      <c r="P10" s="240">
        <f>vlookup('ROUND 2 - FOURBALL'!$B11,'ROUND 2 - FOURBALL'!$B:$AC,18,false)</f>
        <v>4</v>
      </c>
      <c r="Q10" s="241">
        <f>vlookup('ROUND 2 - FOURBALL'!$B11,'ROUND 2 - FOURBALL'!$B:$AC,19,false)</f>
        <v>4</v>
      </c>
      <c r="R10" s="241">
        <f>vlookup('ROUND 2 - FOURBALL'!$B11,'ROUND 2 - FOURBALL'!$B:$AC,20,false)</f>
        <v>7</v>
      </c>
      <c r="S10" s="241">
        <f>vlookup('ROUND 2 - FOURBALL'!$B11,'ROUND 2 - FOURBALL'!$B:$AC,21,false)</f>
        <v>5</v>
      </c>
      <c r="T10" s="241">
        <f>vlookup('ROUND 2 - FOURBALL'!$B11,'ROUND 2 - FOURBALL'!$B:$AC,22,false)</f>
        <v>4</v>
      </c>
      <c r="U10" s="241">
        <f>vlookup('ROUND 2 - FOURBALL'!$B11,'ROUND 2 - FOURBALL'!$B:$AC,23,false)</f>
        <v>3</v>
      </c>
      <c r="V10" s="241">
        <f>vlookup('ROUND 2 - FOURBALL'!$B11,'ROUND 2 - FOURBALL'!$B:$AC,24,false)</f>
        <v>4</v>
      </c>
      <c r="W10" s="241">
        <f>vlookup('ROUND 2 - FOURBALL'!$B11,'ROUND 2 - FOURBALL'!$B:$AC,25,false)</f>
        <v>3</v>
      </c>
      <c r="X10" s="242">
        <f>vlookup('ROUND 2 - FOURBALL'!$B11,'ROUND 2 - FOURBALL'!$B:$AC,26,false)</f>
        <v>6</v>
      </c>
      <c r="Y10" s="243">
        <f>if(isblank(X10),"",sum(P10:X10))</f>
        <v>40</v>
      </c>
      <c r="Z10" s="245">
        <f>if(isblank(X10),"",sum(N10,Y10))</f>
        <v>80</v>
      </c>
      <c r="AA10" s="246"/>
      <c r="AB10" s="39"/>
    </row>
    <row r="11">
      <c r="A11" s="237"/>
      <c r="B11" s="39"/>
      <c r="C11" s="247" t="s">
        <v>171</v>
      </c>
      <c r="D11" s="248"/>
      <c r="E11" s="249">
        <f t="shared" ref="E11:M11" si="6">if(isblank(E10),"",if(and(18-$D9&lt;0,18+E$7&lt;$D9),E10-2-E$6,if(or(E$7&lt;$D9,E$7=$D9),E10-1-E$6,E10-E$6)))</f>
        <v>-1</v>
      </c>
      <c r="F11" s="250">
        <f t="shared" si="6"/>
        <v>0</v>
      </c>
      <c r="G11" s="250">
        <f t="shared" si="6"/>
        <v>2</v>
      </c>
      <c r="H11" s="250">
        <f t="shared" si="6"/>
        <v>1</v>
      </c>
      <c r="I11" s="250">
        <f t="shared" si="6"/>
        <v>1</v>
      </c>
      <c r="J11" s="250">
        <f t="shared" si="6"/>
        <v>-1</v>
      </c>
      <c r="K11" s="250">
        <f t="shared" si="6"/>
        <v>0</v>
      </c>
      <c r="L11" s="250">
        <f t="shared" si="6"/>
        <v>1</v>
      </c>
      <c r="M11" s="251">
        <f t="shared" si="6"/>
        <v>0</v>
      </c>
      <c r="N11" s="243">
        <f>if(isblank(M10),"",if(or(N$7&lt;$D9,N$7=$D9),N10-1-N$6,N10-N$6))</f>
        <v>3</v>
      </c>
      <c r="O11" s="244"/>
      <c r="P11" s="249">
        <f t="shared" ref="P11:X11" si="7">if(isblank(P10),"",if(and(18-$D9&lt;0,18+P$7&lt;$D9),P10-2-P$6,if(or(P$7&lt;$D9,P$7=$D9),P10-1-P$6,P10-P$6)))</f>
        <v>0</v>
      </c>
      <c r="Q11" s="250">
        <f t="shared" si="7"/>
        <v>1</v>
      </c>
      <c r="R11" s="250">
        <f t="shared" si="7"/>
        <v>2</v>
      </c>
      <c r="S11" s="250">
        <f t="shared" si="7"/>
        <v>1</v>
      </c>
      <c r="T11" s="250">
        <f t="shared" si="7"/>
        <v>-1</v>
      </c>
      <c r="U11" s="250">
        <f t="shared" si="7"/>
        <v>-1</v>
      </c>
      <c r="V11" s="250">
        <f t="shared" si="7"/>
        <v>0</v>
      </c>
      <c r="W11" s="250">
        <f t="shared" si="7"/>
        <v>0</v>
      </c>
      <c r="X11" s="251">
        <f t="shared" si="7"/>
        <v>2</v>
      </c>
      <c r="Y11" s="243">
        <f>if(isblank(X10),"",if(or(Y$7&lt;$D9,Y$7=$D9),Y10-1-Y$6,Y10-Y$6))</f>
        <v>3</v>
      </c>
      <c r="Z11" s="252">
        <f>if(isblank(X10),"",sum(N11,Y11))</f>
        <v>6</v>
      </c>
      <c r="AA11" s="42"/>
      <c r="AB11" s="39"/>
    </row>
    <row r="12">
      <c r="B12" s="1"/>
      <c r="C12" s="253" t="s">
        <v>172</v>
      </c>
      <c r="D12" s="253">
        <f>vlookup($C9,'TILT Round 1'!$C:$AA,25,false)</f>
        <v>1</v>
      </c>
      <c r="E12" s="255">
        <f t="shared" ref="E12:M12" si="8">if(isblank(E10),"",if(E11=-1,D12+1,if(E11=-2,D12+2,if(E11=-3,D12+3,1))))</f>
        <v>2</v>
      </c>
      <c r="F12" s="256">
        <f t="shared" si="8"/>
        <v>1</v>
      </c>
      <c r="G12" s="256">
        <f t="shared" si="8"/>
        <v>1</v>
      </c>
      <c r="H12" s="256">
        <f t="shared" si="8"/>
        <v>1</v>
      </c>
      <c r="I12" s="256">
        <f t="shared" si="8"/>
        <v>1</v>
      </c>
      <c r="J12" s="256">
        <f t="shared" si="8"/>
        <v>2</v>
      </c>
      <c r="K12" s="256">
        <f t="shared" si="8"/>
        <v>1</v>
      </c>
      <c r="L12" s="256">
        <f t="shared" si="8"/>
        <v>1</v>
      </c>
      <c r="M12" s="257">
        <f t="shared" si="8"/>
        <v>1</v>
      </c>
      <c r="N12" s="258"/>
      <c r="O12" s="259">
        <f>M12</f>
        <v>1</v>
      </c>
      <c r="P12" s="255">
        <f t="shared" ref="P12:X12" si="9">if(isblank(P10),"",if(P11=-1,O12+1,if(P11=-2,O12+2,if(P11=-3,O12+3,1))))</f>
        <v>1</v>
      </c>
      <c r="Q12" s="256">
        <f t="shared" si="9"/>
        <v>1</v>
      </c>
      <c r="R12" s="256">
        <f t="shared" si="9"/>
        <v>1</v>
      </c>
      <c r="S12" s="256">
        <f t="shared" si="9"/>
        <v>1</v>
      </c>
      <c r="T12" s="256">
        <f t="shared" si="9"/>
        <v>2</v>
      </c>
      <c r="U12" s="256">
        <f t="shared" si="9"/>
        <v>3</v>
      </c>
      <c r="V12" s="256">
        <f t="shared" si="9"/>
        <v>1</v>
      </c>
      <c r="W12" s="256">
        <f t="shared" si="9"/>
        <v>1</v>
      </c>
      <c r="X12" s="257">
        <f t="shared" si="9"/>
        <v>1</v>
      </c>
      <c r="Y12" s="258"/>
      <c r="Z12" s="234">
        <f>if(isblank(Y10),"",if(Y11=-1,X12+1,if(Y11=-2,X12+2,if(Y11=-3,X12+3,1))))</f>
        <v>1</v>
      </c>
      <c r="AA12" s="260"/>
      <c r="AB12" s="1"/>
    </row>
    <row r="13">
      <c r="B13" s="1"/>
      <c r="C13" s="261"/>
      <c r="D13" s="261"/>
      <c r="E13" s="262"/>
      <c r="F13" s="262"/>
      <c r="G13" s="262"/>
      <c r="H13" s="263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3"/>
      <c r="W13" s="262"/>
      <c r="X13" s="262"/>
      <c r="Y13" s="262"/>
      <c r="Z13" s="262"/>
      <c r="AA13" s="236"/>
      <c r="AB13" s="1"/>
    </row>
    <row r="14">
      <c r="B14" s="1"/>
      <c r="C14" s="229" t="str">
        <f>'ROUND 2 - FOURBALL'!F12</f>
        <v>MAX</v>
      </c>
      <c r="D14" s="230">
        <f>vlookup($C14,HANDICAPS!$B$33:$G$48,4,false)</f>
        <v>16</v>
      </c>
      <c r="E14" s="231">
        <f>if(isblank(E15),"",if(E16=-3,16*D17,if(E16=-2,8*D17,if(E16=-1,4*D17,if(E16=0,2*D17,if(E16=1,0,if(E16&gt;1,-4*D17))))))+D15)</f>
        <v>4</v>
      </c>
      <c r="F14" s="232">
        <f t="shared" ref="F14:M14" si="10">if(isblank(F15),"",if(F16=-3,16*E17+E14,if(F16=-2,8*E17+E14,if(F16=-1,4*E17+E14,if(F16=0,2*E17+E14,if(F16=1,0+E14,if(F16&gt;1,-4*E17+E14)))))))</f>
        <v>8</v>
      </c>
      <c r="G14" s="232">
        <f t="shared" si="10"/>
        <v>16</v>
      </c>
      <c r="H14" s="232">
        <f t="shared" si="10"/>
        <v>22</v>
      </c>
      <c r="I14" s="232">
        <f t="shared" si="10"/>
        <v>26</v>
      </c>
      <c r="J14" s="232">
        <f t="shared" si="10"/>
        <v>26</v>
      </c>
      <c r="K14" s="232">
        <f t="shared" si="10"/>
        <v>30</v>
      </c>
      <c r="L14" s="232">
        <f t="shared" si="10"/>
        <v>30</v>
      </c>
      <c r="M14" s="233">
        <f t="shared" si="10"/>
        <v>32</v>
      </c>
      <c r="N14" s="234">
        <f>M14</f>
        <v>32</v>
      </c>
      <c r="O14" s="235"/>
      <c r="P14" s="231">
        <f>if(isblank(P15),"",if(P16=-3,16*O17+O15+N14,if(P16=-2,8*O17+O15+N14,if(P16=-1,4*O17+O15+N14,if(P16=0,2*O17+O15+N14,if(P16=1,0+N14,if(P16&gt;1,-4*O17+O15+N14)))))))</f>
        <v>36</v>
      </c>
      <c r="Q14" s="232">
        <f t="shared" ref="Q14:X14" si="11">if(isblank(Q15),"",if(Q16=-3,16*P17+P14,if(Q16=-2,8*P17+P14,if(Q16=-1,4*P17+P14,if(Q16=0,2*P17+P14,if(Q16=1,0+P14,if(Q16&gt;1,-4*P17+P14)))))))</f>
        <v>36</v>
      </c>
      <c r="R14" s="232">
        <f t="shared" si="11"/>
        <v>38</v>
      </c>
      <c r="S14" s="232">
        <f t="shared" si="11"/>
        <v>40</v>
      </c>
      <c r="T14" s="232">
        <f t="shared" si="11"/>
        <v>44</v>
      </c>
      <c r="U14" s="232">
        <f t="shared" si="11"/>
        <v>48</v>
      </c>
      <c r="V14" s="232">
        <f t="shared" si="11"/>
        <v>52</v>
      </c>
      <c r="W14" s="232">
        <f t="shared" si="11"/>
        <v>56</v>
      </c>
      <c r="X14" s="233">
        <f t="shared" si="11"/>
        <v>56</v>
      </c>
      <c r="Y14" s="234">
        <f>if(isblank(X15),"",X14-N14)</f>
        <v>24</v>
      </c>
      <c r="Z14" s="234">
        <f>if(isblank(X15),0,X14)</f>
        <v>56</v>
      </c>
      <c r="AA14" s="236">
        <f>X17</f>
        <v>1</v>
      </c>
      <c r="AB14" s="1"/>
    </row>
    <row r="15">
      <c r="B15" s="1"/>
      <c r="C15" s="238" t="s">
        <v>170</v>
      </c>
      <c r="D15" s="239"/>
      <c r="E15" s="240">
        <f>vlookup('ROUND 2 - FOURBALL'!$B13,'ROUND 2 - FOURBALL'!$B:$AC,7,false)</f>
        <v>5</v>
      </c>
      <c r="F15" s="241">
        <f>vlookup('ROUND 2 - FOURBALL'!$B13,'ROUND 2 - FOURBALL'!$B:$AC,8,false)</f>
        <v>4</v>
      </c>
      <c r="G15" s="241">
        <f>vlookup('ROUND 2 - FOURBALL'!$B13,'ROUND 2 - FOURBALL'!$B:$AC,9,false)</f>
        <v>4</v>
      </c>
      <c r="H15" s="241">
        <f>vlookup('ROUND 2 - FOURBALL'!$B13,'ROUND 2 - FOURBALL'!$B:$AC,10,false)</f>
        <v>3</v>
      </c>
      <c r="I15" s="241">
        <f>vlookup('ROUND 2 - FOURBALL'!$B13,'ROUND 2 - FOURBALL'!$B:$AC,11,false)</f>
        <v>4</v>
      </c>
      <c r="J15" s="241">
        <f>vlookup('ROUND 2 - FOURBALL'!$B13,'ROUND 2 - FOURBALL'!$B:$AC,12,false)</f>
        <v>6</v>
      </c>
      <c r="K15" s="241">
        <f>vlookup('ROUND 2 - FOURBALL'!$B13,'ROUND 2 - FOURBALL'!$B:$AC,13,false)</f>
        <v>5</v>
      </c>
      <c r="L15" s="241">
        <f>vlookup('ROUND 2 - FOURBALL'!$B13,'ROUND 2 - FOURBALL'!$B:$AC,14,false)</f>
        <v>5</v>
      </c>
      <c r="M15" s="242">
        <f>vlookup('ROUND 2 - FOURBALL'!$B13,'ROUND 2 - FOURBALL'!$B:$AC,15,false)</f>
        <v>6</v>
      </c>
      <c r="N15" s="243">
        <f>if(isblank(M15),"",sum(E15:M15))</f>
        <v>42</v>
      </c>
      <c r="O15" s="244"/>
      <c r="P15" s="240">
        <f>vlookup('ROUND 2 - FOURBALL'!$B13,'ROUND 2 - FOURBALL'!$B:$AC,18,false)</f>
        <v>4</v>
      </c>
      <c r="Q15" s="241">
        <f>vlookup('ROUND 2 - FOURBALL'!$B13,'ROUND 2 - FOURBALL'!$B:$AC,19,false)</f>
        <v>4</v>
      </c>
      <c r="R15" s="241">
        <f>vlookup('ROUND 2 - FOURBALL'!$B13,'ROUND 2 - FOURBALL'!$B:$AC,20,false)</f>
        <v>6</v>
      </c>
      <c r="S15" s="241">
        <f>vlookup('ROUND 2 - FOURBALL'!$B13,'ROUND 2 - FOURBALL'!$B:$AC,21,false)</f>
        <v>5</v>
      </c>
      <c r="T15" s="241">
        <f>vlookup('ROUND 2 - FOURBALL'!$B13,'ROUND 2 - FOURBALL'!$B:$AC,22,false)</f>
        <v>5</v>
      </c>
      <c r="U15" s="241">
        <f>vlookup('ROUND 2 - FOURBALL'!$B13,'ROUND 2 - FOURBALL'!$B:$AC,23,false)</f>
        <v>5</v>
      </c>
      <c r="V15" s="241">
        <f>vlookup('ROUND 2 - FOURBALL'!$B13,'ROUND 2 - FOURBALL'!$B:$AC,24,false)</f>
        <v>4</v>
      </c>
      <c r="W15" s="241">
        <f>vlookup('ROUND 2 - FOURBALL'!$B13,'ROUND 2 - FOURBALL'!$B:$AC,25,false)</f>
        <v>4</v>
      </c>
      <c r="X15" s="242">
        <f>vlookup('ROUND 2 - FOURBALL'!$B13,'ROUND 2 - FOURBALL'!$B:$AC,26,false)</f>
        <v>6</v>
      </c>
      <c r="Y15" s="243">
        <f>if(isblank(X15),"",sum(P15:X15))</f>
        <v>43</v>
      </c>
      <c r="Z15" s="245">
        <f>if(isblank(X15),"",sum(N15,Y15))</f>
        <v>85</v>
      </c>
      <c r="AA15" s="264"/>
      <c r="AB15" s="1"/>
    </row>
    <row r="16">
      <c r="B16" s="1"/>
      <c r="C16" s="247" t="s">
        <v>171</v>
      </c>
      <c r="D16" s="248"/>
      <c r="E16" s="249">
        <f t="shared" ref="E16:M16" si="12">if(isblank(E15),"",if(and(18-$D14&lt;0,18+E$7&lt;$D14),E15-2-E$6,if(or(E$7&lt;$D14,E$7=$D14),E15-1-E$6,E15-E$6)))</f>
        <v>0</v>
      </c>
      <c r="F16" s="250">
        <f t="shared" si="12"/>
        <v>-1</v>
      </c>
      <c r="G16" s="250">
        <f t="shared" si="12"/>
        <v>-1</v>
      </c>
      <c r="H16" s="250">
        <f t="shared" si="12"/>
        <v>0</v>
      </c>
      <c r="I16" s="250">
        <f t="shared" si="12"/>
        <v>-1</v>
      </c>
      <c r="J16" s="250">
        <f t="shared" si="12"/>
        <v>1</v>
      </c>
      <c r="K16" s="250">
        <f t="shared" si="12"/>
        <v>-1</v>
      </c>
      <c r="L16" s="250">
        <f t="shared" si="12"/>
        <v>1</v>
      </c>
      <c r="M16" s="251">
        <f t="shared" si="12"/>
        <v>0</v>
      </c>
      <c r="N16" s="243">
        <f>if(isblank(M15),"",if(or(N$7&lt;$D14,N$7=$D14),N15-1-N$6,N15-N$6))</f>
        <v>5</v>
      </c>
      <c r="O16" s="244"/>
      <c r="P16" s="249">
        <f t="shared" ref="P16:X16" si="13">if(isblank(P15),"",if(and(18-$D14&lt;0,18+P$7&lt;$D14),P15-2-P$6,if(or(P$7&lt;$D14,P$7=$D14),P15-1-P$6,P15-P$6)))</f>
        <v>-1</v>
      </c>
      <c r="Q16" s="250">
        <f t="shared" si="13"/>
        <v>1</v>
      </c>
      <c r="R16" s="250">
        <f t="shared" si="13"/>
        <v>0</v>
      </c>
      <c r="S16" s="250">
        <f t="shared" si="13"/>
        <v>0</v>
      </c>
      <c r="T16" s="250">
        <f t="shared" si="13"/>
        <v>-1</v>
      </c>
      <c r="U16" s="250">
        <f t="shared" si="13"/>
        <v>0</v>
      </c>
      <c r="V16" s="250">
        <f t="shared" si="13"/>
        <v>-1</v>
      </c>
      <c r="W16" s="250">
        <f t="shared" si="13"/>
        <v>0</v>
      </c>
      <c r="X16" s="251">
        <f t="shared" si="13"/>
        <v>1</v>
      </c>
      <c r="Y16" s="243">
        <f>if(isblank(X15),"",if(or(Y$7&lt;$D14,Y$7=$D14),Y15-1-Y$6,Y15-Y$6))</f>
        <v>6</v>
      </c>
      <c r="Z16" s="252">
        <f>if(isblank(X15),"",sum(N16,Y16))</f>
        <v>11</v>
      </c>
      <c r="AA16" s="236"/>
      <c r="AB16" s="1"/>
    </row>
    <row r="17">
      <c r="B17" s="1"/>
      <c r="C17" s="253" t="s">
        <v>172</v>
      </c>
      <c r="D17" s="253">
        <f>vlookup($C14,'TILT Round 1'!$C:$AA,25,false)</f>
        <v>2</v>
      </c>
      <c r="E17" s="255">
        <f t="shared" ref="E17:M17" si="14">if(isblank(E15),"",if(E16=-1,D17+1,if(E16=-2,D17+2,if(E16=-3,D17+3,1))))</f>
        <v>1</v>
      </c>
      <c r="F17" s="256">
        <f t="shared" si="14"/>
        <v>2</v>
      </c>
      <c r="G17" s="256">
        <f t="shared" si="14"/>
        <v>3</v>
      </c>
      <c r="H17" s="256">
        <f t="shared" si="14"/>
        <v>1</v>
      </c>
      <c r="I17" s="256">
        <f t="shared" si="14"/>
        <v>2</v>
      </c>
      <c r="J17" s="256">
        <f t="shared" si="14"/>
        <v>1</v>
      </c>
      <c r="K17" s="256">
        <f t="shared" si="14"/>
        <v>2</v>
      </c>
      <c r="L17" s="256">
        <f t="shared" si="14"/>
        <v>1</v>
      </c>
      <c r="M17" s="257">
        <f t="shared" si="14"/>
        <v>1</v>
      </c>
      <c r="N17" s="258"/>
      <c r="O17" s="259">
        <f>if(isblank(N15),"",if(N16=-1,M17+1,if(N16=-2,M17+2,if(N16=-3,M17+3,1))))</f>
        <v>1</v>
      </c>
      <c r="P17" s="255">
        <f t="shared" ref="P17:X17" si="15">if(isblank(P15),"",if(P16=-1,O17+1,if(P16=-2,O17+2,if(P16=-3,O17+3,1))))</f>
        <v>2</v>
      </c>
      <c r="Q17" s="256">
        <f t="shared" si="15"/>
        <v>1</v>
      </c>
      <c r="R17" s="256">
        <f t="shared" si="15"/>
        <v>1</v>
      </c>
      <c r="S17" s="256">
        <f t="shared" si="15"/>
        <v>1</v>
      </c>
      <c r="T17" s="256">
        <f t="shared" si="15"/>
        <v>2</v>
      </c>
      <c r="U17" s="256">
        <f t="shared" si="15"/>
        <v>1</v>
      </c>
      <c r="V17" s="256">
        <f t="shared" si="15"/>
        <v>2</v>
      </c>
      <c r="W17" s="256">
        <f t="shared" si="15"/>
        <v>1</v>
      </c>
      <c r="X17" s="257">
        <f t="shared" si="15"/>
        <v>1</v>
      </c>
      <c r="Y17" s="258"/>
      <c r="Z17" s="234">
        <f>if(isblank(Y15),"",if(Y16=-1,X17+1,if(Y16=-2,X17+2,if(Y16=-3,X17+3,1))))</f>
        <v>1</v>
      </c>
      <c r="AA17" s="236">
        <f>X17</f>
        <v>1</v>
      </c>
      <c r="AB17" s="1"/>
    </row>
    <row r="18">
      <c r="B18" s="1"/>
      <c r="C18" s="1"/>
      <c r="D18" s="1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36"/>
      <c r="AB18" s="1"/>
    </row>
    <row r="19">
      <c r="B19" s="1"/>
      <c r="C19" s="229" t="str">
        <f>'ROUND 2 - FOURBALL'!F18</f>
        <v>ZACH</v>
      </c>
      <c r="D19" s="230">
        <f>vlookup($C19,HANDICAPS!$B$33:$G$48,4,false)</f>
        <v>8</v>
      </c>
      <c r="E19" s="231">
        <f>if(isblank(E20),"",if(E21=-3,16*D22,if(E21=-2,8*D22,if(E21=-1,4*D22,if(E21=0,2*D22,if(E21=1,0,if(E21&gt;1,-4*D22))))))+D20)</f>
        <v>4</v>
      </c>
      <c r="F19" s="232">
        <f t="shared" ref="F19:M19" si="16">if(isblank(F20),"",if(F21=-3,16*E22+E19,if(F21=-2,8*E22+E19,if(F21=-1,4*E22+E19,if(F21=0,2*E22+E19,if(F21=1,0+E19,if(F21&gt;1,-4*E22+E19)))))))</f>
        <v>4</v>
      </c>
      <c r="G19" s="232">
        <f t="shared" si="16"/>
        <v>8</v>
      </c>
      <c r="H19" s="232">
        <f t="shared" si="16"/>
        <v>12</v>
      </c>
      <c r="I19" s="232">
        <f t="shared" si="16"/>
        <v>8</v>
      </c>
      <c r="J19" s="232">
        <f t="shared" si="16"/>
        <v>4</v>
      </c>
      <c r="K19" s="232">
        <f t="shared" si="16"/>
        <v>6</v>
      </c>
      <c r="L19" s="232">
        <f t="shared" si="16"/>
        <v>6</v>
      </c>
      <c r="M19" s="233">
        <f t="shared" si="16"/>
        <v>22</v>
      </c>
      <c r="N19" s="234">
        <f>M19</f>
        <v>22</v>
      </c>
      <c r="O19" s="235"/>
      <c r="P19" s="231">
        <f>if(isblank(P20),"",if(P21=-3,16*O22+O20+N19,if(P21=-2,8*O22+O20+N19,if(P21=-1,4*O22+O20+N19,if(P21=0,2*O22+O20+N19,if(P21=1,0+N19,if(P21&gt;1,-4*O22+O20+N19)))))))</f>
        <v>24</v>
      </c>
      <c r="Q19" s="232">
        <f t="shared" ref="Q19:X19" si="17">if(isblank(Q20),"",if(Q21=-3,16*P22+P19,if(Q21=-2,8*P22+P19,if(Q21=-1,4*P22+P19,if(Q21=0,2*P22+P19,if(Q21=1,0+P19,if(Q21&gt;1,-4*P22+P19)))))))</f>
        <v>26</v>
      </c>
      <c r="R19" s="232">
        <f t="shared" si="17"/>
        <v>28</v>
      </c>
      <c r="S19" s="232">
        <f t="shared" si="17"/>
        <v>30</v>
      </c>
      <c r="T19" s="232">
        <f t="shared" si="17"/>
        <v>32</v>
      </c>
      <c r="U19" s="232">
        <f t="shared" si="17"/>
        <v>32</v>
      </c>
      <c r="V19" s="232">
        <f t="shared" si="17"/>
        <v>40</v>
      </c>
      <c r="W19" s="232">
        <f t="shared" si="17"/>
        <v>40</v>
      </c>
      <c r="X19" s="233">
        <f t="shared" si="17"/>
        <v>42</v>
      </c>
      <c r="Y19" s="234">
        <f>if(isblank(X20),"",X19-N19)</f>
        <v>20</v>
      </c>
      <c r="Z19" s="234">
        <f>if(isblank(X20),0,X19)</f>
        <v>42</v>
      </c>
      <c r="AA19" s="236">
        <f>X22</f>
        <v>1</v>
      </c>
      <c r="AB19" s="1"/>
    </row>
    <row r="20">
      <c r="A20" s="237"/>
      <c r="B20" s="39"/>
      <c r="C20" s="238" t="s">
        <v>170</v>
      </c>
      <c r="D20" s="239"/>
      <c r="E20" s="240">
        <f>vlookup('ROUND 2 - FOURBALL'!$B19,'ROUND 2 - FOURBALL'!$B:$AC,7,false)</f>
        <v>4</v>
      </c>
      <c r="F20" s="241">
        <f>vlookup('ROUND 2 - FOURBALL'!$B19,'ROUND 2 - FOURBALL'!$B:$AC,8,false)</f>
        <v>5</v>
      </c>
      <c r="G20" s="241">
        <f>vlookup('ROUND 2 - FOURBALL'!$B19,'ROUND 2 - FOURBALL'!$B:$AC,9,false)</f>
        <v>4</v>
      </c>
      <c r="H20" s="241">
        <f>vlookup('ROUND 2 - FOURBALL'!$B19,'ROUND 2 - FOURBALL'!$B:$AC,10,false)</f>
        <v>3</v>
      </c>
      <c r="I20" s="241">
        <f>vlookup('ROUND 2 - FOURBALL'!$B19,'ROUND 2 - FOURBALL'!$B:$AC,11,false)</f>
        <v>7</v>
      </c>
      <c r="J20" s="241">
        <f>vlookup('ROUND 2 - FOURBALL'!$B19,'ROUND 2 - FOURBALL'!$B:$AC,12,false)</f>
        <v>7</v>
      </c>
      <c r="K20" s="241">
        <f>vlookup('ROUND 2 - FOURBALL'!$B19,'ROUND 2 - FOURBALL'!$B:$AC,13,false)</f>
        <v>5</v>
      </c>
      <c r="L20" s="241">
        <f>vlookup('ROUND 2 - FOURBALL'!$B19,'ROUND 2 - FOURBALL'!$B:$AC,14,false)</f>
        <v>4</v>
      </c>
      <c r="M20" s="242">
        <f>vlookup('ROUND 2 - FOURBALL'!$B19,'ROUND 2 - FOURBALL'!$B:$AC,15,false)</f>
        <v>3</v>
      </c>
      <c r="N20" s="243">
        <f>if(isblank(M20),"",sum(E20:M20))</f>
        <v>42</v>
      </c>
      <c r="O20" s="244"/>
      <c r="P20" s="240">
        <f>vlookup('ROUND 2 - FOURBALL'!$B19,'ROUND 2 - FOURBALL'!$B:$AC,18,false)</f>
        <v>4</v>
      </c>
      <c r="Q20" s="241">
        <f>vlookup('ROUND 2 - FOURBALL'!$B19,'ROUND 2 - FOURBALL'!$B:$AC,19,false)</f>
        <v>3</v>
      </c>
      <c r="R20" s="241">
        <f>vlookup('ROUND 2 - FOURBALL'!$B19,'ROUND 2 - FOURBALL'!$B:$AC,20,false)</f>
        <v>6</v>
      </c>
      <c r="S20" s="241">
        <f>vlookup('ROUND 2 - FOURBALL'!$B19,'ROUND 2 - FOURBALL'!$B:$AC,21,false)</f>
        <v>4</v>
      </c>
      <c r="T20" s="241">
        <f>vlookup('ROUND 2 - FOURBALL'!$B19,'ROUND 2 - FOURBALL'!$B:$AC,22,false)</f>
        <v>6</v>
      </c>
      <c r="U20" s="241">
        <f>vlookup('ROUND 2 - FOURBALL'!$B19,'ROUND 2 - FOURBALL'!$B:$AC,23,false)</f>
        <v>5</v>
      </c>
      <c r="V20" s="241">
        <f>vlookup('ROUND 2 - FOURBALL'!$B19,'ROUND 2 - FOURBALL'!$B:$AC,24,false)</f>
        <v>3</v>
      </c>
      <c r="W20" s="241">
        <f>vlookup('ROUND 2 - FOURBALL'!$B19,'ROUND 2 - FOURBALL'!$B:$AC,25,false)</f>
        <v>4</v>
      </c>
      <c r="X20" s="242">
        <f>vlookup('ROUND 2 - FOURBALL'!$B19,'ROUND 2 - FOURBALL'!$B:$AC,26,false)</f>
        <v>5</v>
      </c>
      <c r="Y20" s="243">
        <f>if(isblank(X20),"",sum(P20:X20))</f>
        <v>40</v>
      </c>
      <c r="Z20" s="245">
        <f>if(isblank(X20),"",sum(N20,Y20))</f>
        <v>82</v>
      </c>
      <c r="AA20" s="246"/>
      <c r="AB20" s="39"/>
    </row>
    <row r="21">
      <c r="A21" s="237"/>
      <c r="B21" s="39"/>
      <c r="C21" s="247" t="s">
        <v>171</v>
      </c>
      <c r="D21" s="248"/>
      <c r="E21" s="249">
        <f t="shared" ref="E21:M21" si="18">if(isblank(E20),"",if(and(18-$D19&lt;0,18+E$7&lt;$D19),E20-2-E$6,if(or(E$7&lt;$D19,E$7=$D19),E20-1-E$6,E20-E$6)))</f>
        <v>-1</v>
      </c>
      <c r="F21" s="250">
        <f t="shared" si="18"/>
        <v>1</v>
      </c>
      <c r="G21" s="250">
        <f t="shared" si="18"/>
        <v>-1</v>
      </c>
      <c r="H21" s="250">
        <f t="shared" si="18"/>
        <v>0</v>
      </c>
      <c r="I21" s="250">
        <f t="shared" si="18"/>
        <v>3</v>
      </c>
      <c r="J21" s="250">
        <f t="shared" si="18"/>
        <v>2</v>
      </c>
      <c r="K21" s="250">
        <f t="shared" si="18"/>
        <v>0</v>
      </c>
      <c r="L21" s="250">
        <f t="shared" si="18"/>
        <v>1</v>
      </c>
      <c r="M21" s="251">
        <f t="shared" si="18"/>
        <v>-3</v>
      </c>
      <c r="N21" s="243">
        <f>if(isblank(M20),"",if(or(N$7&lt;$D19,N$7=$D19),N20-1-N$6,N20-N$6))</f>
        <v>5</v>
      </c>
      <c r="O21" s="244"/>
      <c r="P21" s="249">
        <f t="shared" ref="P21:X21" si="19">if(isblank(P20),"",if(and(18-$D19&lt;0,18+P$7&lt;$D19),P20-2-P$6,if(or(P$7&lt;$D19,P$7=$D19),P20-1-P$6,P20-P$6)))</f>
        <v>0</v>
      </c>
      <c r="Q21" s="250">
        <f t="shared" si="19"/>
        <v>0</v>
      </c>
      <c r="R21" s="250">
        <f t="shared" si="19"/>
        <v>0</v>
      </c>
      <c r="S21" s="250">
        <f t="shared" si="19"/>
        <v>0</v>
      </c>
      <c r="T21" s="250">
        <f t="shared" si="19"/>
        <v>0</v>
      </c>
      <c r="U21" s="250">
        <f t="shared" si="19"/>
        <v>1</v>
      </c>
      <c r="V21" s="250">
        <f t="shared" si="19"/>
        <v>-2</v>
      </c>
      <c r="W21" s="250">
        <f t="shared" si="19"/>
        <v>1</v>
      </c>
      <c r="X21" s="251">
        <f t="shared" si="19"/>
        <v>0</v>
      </c>
      <c r="Y21" s="243">
        <f>if(isblank(X20),"",if(or(Y$7&lt;$D19,Y$7=$D19),Y20-1-Y$6,Y20-Y$6))</f>
        <v>3</v>
      </c>
      <c r="Z21" s="252">
        <f>if(isblank(X20),"",sum(N21,Y21))</f>
        <v>8</v>
      </c>
      <c r="AA21" s="42"/>
      <c r="AB21" s="39"/>
    </row>
    <row r="22">
      <c r="B22" s="1"/>
      <c r="C22" s="253" t="s">
        <v>172</v>
      </c>
      <c r="D22" s="253">
        <f>vlookup($C19,'TILT Round 1'!$C:$AA,25,false)</f>
        <v>1</v>
      </c>
      <c r="E22" s="255">
        <f t="shared" ref="E22:M22" si="20">if(isblank(E20),"",if(E21=-1,D22+1,if(E21=-2,D22+2,if(E21=-3,D22+3,1))))</f>
        <v>2</v>
      </c>
      <c r="F22" s="256">
        <f t="shared" si="20"/>
        <v>1</v>
      </c>
      <c r="G22" s="256">
        <f t="shared" si="20"/>
        <v>2</v>
      </c>
      <c r="H22" s="256">
        <f t="shared" si="20"/>
        <v>1</v>
      </c>
      <c r="I22" s="256">
        <f t="shared" si="20"/>
        <v>1</v>
      </c>
      <c r="J22" s="256">
        <f t="shared" si="20"/>
        <v>1</v>
      </c>
      <c r="K22" s="256">
        <f t="shared" si="20"/>
        <v>1</v>
      </c>
      <c r="L22" s="256">
        <f t="shared" si="20"/>
        <v>1</v>
      </c>
      <c r="M22" s="257">
        <f t="shared" si="20"/>
        <v>4</v>
      </c>
      <c r="N22" s="258"/>
      <c r="O22" s="259">
        <f>if(isblank(N20),"",if(N21=-1,M22+1,if(N21=-2,M22+2,if(N21=-3,M22+3,1))))</f>
        <v>1</v>
      </c>
      <c r="P22" s="255">
        <f t="shared" ref="P22:X22" si="21">if(isblank(P20),"",if(P21=-1,O22+1,if(P21=-2,O22+2,if(P21=-3,O22+3,1))))</f>
        <v>1</v>
      </c>
      <c r="Q22" s="256">
        <f t="shared" si="21"/>
        <v>1</v>
      </c>
      <c r="R22" s="256">
        <f t="shared" si="21"/>
        <v>1</v>
      </c>
      <c r="S22" s="256">
        <f t="shared" si="21"/>
        <v>1</v>
      </c>
      <c r="T22" s="256">
        <f t="shared" si="21"/>
        <v>1</v>
      </c>
      <c r="U22" s="256">
        <f t="shared" si="21"/>
        <v>1</v>
      </c>
      <c r="V22" s="256">
        <f t="shared" si="21"/>
        <v>3</v>
      </c>
      <c r="W22" s="256">
        <f t="shared" si="21"/>
        <v>1</v>
      </c>
      <c r="X22" s="257">
        <f t="shared" si="21"/>
        <v>1</v>
      </c>
      <c r="Y22" s="258"/>
      <c r="Z22" s="234">
        <f>if(isblank(Y20),"",if(Y21=-1,X22+1,if(Y21=-2,X22+2,if(Y21=-3,X22+3,1))))</f>
        <v>1</v>
      </c>
      <c r="AA22" s="236">
        <f>X22</f>
        <v>1</v>
      </c>
      <c r="AB22" s="1"/>
    </row>
    <row r="23">
      <c r="B23" s="1"/>
      <c r="C23" s="261"/>
      <c r="D23" s="261"/>
      <c r="E23" s="262"/>
      <c r="F23" s="262"/>
      <c r="G23" s="262"/>
      <c r="H23" s="263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3"/>
      <c r="W23" s="262"/>
      <c r="X23" s="262"/>
      <c r="Y23" s="262"/>
      <c r="Z23" s="262"/>
      <c r="AA23" s="236"/>
      <c r="AB23" s="1"/>
    </row>
    <row r="24">
      <c r="B24" s="1"/>
      <c r="C24" s="229" t="str">
        <f>'ROUND 2 - FOURBALL'!F20</f>
        <v>TOM</v>
      </c>
      <c r="D24" s="230">
        <f>vlookup($C24,HANDICAPS!$B$33:$G$48,4,false)</f>
        <v>15</v>
      </c>
      <c r="E24" s="231">
        <f>if(isblank(E25),"",if(E26=-3,16*D27,if(E26=-2,8*D27,if(E26=-1,4*D27,if(E26=0,2*D27,if(E26=1,0,if(E26&gt;1,-4*D27))))))+D25)</f>
        <v>-4</v>
      </c>
      <c r="F24" s="232">
        <f t="shared" ref="F24:M24" si="22">if(isblank(F25),"",if(F26=-3,16*E27+E24,if(F26=-2,8*E27+E24,if(F26=-1,4*E27+E24,if(F26=0,2*E27+E24,if(F26=1,0+E24,if(F26&gt;1,-4*E27+E24)))))))</f>
        <v>-4</v>
      </c>
      <c r="G24" s="232">
        <f t="shared" si="22"/>
        <v>-2</v>
      </c>
      <c r="H24" s="232">
        <f t="shared" si="22"/>
        <v>-2</v>
      </c>
      <c r="I24" s="232">
        <f t="shared" si="22"/>
        <v>0</v>
      </c>
      <c r="J24" s="232">
        <f t="shared" si="22"/>
        <v>-4</v>
      </c>
      <c r="K24" s="232">
        <f t="shared" si="22"/>
        <v>-2</v>
      </c>
      <c r="L24" s="232">
        <f t="shared" si="22"/>
        <v>0</v>
      </c>
      <c r="M24" s="233">
        <f t="shared" si="22"/>
        <v>4</v>
      </c>
      <c r="N24" s="234">
        <f>M24</f>
        <v>4</v>
      </c>
      <c r="O24" s="235"/>
      <c r="P24" s="231">
        <f>if(isblank(P25),"",if(P26=-3,16*O27+O25+N24,if(P26=-2,8*O27+O25+N24,if(P26=-1,4*O27+O25+N24,if(P26=0,2*O27+O25+N24,if(P26=1,0+N24,if(P26&gt;1,-4*O27+O25+N24)))))))</f>
        <v>4</v>
      </c>
      <c r="Q24" s="232">
        <f t="shared" ref="Q24:X24" si="23">if(isblank(Q25),"",if(Q26=-3,16*P27+P24,if(Q26=-2,8*P27+P24,if(Q26=-1,4*P27+P24,if(Q26=0,2*P27+P24,if(Q26=1,0+P24,if(Q26&gt;1,-4*P27+P24)))))))</f>
        <v>4</v>
      </c>
      <c r="R24" s="232">
        <f t="shared" si="23"/>
        <v>6</v>
      </c>
      <c r="S24" s="232">
        <f t="shared" si="23"/>
        <v>10</v>
      </c>
      <c r="T24" s="232">
        <f t="shared" si="23"/>
        <v>14</v>
      </c>
      <c r="U24" s="232">
        <f t="shared" si="23"/>
        <v>14</v>
      </c>
      <c r="V24" s="232">
        <f t="shared" si="23"/>
        <v>14</v>
      </c>
      <c r="W24" s="232">
        <f t="shared" si="23"/>
        <v>18</v>
      </c>
      <c r="X24" s="233">
        <f t="shared" si="23"/>
        <v>18</v>
      </c>
      <c r="Y24" s="234">
        <f>if(isblank(X25),"",X24-N24)</f>
        <v>14</v>
      </c>
      <c r="Z24" s="234">
        <f>if(isblank(X25),0,X24)</f>
        <v>18</v>
      </c>
      <c r="AA24" s="236">
        <f>X27</f>
        <v>1</v>
      </c>
      <c r="AB24" s="1"/>
    </row>
    <row r="25">
      <c r="B25" s="1"/>
      <c r="C25" s="238" t="s">
        <v>170</v>
      </c>
      <c r="D25" s="239"/>
      <c r="E25" s="240">
        <f>vlookup('ROUND 2 - FOURBALL'!$B21,'ROUND 2 - FOURBALL'!$B:$AC,7,false)</f>
        <v>7</v>
      </c>
      <c r="F25" s="241">
        <f>vlookup('ROUND 2 - FOURBALL'!$B21,'ROUND 2 - FOURBALL'!$B:$AC,8,false)</f>
        <v>6</v>
      </c>
      <c r="G25" s="241">
        <f>vlookup('ROUND 2 - FOURBALL'!$B21,'ROUND 2 - FOURBALL'!$B:$AC,9,false)</f>
        <v>5</v>
      </c>
      <c r="H25" s="241">
        <f>vlookup('ROUND 2 - FOURBALL'!$B21,'ROUND 2 - FOURBALL'!$B:$AC,10,false)</f>
        <v>4</v>
      </c>
      <c r="I25" s="241">
        <f>vlookup('ROUND 2 - FOURBALL'!$B21,'ROUND 2 - FOURBALL'!$B:$AC,11,false)</f>
        <v>5</v>
      </c>
      <c r="J25" s="241">
        <f>vlookup('ROUND 2 - FOURBALL'!$B21,'ROUND 2 - FOURBALL'!$B:$AC,12,false)</f>
        <v>7</v>
      </c>
      <c r="K25" s="241">
        <f>vlookup('ROUND 2 - FOURBALL'!$B21,'ROUND 2 - FOURBALL'!$B:$AC,13,false)</f>
        <v>6</v>
      </c>
      <c r="L25" s="241">
        <f>vlookup('ROUND 2 - FOURBALL'!$B21,'ROUND 2 - FOURBALL'!$B:$AC,14,false)</f>
        <v>4</v>
      </c>
      <c r="M25" s="242">
        <f>vlookup('ROUND 2 - FOURBALL'!$B21,'ROUND 2 - FOURBALL'!$B:$AC,15,false)</f>
        <v>5</v>
      </c>
      <c r="N25" s="243">
        <f>if(isblank(M25),"",sum(E25:M25))</f>
        <v>49</v>
      </c>
      <c r="O25" s="244"/>
      <c r="P25" s="240">
        <f>vlookup('ROUND 2 - FOURBALL'!$B21,'ROUND 2 - FOURBALL'!$B:$AC,18,false)</f>
        <v>6</v>
      </c>
      <c r="Q25" s="241">
        <f>vlookup('ROUND 2 - FOURBALL'!$B21,'ROUND 2 - FOURBALL'!$B:$AC,19,false)</f>
        <v>4</v>
      </c>
      <c r="R25" s="241">
        <f>vlookup('ROUND 2 - FOURBALL'!$B21,'ROUND 2 - FOURBALL'!$B:$AC,20,false)</f>
        <v>6</v>
      </c>
      <c r="S25" s="241">
        <f>vlookup('ROUND 2 - FOURBALL'!$B21,'ROUND 2 - FOURBALL'!$B:$AC,21,false)</f>
        <v>4</v>
      </c>
      <c r="T25" s="241">
        <f>vlookup('ROUND 2 - FOURBALL'!$B21,'ROUND 2 - FOURBALL'!$B:$AC,22,false)</f>
        <v>6</v>
      </c>
      <c r="U25" s="241">
        <f>vlookup('ROUND 2 - FOURBALL'!$B21,'ROUND 2 - FOURBALL'!$B:$AC,23,false)</f>
        <v>6</v>
      </c>
      <c r="V25" s="241">
        <f>vlookup('ROUND 2 - FOURBALL'!$B21,'ROUND 2 - FOURBALL'!$B:$AC,24,false)</f>
        <v>6</v>
      </c>
      <c r="W25" s="241">
        <f>vlookup('ROUND 2 - FOURBALL'!$B21,'ROUND 2 - FOURBALL'!$B:$AC,25,false)</f>
        <v>2</v>
      </c>
      <c r="X25" s="242">
        <f>vlookup('ROUND 2 - FOURBALL'!$B21,'ROUND 2 - FOURBALL'!$B:$AC,26,false)</f>
        <v>6</v>
      </c>
      <c r="Y25" s="243">
        <f>if(isblank(X25),"",sum(P25:X25))</f>
        <v>46</v>
      </c>
      <c r="Z25" s="245">
        <f>if(isblank(X25),"",sum(N25,Y25))</f>
        <v>95</v>
      </c>
      <c r="AA25" s="264"/>
      <c r="AB25" s="1"/>
    </row>
    <row r="26">
      <c r="B26" s="1"/>
      <c r="C26" s="247" t="s">
        <v>171</v>
      </c>
      <c r="D26" s="248"/>
      <c r="E26" s="249">
        <f t="shared" ref="E26:M26" si="24">if(isblank(E25),"",if(and(18-$D24&lt;0,18+E$7&lt;$D24),E25-2-E$6,if(or(E$7&lt;$D24,E$7=$D24),E25-1-E$6,E25-E$6)))</f>
        <v>2</v>
      </c>
      <c r="F26" s="250">
        <f t="shared" si="24"/>
        <v>1</v>
      </c>
      <c r="G26" s="250">
        <f t="shared" si="24"/>
        <v>0</v>
      </c>
      <c r="H26" s="250">
        <f t="shared" si="24"/>
        <v>1</v>
      </c>
      <c r="I26" s="250">
        <f t="shared" si="24"/>
        <v>0</v>
      </c>
      <c r="J26" s="250">
        <f t="shared" si="24"/>
        <v>2</v>
      </c>
      <c r="K26" s="250">
        <f t="shared" si="24"/>
        <v>0</v>
      </c>
      <c r="L26" s="250">
        <f t="shared" si="24"/>
        <v>0</v>
      </c>
      <c r="M26" s="251">
        <f t="shared" si="24"/>
        <v>-1</v>
      </c>
      <c r="N26" s="243">
        <f>if(isblank(M25),"",if(or(N$7&lt;$D24,N$7=$D24),N25-1-N$6,N25-N$6))</f>
        <v>12</v>
      </c>
      <c r="O26" s="244"/>
      <c r="P26" s="249">
        <f t="shared" ref="P26:X26" si="25">if(isblank(P25),"",if(and(18-$D24&lt;0,18+P$7&lt;$D24),P25-2-P$6,if(or(P$7&lt;$D24,P$7=$D24),P25-1-P$6,P25-P$6)))</f>
        <v>1</v>
      </c>
      <c r="Q26" s="250">
        <f t="shared" si="25"/>
        <v>1</v>
      </c>
      <c r="R26" s="250">
        <f t="shared" si="25"/>
        <v>0</v>
      </c>
      <c r="S26" s="250">
        <f t="shared" si="25"/>
        <v>-1</v>
      </c>
      <c r="T26" s="250">
        <f t="shared" si="25"/>
        <v>0</v>
      </c>
      <c r="U26" s="250">
        <f t="shared" si="25"/>
        <v>1</v>
      </c>
      <c r="V26" s="250">
        <f t="shared" si="25"/>
        <v>1</v>
      </c>
      <c r="W26" s="250">
        <f t="shared" si="25"/>
        <v>-1</v>
      </c>
      <c r="X26" s="251">
        <f t="shared" si="25"/>
        <v>1</v>
      </c>
      <c r="Y26" s="243">
        <f>if(isblank(X25),"",if(or(Y$7&lt;$D24,Y$7=$D24),Y25-1-Y$6,Y25-Y$6))</f>
        <v>9</v>
      </c>
      <c r="Z26" s="252">
        <f>if(isblank(X25),"",sum(N26,Y26))</f>
        <v>21</v>
      </c>
      <c r="AA26" s="236"/>
      <c r="AB26" s="1"/>
    </row>
    <row r="27">
      <c r="B27" s="1"/>
      <c r="C27" s="253" t="s">
        <v>172</v>
      </c>
      <c r="D27" s="253">
        <f>vlookup($C24,'TILT Round 1'!$C:$AA,25,false)</f>
        <v>1</v>
      </c>
      <c r="E27" s="255">
        <f t="shared" ref="E27:M27" si="26">if(isblank(E25),"",if(E26=-1,D27+1,if(E26=-2,D27+2,if(E26=-3,D27+3,1))))</f>
        <v>1</v>
      </c>
      <c r="F27" s="256">
        <f t="shared" si="26"/>
        <v>1</v>
      </c>
      <c r="G27" s="256">
        <f t="shared" si="26"/>
        <v>1</v>
      </c>
      <c r="H27" s="256">
        <f t="shared" si="26"/>
        <v>1</v>
      </c>
      <c r="I27" s="256">
        <f t="shared" si="26"/>
        <v>1</v>
      </c>
      <c r="J27" s="256">
        <f t="shared" si="26"/>
        <v>1</v>
      </c>
      <c r="K27" s="256">
        <f t="shared" si="26"/>
        <v>1</v>
      </c>
      <c r="L27" s="256">
        <f t="shared" si="26"/>
        <v>1</v>
      </c>
      <c r="M27" s="257">
        <f t="shared" si="26"/>
        <v>2</v>
      </c>
      <c r="N27" s="258"/>
      <c r="O27" s="259">
        <f>if(isblank(N25),"",if(N26=-1,M27+1,if(N26=-2,M27+2,if(N26=-3,M27+3,1))))</f>
        <v>1</v>
      </c>
      <c r="P27" s="255">
        <f t="shared" ref="P27:X27" si="27">if(isblank(P25),"",if(P26=-1,O27+1,if(P26=-2,O27+2,if(P26=-3,O27+3,1))))</f>
        <v>1</v>
      </c>
      <c r="Q27" s="256">
        <f t="shared" si="27"/>
        <v>1</v>
      </c>
      <c r="R27" s="256">
        <f t="shared" si="27"/>
        <v>1</v>
      </c>
      <c r="S27" s="256">
        <f t="shared" si="27"/>
        <v>2</v>
      </c>
      <c r="T27" s="256">
        <f t="shared" si="27"/>
        <v>1</v>
      </c>
      <c r="U27" s="256">
        <f t="shared" si="27"/>
        <v>1</v>
      </c>
      <c r="V27" s="256">
        <f t="shared" si="27"/>
        <v>1</v>
      </c>
      <c r="W27" s="256">
        <f t="shared" si="27"/>
        <v>2</v>
      </c>
      <c r="X27" s="257">
        <f t="shared" si="27"/>
        <v>1</v>
      </c>
      <c r="Y27" s="258"/>
      <c r="Z27" s="234">
        <f>if(isblank(Y25),"",if(Y26=-1,X27+1,if(Y26=-2,X27+2,if(Y26=-3,X27+3,1))))</f>
        <v>1</v>
      </c>
      <c r="AA27" s="236">
        <f>X27</f>
        <v>1</v>
      </c>
      <c r="AB27" s="1"/>
    </row>
    <row r="28">
      <c r="B28" s="1"/>
      <c r="C28" s="1"/>
      <c r="D28" s="1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36"/>
      <c r="AB28" s="1"/>
    </row>
    <row r="29">
      <c r="B29" s="1"/>
      <c r="C29" s="229" t="str">
        <f>'ROUND 2 - FOURBALL'!F35</f>
        <v>DEREK</v>
      </c>
      <c r="D29" s="230">
        <f>vlookup($C29,HANDICAPS!$B$33:$G$48,4,false)</f>
        <v>0</v>
      </c>
      <c r="E29" s="231">
        <f>if(isblank(E30),"",if(E31=-3,16*D32,if(E31=-2,8*D32,if(E31=-1,4*D32,if(E31=0,2*D32,if(E31=1,0,if(E31&gt;1,-4*D32))))))+D30)</f>
        <v>2</v>
      </c>
      <c r="F29" s="232">
        <f t="shared" ref="F29:M29" si="28">if(isblank(F30),"",if(F31=-3,16*E32+E29,if(F31=-2,8*E32+E29,if(F31=-1,4*E32+E29,if(F31=0,2*E32+E29,if(F31=1,0+E29,if(F31&gt;1,-4*E32+E29)))))))</f>
        <v>4</v>
      </c>
      <c r="G29" s="232">
        <f t="shared" si="28"/>
        <v>8</v>
      </c>
      <c r="H29" s="232">
        <f t="shared" si="28"/>
        <v>12</v>
      </c>
      <c r="I29" s="232">
        <f t="shared" si="28"/>
        <v>16</v>
      </c>
      <c r="J29" s="232">
        <f t="shared" si="28"/>
        <v>16</v>
      </c>
      <c r="K29" s="232">
        <f t="shared" si="28"/>
        <v>20</v>
      </c>
      <c r="L29" s="232">
        <f t="shared" si="28"/>
        <v>24</v>
      </c>
      <c r="M29" s="233">
        <f t="shared" si="28"/>
        <v>24</v>
      </c>
      <c r="N29" s="234">
        <f>M29</f>
        <v>24</v>
      </c>
      <c r="O29" s="235"/>
      <c r="P29" s="231">
        <f>if(isblank(P30),"",if(P31=-3,16*O32+O30+N29,if(P31=-2,8*O32+O30+N29,if(P31=-1,4*O32+O30+N29,if(P31=0,2*O32+O30+N29,if(P31=1,0+N29,if(P31&gt;1,-4*O32+O30+N29)))))))</f>
        <v>36</v>
      </c>
      <c r="Q29" s="232">
        <f t="shared" ref="Q29:X29" si="29">if(isblank(Q30),"",if(Q31=-3,16*P32+P29,if(Q31=-2,8*P32+P29,if(Q31=-1,4*P32+P29,if(Q31=0,2*P32+P29,if(Q31=1,0+P29,if(Q31&gt;1,-4*P32+P29)))))))</f>
        <v>36</v>
      </c>
      <c r="R29" s="232">
        <f t="shared" si="29"/>
        <v>38</v>
      </c>
      <c r="S29" s="232">
        <f t="shared" si="29"/>
        <v>40</v>
      </c>
      <c r="T29" s="232">
        <f t="shared" si="29"/>
        <v>40</v>
      </c>
      <c r="U29" s="232">
        <f t="shared" si="29"/>
        <v>40</v>
      </c>
      <c r="V29" s="232">
        <f t="shared" si="29"/>
        <v>40</v>
      </c>
      <c r="W29" s="232">
        <f t="shared" si="29"/>
        <v>42</v>
      </c>
      <c r="X29" s="233">
        <f t="shared" si="29"/>
        <v>46</v>
      </c>
      <c r="Y29" s="234">
        <f>if(isblank(X30),"",X29-N29)</f>
        <v>22</v>
      </c>
      <c r="Z29" s="234">
        <f>if(isblank(X30),0,X29)</f>
        <v>46</v>
      </c>
      <c r="AA29" s="236">
        <f>X32</f>
        <v>2</v>
      </c>
      <c r="AB29" s="1"/>
    </row>
    <row r="30">
      <c r="A30" s="237"/>
      <c r="B30" s="39"/>
      <c r="C30" s="238" t="s">
        <v>170</v>
      </c>
      <c r="D30" s="239"/>
      <c r="E30" s="240">
        <f>vlookup('ROUND 2 - FOURBALL'!$B36,'ROUND 2 - FOURBALL'!$B:$AC,7,false)</f>
        <v>4</v>
      </c>
      <c r="F30" s="241">
        <f>vlookup('ROUND 2 - FOURBALL'!$B36,'ROUND 2 - FOURBALL'!$B:$AC,8,false)</f>
        <v>4</v>
      </c>
      <c r="G30" s="241">
        <f>vlookup('ROUND 2 - FOURBALL'!$B36,'ROUND 2 - FOURBALL'!$B:$AC,9,false)</f>
        <v>3</v>
      </c>
      <c r="H30" s="241">
        <f>vlookup('ROUND 2 - FOURBALL'!$B36,'ROUND 2 - FOURBALL'!$B:$AC,10,false)</f>
        <v>3</v>
      </c>
      <c r="I30" s="241">
        <f>vlookup('ROUND 2 - FOURBALL'!$B36,'ROUND 2 - FOURBALL'!$B:$AC,11,false)</f>
        <v>3</v>
      </c>
      <c r="J30" s="241">
        <f>vlookup('ROUND 2 - FOURBALL'!$B36,'ROUND 2 - FOURBALL'!$B:$AC,12,false)</f>
        <v>5</v>
      </c>
      <c r="K30" s="241">
        <f>vlookup('ROUND 2 - FOURBALL'!$B36,'ROUND 2 - FOURBALL'!$B:$AC,13,false)</f>
        <v>4</v>
      </c>
      <c r="L30" s="241">
        <f>vlookup('ROUND 2 - FOURBALL'!$B36,'ROUND 2 - FOURBALL'!$B:$AC,14,false)</f>
        <v>3</v>
      </c>
      <c r="M30" s="242">
        <f>vlookup('ROUND 2 - FOURBALL'!$B36,'ROUND 2 - FOURBALL'!$B:$AC,15,false)</f>
        <v>6</v>
      </c>
      <c r="N30" s="243">
        <f>if(isblank(M30),"",sum(E30:M30))</f>
        <v>35</v>
      </c>
      <c r="O30" s="244"/>
      <c r="P30" s="240">
        <f>vlookup('ROUND 2 - FOURBALL'!$B36,'ROUND 2 - FOURBALL'!$B:$AC,18,false)</f>
        <v>3</v>
      </c>
      <c r="Q30" s="241">
        <f>vlookup('ROUND 2 - FOURBALL'!$B36,'ROUND 2 - FOURBALL'!$B:$AC,19,false)</f>
        <v>4</v>
      </c>
      <c r="R30" s="241">
        <f>vlookup('ROUND 2 - FOURBALL'!$B36,'ROUND 2 - FOURBALL'!$B:$AC,20,false)</f>
        <v>5</v>
      </c>
      <c r="S30" s="241">
        <f>vlookup('ROUND 2 - FOURBALL'!$B36,'ROUND 2 - FOURBALL'!$B:$AC,21,false)</f>
        <v>4</v>
      </c>
      <c r="T30" s="241">
        <f>vlookup('ROUND 2 - FOURBALL'!$B36,'ROUND 2 - FOURBALL'!$B:$AC,22,false)</f>
        <v>6</v>
      </c>
      <c r="U30" s="241">
        <f>vlookup('ROUND 2 - FOURBALL'!$B36,'ROUND 2 - FOURBALL'!$B:$AC,23,false)</f>
        <v>5</v>
      </c>
      <c r="V30" s="241">
        <f>vlookup('ROUND 2 - FOURBALL'!$B36,'ROUND 2 - FOURBALL'!$B:$AC,24,false)</f>
        <v>5</v>
      </c>
      <c r="W30" s="241">
        <f>vlookup('ROUND 2 - FOURBALL'!$B36,'ROUND 2 - FOURBALL'!$B:$AC,25,false)</f>
        <v>3</v>
      </c>
      <c r="X30" s="242">
        <f>vlookup('ROUND 2 - FOURBALL'!$B36,'ROUND 2 - FOURBALL'!$B:$AC,26,false)</f>
        <v>3</v>
      </c>
      <c r="Y30" s="243">
        <f>if(isblank(X30),"",sum(P30:X30))</f>
        <v>38</v>
      </c>
      <c r="Z30" s="245">
        <f>if(isblank(X30),"",sum(N30,Y30))</f>
        <v>73</v>
      </c>
      <c r="AA30" s="246"/>
      <c r="AB30" s="39"/>
    </row>
    <row r="31">
      <c r="A31" s="237"/>
      <c r="B31" s="39"/>
      <c r="C31" s="247" t="s">
        <v>171</v>
      </c>
      <c r="D31" s="248"/>
      <c r="E31" s="249">
        <f t="shared" ref="E31:M31" si="30">if(isblank(E30),"",if(and(18-$D29&lt;0,18+E$7&lt;$D29),E30-2-E$6,if(or(E$7&lt;$D29,E$7=$D29),E30-1-E$6,E30-E$6)))</f>
        <v>0</v>
      </c>
      <c r="F31" s="250">
        <f t="shared" si="30"/>
        <v>0</v>
      </c>
      <c r="G31" s="250">
        <f t="shared" si="30"/>
        <v>-1</v>
      </c>
      <c r="H31" s="250">
        <f t="shared" si="30"/>
        <v>0</v>
      </c>
      <c r="I31" s="250">
        <f t="shared" si="30"/>
        <v>-1</v>
      </c>
      <c r="J31" s="250">
        <f t="shared" si="30"/>
        <v>1</v>
      </c>
      <c r="K31" s="250">
        <f t="shared" si="30"/>
        <v>-1</v>
      </c>
      <c r="L31" s="250">
        <f t="shared" si="30"/>
        <v>0</v>
      </c>
      <c r="M31" s="251">
        <f t="shared" si="30"/>
        <v>1</v>
      </c>
      <c r="N31" s="243">
        <f>if(isblank(M30),"",if(or(N$7&lt;$D29,N$7=$D29),N30-1-N$6,N30-N$6))</f>
        <v>-2</v>
      </c>
      <c r="O31" s="244"/>
      <c r="P31" s="249">
        <f t="shared" ref="P31:X31" si="31">if(isblank(P30),"",if(and(18-$D29&lt;0,18+P$7&lt;$D29),P30-2-P$6,if(or(P$7&lt;$D29,P$7=$D29),P30-1-P$6,P30-P$6)))</f>
        <v>-1</v>
      </c>
      <c r="Q31" s="250">
        <f t="shared" si="31"/>
        <v>1</v>
      </c>
      <c r="R31" s="250">
        <f t="shared" si="31"/>
        <v>0</v>
      </c>
      <c r="S31" s="250">
        <f t="shared" si="31"/>
        <v>0</v>
      </c>
      <c r="T31" s="250">
        <f t="shared" si="31"/>
        <v>1</v>
      </c>
      <c r="U31" s="250">
        <f t="shared" si="31"/>
        <v>1</v>
      </c>
      <c r="V31" s="250">
        <f t="shared" si="31"/>
        <v>1</v>
      </c>
      <c r="W31" s="250">
        <f t="shared" si="31"/>
        <v>0</v>
      </c>
      <c r="X31" s="251">
        <f t="shared" si="31"/>
        <v>-1</v>
      </c>
      <c r="Y31" s="243">
        <f>if(isblank(X30),"",if(or(Y$7&lt;$D29,Y$7=$D29),Y30-1-Y$6,Y30-Y$6))</f>
        <v>1</v>
      </c>
      <c r="Z31" s="252">
        <f>if(isblank(X30),"",sum(N31,Y31))</f>
        <v>-1</v>
      </c>
      <c r="AA31" s="42"/>
      <c r="AB31" s="39"/>
    </row>
    <row r="32">
      <c r="B32" s="1"/>
      <c r="C32" s="253" t="s">
        <v>172</v>
      </c>
      <c r="D32" s="253">
        <f>vlookup($C29,'TILT Round 1'!$C:$AA,25,false)</f>
        <v>1</v>
      </c>
      <c r="E32" s="255">
        <f t="shared" ref="E32:M32" si="32">if(isblank(E30),"",if(E31=-1,D32+1,if(E31=-2,D32+2,if(E31=-3,D32+3,1))))</f>
        <v>1</v>
      </c>
      <c r="F32" s="256">
        <f t="shared" si="32"/>
        <v>1</v>
      </c>
      <c r="G32" s="256">
        <f t="shared" si="32"/>
        <v>2</v>
      </c>
      <c r="H32" s="256">
        <f t="shared" si="32"/>
        <v>1</v>
      </c>
      <c r="I32" s="256">
        <f t="shared" si="32"/>
        <v>2</v>
      </c>
      <c r="J32" s="256">
        <f t="shared" si="32"/>
        <v>1</v>
      </c>
      <c r="K32" s="256">
        <f t="shared" si="32"/>
        <v>2</v>
      </c>
      <c r="L32" s="256">
        <f t="shared" si="32"/>
        <v>1</v>
      </c>
      <c r="M32" s="257">
        <f t="shared" si="32"/>
        <v>1</v>
      </c>
      <c r="N32" s="258"/>
      <c r="O32" s="259">
        <f>if(isblank(N30),"",if(N31=-1,M32+1,if(N31=-2,M32+2,if(N31=-3,M32+3,1))))</f>
        <v>3</v>
      </c>
      <c r="P32" s="255">
        <f t="shared" ref="P32:X32" si="33">if(isblank(P30),"",if(P31=-1,O32+1,if(P31=-2,O32+2,if(P31=-3,O32+3,1))))</f>
        <v>4</v>
      </c>
      <c r="Q32" s="256">
        <f t="shared" si="33"/>
        <v>1</v>
      </c>
      <c r="R32" s="256">
        <f t="shared" si="33"/>
        <v>1</v>
      </c>
      <c r="S32" s="256">
        <f t="shared" si="33"/>
        <v>1</v>
      </c>
      <c r="T32" s="256">
        <f t="shared" si="33"/>
        <v>1</v>
      </c>
      <c r="U32" s="256">
        <f t="shared" si="33"/>
        <v>1</v>
      </c>
      <c r="V32" s="256">
        <f t="shared" si="33"/>
        <v>1</v>
      </c>
      <c r="W32" s="256">
        <f t="shared" si="33"/>
        <v>1</v>
      </c>
      <c r="X32" s="257">
        <f t="shared" si="33"/>
        <v>2</v>
      </c>
      <c r="Y32" s="258"/>
      <c r="Z32" s="234">
        <f>if(isblank(Y30),"",if(Y31=-1,X32+1,if(Y31=-2,X32+2,if(Y31=-3,X32+3,1))))</f>
        <v>1</v>
      </c>
      <c r="AA32" s="236">
        <f>X32</f>
        <v>2</v>
      </c>
      <c r="AB32" s="1"/>
    </row>
    <row r="33">
      <c r="B33" s="1"/>
      <c r="C33" s="261"/>
      <c r="D33" s="261"/>
      <c r="E33" s="262"/>
      <c r="F33" s="262"/>
      <c r="G33" s="262"/>
      <c r="H33" s="263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3"/>
      <c r="W33" s="262"/>
      <c r="X33" s="262"/>
      <c r="Y33" s="262"/>
      <c r="Z33" s="262"/>
      <c r="AA33" s="236"/>
      <c r="AB33" s="1"/>
    </row>
    <row r="34">
      <c r="B34" s="1"/>
      <c r="C34" s="229" t="str">
        <f>'ROUND 2 - FOURBALL'!F37</f>
        <v>DYLAN</v>
      </c>
      <c r="D34" s="230">
        <f>vlookup($C34,HANDICAPS!$B$33:$G$48,4,false)</f>
        <v>14</v>
      </c>
      <c r="E34" s="231">
        <f>if(isblank(E35),"",if(E36=-3,16*D37,if(E36=-2,8*D37,if(E36=-1,4*D37,if(E36=0,2*D37,if(E36=1,0,if(E36&gt;1,-4*D37))))))+D35)</f>
        <v>0</v>
      </c>
      <c r="F34" s="232">
        <f t="shared" ref="F34:M34" si="34">if(isblank(F35),"",if(F36=-3,16*E37+E34,if(F36=-2,8*E37+E34,if(F36=-1,4*E37+E34,if(F36=0,2*E37+E34,if(F36=1,0+E34,if(F36&gt;1,-4*E37+E34)))))))</f>
        <v>4</v>
      </c>
      <c r="G34" s="232">
        <f t="shared" si="34"/>
        <v>8</v>
      </c>
      <c r="H34" s="232">
        <f t="shared" si="34"/>
        <v>10</v>
      </c>
      <c r="I34" s="232">
        <f t="shared" si="34"/>
        <v>12</v>
      </c>
      <c r="J34" s="232">
        <f t="shared" si="34"/>
        <v>14</v>
      </c>
      <c r="K34" s="232">
        <f t="shared" si="34"/>
        <v>16</v>
      </c>
      <c r="L34" s="232">
        <f t="shared" si="34"/>
        <v>16</v>
      </c>
      <c r="M34" s="233">
        <f t="shared" si="34"/>
        <v>20</v>
      </c>
      <c r="N34" s="234">
        <f>M34</f>
        <v>20</v>
      </c>
      <c r="O34" s="235"/>
      <c r="P34" s="231">
        <f>if(isblank(P35),"",if(P36=-3,16*O37+O35+N34,if(P36=-2,8*O37+O35+N34,if(P36=-1,4*O37+O35+N34,if(P36=0,2*O37+O35+N34,if(P36=1,0+N34,if(P36&gt;1,-4*O37+O35+N34)))))))</f>
        <v>22</v>
      </c>
      <c r="Q34" s="232">
        <f t="shared" ref="Q34:X34" si="35">if(isblank(Q35),"",if(Q36=-3,16*P37+P34,if(Q36=-2,8*P37+P34,if(Q36=-1,4*P37+P34,if(Q36=0,2*P37+P34,if(Q36=1,0+P34,if(Q36&gt;1,-4*P37+P34)))))))</f>
        <v>22</v>
      </c>
      <c r="R34" s="232">
        <f t="shared" si="35"/>
        <v>24</v>
      </c>
      <c r="S34" s="232">
        <f t="shared" si="35"/>
        <v>26</v>
      </c>
      <c r="T34" s="232">
        <f t="shared" si="35"/>
        <v>28</v>
      </c>
      <c r="U34" s="232">
        <f t="shared" si="35"/>
        <v>30</v>
      </c>
      <c r="V34" s="232">
        <f t="shared" si="35"/>
        <v>32</v>
      </c>
      <c r="W34" s="232">
        <f t="shared" si="35"/>
        <v>32</v>
      </c>
      <c r="X34" s="233">
        <f t="shared" si="35"/>
        <v>32</v>
      </c>
      <c r="Y34" s="234">
        <f>if(isblank(X35),"",X34-N34)</f>
        <v>12</v>
      </c>
      <c r="Z34" s="234">
        <f>if(isblank(X35),0,X34)</f>
        <v>32</v>
      </c>
      <c r="AA34" s="236">
        <f>X37</f>
        <v>1</v>
      </c>
      <c r="AB34" s="1"/>
    </row>
    <row r="35">
      <c r="B35" s="1"/>
      <c r="C35" s="238" t="s">
        <v>170</v>
      </c>
      <c r="D35" s="239"/>
      <c r="E35" s="240">
        <f>vlookup('ROUND 2 - FOURBALL'!$B38,'ROUND 2 - FOURBALL'!$B:$AC,7,false)</f>
        <v>6</v>
      </c>
      <c r="F35" s="241">
        <f>vlookup('ROUND 2 - FOURBALL'!$B38,'ROUND 2 - FOURBALL'!$B:$AC,8,false)</f>
        <v>4</v>
      </c>
      <c r="G35" s="241">
        <f>vlookup('ROUND 2 - FOURBALL'!$B38,'ROUND 2 - FOURBALL'!$B:$AC,9,false)</f>
        <v>5</v>
      </c>
      <c r="H35" s="241">
        <f>vlookup('ROUND 2 - FOURBALL'!$B38,'ROUND 2 - FOURBALL'!$B:$AC,10,false)</f>
        <v>3</v>
      </c>
      <c r="I35" s="241">
        <f>vlookup('ROUND 2 - FOURBALL'!$B38,'ROUND 2 - FOURBALL'!$B:$AC,11,false)</f>
        <v>5</v>
      </c>
      <c r="J35" s="241">
        <f>vlookup('ROUND 2 - FOURBALL'!$B38,'ROUND 2 - FOURBALL'!$B:$AC,12,false)</f>
        <v>5</v>
      </c>
      <c r="K35" s="241">
        <f>vlookup('ROUND 2 - FOURBALL'!$B38,'ROUND 2 - FOURBALL'!$B:$AC,13,false)</f>
        <v>6</v>
      </c>
      <c r="L35" s="241">
        <f>vlookup('ROUND 2 - FOURBALL'!$B38,'ROUND 2 - FOURBALL'!$B:$AC,14,false)</f>
        <v>4</v>
      </c>
      <c r="M35" s="242">
        <f>vlookup('ROUND 2 - FOURBALL'!$B38,'ROUND 2 - FOURBALL'!$B:$AC,15,false)</f>
        <v>5</v>
      </c>
      <c r="N35" s="243">
        <f>if(isblank(M35),"",sum(E35:M35))</f>
        <v>43</v>
      </c>
      <c r="O35" s="244"/>
      <c r="P35" s="240">
        <f>vlookup('ROUND 2 - FOURBALL'!$B38,'ROUND 2 - FOURBALL'!$B:$AC,18,false)</f>
        <v>5</v>
      </c>
      <c r="Q35" s="241">
        <f>vlookup('ROUND 2 - FOURBALL'!$B38,'ROUND 2 - FOURBALL'!$B:$AC,19,false)</f>
        <v>4</v>
      </c>
      <c r="R35" s="241">
        <f>vlookup('ROUND 2 - FOURBALL'!$B38,'ROUND 2 - FOURBALL'!$B:$AC,20,false)</f>
        <v>6</v>
      </c>
      <c r="S35" s="241">
        <f>vlookup('ROUND 2 - FOURBALL'!$B38,'ROUND 2 - FOURBALL'!$B:$AC,21,false)</f>
        <v>5</v>
      </c>
      <c r="T35" s="241">
        <f>vlookup('ROUND 2 - FOURBALL'!$B38,'ROUND 2 - FOURBALL'!$B:$AC,22,false)</f>
        <v>6</v>
      </c>
      <c r="U35" s="241">
        <f>vlookup('ROUND 2 - FOURBALL'!$B38,'ROUND 2 - FOURBALL'!$B:$AC,23,false)</f>
        <v>5</v>
      </c>
      <c r="V35" s="241">
        <f>vlookup('ROUND 2 - FOURBALL'!$B38,'ROUND 2 - FOURBALL'!$B:$AC,24,false)</f>
        <v>5</v>
      </c>
      <c r="W35" s="241">
        <f>vlookup('ROUND 2 - FOURBALL'!$B38,'ROUND 2 - FOURBALL'!$B:$AC,25,false)</f>
        <v>4</v>
      </c>
      <c r="X35" s="242">
        <f>vlookup('ROUND 2 - FOURBALL'!$B38,'ROUND 2 - FOURBALL'!$B:$AC,26,false)</f>
        <v>6</v>
      </c>
      <c r="Y35" s="243">
        <f>if(isblank(X35),"",sum(P35:X35))</f>
        <v>46</v>
      </c>
      <c r="Z35" s="245">
        <f>if(isblank(X35),"",sum(N35,Y35))</f>
        <v>89</v>
      </c>
      <c r="AA35" s="264"/>
      <c r="AB35" s="1"/>
    </row>
    <row r="36">
      <c r="B36" s="1"/>
      <c r="C36" s="247" t="s">
        <v>171</v>
      </c>
      <c r="D36" s="248"/>
      <c r="E36" s="249">
        <f t="shared" ref="E36:M36" si="36">if(isblank(E35),"",if(and(18-$D34&lt;0,18+E$7&lt;$D34),E35-2-E$6,if(or(E$7&lt;$D34,E$7=$D34),E35-1-E$6,E35-E$6)))</f>
        <v>1</v>
      </c>
      <c r="F36" s="250">
        <f t="shared" si="36"/>
        <v>-1</v>
      </c>
      <c r="G36" s="250">
        <f t="shared" si="36"/>
        <v>0</v>
      </c>
      <c r="H36" s="250">
        <f t="shared" si="36"/>
        <v>0</v>
      </c>
      <c r="I36" s="250">
        <f t="shared" si="36"/>
        <v>0</v>
      </c>
      <c r="J36" s="250">
        <f t="shared" si="36"/>
        <v>0</v>
      </c>
      <c r="K36" s="250">
        <f t="shared" si="36"/>
        <v>0</v>
      </c>
      <c r="L36" s="250">
        <f t="shared" si="36"/>
        <v>1</v>
      </c>
      <c r="M36" s="251">
        <f t="shared" si="36"/>
        <v>-1</v>
      </c>
      <c r="N36" s="243">
        <f>if(isblank(M35),"",if(or(N$7&lt;$D34,N$7=$D34),N35-1-N$6,N35-N$6))</f>
        <v>6</v>
      </c>
      <c r="O36" s="244"/>
      <c r="P36" s="249">
        <f t="shared" ref="P36:X36" si="37">if(isblank(P35),"",if(and(18-$D34&lt;0,18+P$7&lt;$D34),P35-2-P$6,if(or(P$7&lt;$D34,P$7=$D34),P35-1-P$6,P35-P$6)))</f>
        <v>0</v>
      </c>
      <c r="Q36" s="250">
        <f t="shared" si="37"/>
        <v>1</v>
      </c>
      <c r="R36" s="250">
        <f t="shared" si="37"/>
        <v>0</v>
      </c>
      <c r="S36" s="250">
        <f t="shared" si="37"/>
        <v>0</v>
      </c>
      <c r="T36" s="250">
        <f t="shared" si="37"/>
        <v>0</v>
      </c>
      <c r="U36" s="250">
        <f t="shared" si="37"/>
        <v>0</v>
      </c>
      <c r="V36" s="250">
        <f t="shared" si="37"/>
        <v>0</v>
      </c>
      <c r="W36" s="250">
        <f t="shared" si="37"/>
        <v>1</v>
      </c>
      <c r="X36" s="251">
        <f t="shared" si="37"/>
        <v>1</v>
      </c>
      <c r="Y36" s="243">
        <f>if(isblank(X35),"",if(or(Y$7&lt;$D34,Y$7=$D34),Y35-1-Y$6,Y35-Y$6))</f>
        <v>9</v>
      </c>
      <c r="Z36" s="252">
        <f>if(isblank(X35),"",sum(N36,Y36))</f>
        <v>15</v>
      </c>
      <c r="AA36" s="236"/>
      <c r="AB36" s="1"/>
    </row>
    <row r="37">
      <c r="B37" s="1"/>
      <c r="C37" s="253" t="s">
        <v>172</v>
      </c>
      <c r="D37" s="253">
        <f>vlookup($C34,'TILT Round 1'!$C:$AA,25,false)</f>
        <v>2</v>
      </c>
      <c r="E37" s="255">
        <f t="shared" ref="E37:M37" si="38">if(isblank(E35),"",if(E36=-1,D37+1,if(E36=-2,D37+2,if(E36=-3,D37+3,1))))</f>
        <v>1</v>
      </c>
      <c r="F37" s="256">
        <f t="shared" si="38"/>
        <v>2</v>
      </c>
      <c r="G37" s="256">
        <f t="shared" si="38"/>
        <v>1</v>
      </c>
      <c r="H37" s="256">
        <f t="shared" si="38"/>
        <v>1</v>
      </c>
      <c r="I37" s="256">
        <f t="shared" si="38"/>
        <v>1</v>
      </c>
      <c r="J37" s="256">
        <f t="shared" si="38"/>
        <v>1</v>
      </c>
      <c r="K37" s="256">
        <f t="shared" si="38"/>
        <v>1</v>
      </c>
      <c r="L37" s="256">
        <f t="shared" si="38"/>
        <v>1</v>
      </c>
      <c r="M37" s="257">
        <f t="shared" si="38"/>
        <v>2</v>
      </c>
      <c r="N37" s="258"/>
      <c r="O37" s="259">
        <f>if(isblank(N35),"",if(N36=-1,M37+1,if(N36=-2,M37+2,if(N36=-3,M37+3,1))))</f>
        <v>1</v>
      </c>
      <c r="P37" s="255">
        <f t="shared" ref="P37:X37" si="39">if(isblank(P35),"",if(P36=-1,O37+1,if(P36=-2,O37+2,if(P36=-3,O37+3,1))))</f>
        <v>1</v>
      </c>
      <c r="Q37" s="256">
        <f t="shared" si="39"/>
        <v>1</v>
      </c>
      <c r="R37" s="256">
        <f t="shared" si="39"/>
        <v>1</v>
      </c>
      <c r="S37" s="256">
        <f t="shared" si="39"/>
        <v>1</v>
      </c>
      <c r="T37" s="256">
        <f t="shared" si="39"/>
        <v>1</v>
      </c>
      <c r="U37" s="256">
        <f t="shared" si="39"/>
        <v>1</v>
      </c>
      <c r="V37" s="256">
        <f t="shared" si="39"/>
        <v>1</v>
      </c>
      <c r="W37" s="256">
        <f t="shared" si="39"/>
        <v>1</v>
      </c>
      <c r="X37" s="257">
        <f t="shared" si="39"/>
        <v>1</v>
      </c>
      <c r="Y37" s="258"/>
      <c r="Z37" s="234">
        <f>if(isblank(Y35),"",if(Y36=-1,X37+1,if(Y36=-2,X37+2,if(Y36=-3,X37+3,1))))</f>
        <v>1</v>
      </c>
      <c r="AA37" s="236">
        <f>X37</f>
        <v>1</v>
      </c>
      <c r="AB37" s="1"/>
    </row>
    <row r="38">
      <c r="B38" s="1"/>
      <c r="C38" s="1"/>
      <c r="D38" s="1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36"/>
      <c r="AB38" s="1"/>
    </row>
    <row r="39">
      <c r="B39" s="1"/>
      <c r="C39" s="229" t="str">
        <f>'ROUND 2 - FOURBALL'!F43</f>
        <v>DANNY</v>
      </c>
      <c r="D39" s="230">
        <f>vlookup($C39,HANDICAPS!$B$33:$G$48,4,false)</f>
        <v>8</v>
      </c>
      <c r="E39" s="231">
        <f>if(isblank(E40),"",if(E41=-3,16*D42,if(E41=-2,8*D42,if(E41=-1,4*D42,if(E41=0,2*D42,if(E41=1,0,if(E41&gt;1,-4*D42))))))+D40)</f>
        <v>4</v>
      </c>
      <c r="F39" s="232">
        <f t="shared" ref="F39:M39" si="40">if(isblank(F40),"",if(F41=-3,16*E42+E39,if(F41=-2,8*E42+E39,if(F41=-1,4*E42+E39,if(F41=0,2*E42+E39,if(F41=1,0+E39,if(F41&gt;1,-4*E42+E39)))))))</f>
        <v>8</v>
      </c>
      <c r="G39" s="232">
        <f t="shared" si="40"/>
        <v>10</v>
      </c>
      <c r="H39" s="232">
        <f t="shared" si="40"/>
        <v>12</v>
      </c>
      <c r="I39" s="232">
        <f t="shared" si="40"/>
        <v>14</v>
      </c>
      <c r="J39" s="232">
        <f t="shared" si="40"/>
        <v>16</v>
      </c>
      <c r="K39" s="232">
        <f t="shared" si="40"/>
        <v>18</v>
      </c>
      <c r="L39" s="232">
        <f t="shared" si="40"/>
        <v>18</v>
      </c>
      <c r="M39" s="233">
        <f t="shared" si="40"/>
        <v>22</v>
      </c>
      <c r="N39" s="234">
        <f>M39</f>
        <v>22</v>
      </c>
      <c r="O39" s="235"/>
      <c r="P39" s="231">
        <f>if(isblank(P40),"",if(P41=-3,16*O42+O40+N39,if(P41=-2,8*O42+O40+N39,if(P41=-1,4*O42+O40+N39,if(P41=0,2*O42+O40+N39,if(P41=1,0+N39,if(P41&gt;1,-4*O42+O40+N39)))))))</f>
        <v>24</v>
      </c>
      <c r="Q39" s="232">
        <f t="shared" ref="Q39:X39" si="41">if(isblank(Q40),"",if(Q41=-3,16*P42+P39,if(Q41=-2,8*P42+P39,if(Q41=-1,4*P42+P39,if(Q41=0,2*P42+P39,if(Q41=1,0+P39,if(Q41&gt;1,-4*P42+P39)))))))</f>
        <v>26</v>
      </c>
      <c r="R39" s="232">
        <f t="shared" si="41"/>
        <v>28</v>
      </c>
      <c r="S39" s="232">
        <f t="shared" si="41"/>
        <v>24</v>
      </c>
      <c r="T39" s="232">
        <f t="shared" si="41"/>
        <v>28</v>
      </c>
      <c r="U39" s="232">
        <f t="shared" si="41"/>
        <v>32</v>
      </c>
      <c r="V39" s="232">
        <f t="shared" si="41"/>
        <v>36</v>
      </c>
      <c r="W39" s="232">
        <f t="shared" si="41"/>
        <v>36</v>
      </c>
      <c r="X39" s="233">
        <f t="shared" si="41"/>
        <v>36</v>
      </c>
      <c r="Y39" s="234">
        <f>if(isblank(X40),"",X39-N39)</f>
        <v>14</v>
      </c>
      <c r="Z39" s="234">
        <f>if(isblank(X40),0,X39)</f>
        <v>36</v>
      </c>
      <c r="AA39" s="236">
        <f>X42</f>
        <v>1</v>
      </c>
      <c r="AB39" s="1"/>
    </row>
    <row r="40">
      <c r="A40" s="237"/>
      <c r="B40" s="39"/>
      <c r="C40" s="238" t="s">
        <v>170</v>
      </c>
      <c r="D40" s="239"/>
      <c r="E40" s="240">
        <f>vlookup('ROUND 2 - FOURBALL'!$B44,'ROUND 2 - FOURBALL'!$B:$AC,7,false)</f>
        <v>4</v>
      </c>
      <c r="F40" s="241">
        <f>vlookup('ROUND 2 - FOURBALL'!$B44,'ROUND 2 - FOURBALL'!$B:$AC,8,false)</f>
        <v>4</v>
      </c>
      <c r="G40" s="241">
        <f>vlookup('ROUND 2 - FOURBALL'!$B44,'ROUND 2 - FOURBALL'!$B:$AC,9,false)</f>
        <v>5</v>
      </c>
      <c r="H40" s="241">
        <f>vlookup('ROUND 2 - FOURBALL'!$B44,'ROUND 2 - FOURBALL'!$B:$AC,10,false)</f>
        <v>3</v>
      </c>
      <c r="I40" s="241">
        <f>vlookup('ROUND 2 - FOURBALL'!$B44,'ROUND 2 - FOURBALL'!$B:$AC,11,false)</f>
        <v>4</v>
      </c>
      <c r="J40" s="241">
        <f>vlookup('ROUND 2 - FOURBALL'!$B44,'ROUND 2 - FOURBALL'!$B:$AC,12,false)</f>
        <v>5</v>
      </c>
      <c r="K40" s="241">
        <f>vlookup('ROUND 2 - FOURBALL'!$B44,'ROUND 2 - FOURBALL'!$B:$AC,13,false)</f>
        <v>5</v>
      </c>
      <c r="L40" s="241">
        <f>vlookup('ROUND 2 - FOURBALL'!$B44,'ROUND 2 - FOURBALL'!$B:$AC,14,false)</f>
        <v>4</v>
      </c>
      <c r="M40" s="242">
        <f>vlookup('ROUND 2 - FOURBALL'!$B44,'ROUND 2 - FOURBALL'!$B:$AC,15,false)</f>
        <v>5</v>
      </c>
      <c r="N40" s="243">
        <f>if(isblank(M40),"",sum(E40:M40))</f>
        <v>39</v>
      </c>
      <c r="O40" s="244"/>
      <c r="P40" s="240">
        <f>vlookup('ROUND 2 - FOURBALL'!$B44,'ROUND 2 - FOURBALL'!$B:$AC,18,false)</f>
        <v>4</v>
      </c>
      <c r="Q40" s="241">
        <f>vlookup('ROUND 2 - FOURBALL'!$B44,'ROUND 2 - FOURBALL'!$B:$AC,19,false)</f>
        <v>3</v>
      </c>
      <c r="R40" s="241">
        <f>vlookup('ROUND 2 - FOURBALL'!$B44,'ROUND 2 - FOURBALL'!$B:$AC,20,false)</f>
        <v>6</v>
      </c>
      <c r="S40" s="241">
        <f>vlookup('ROUND 2 - FOURBALL'!$B44,'ROUND 2 - FOURBALL'!$B:$AC,21,false)</f>
        <v>6</v>
      </c>
      <c r="T40" s="241">
        <f>vlookup('ROUND 2 - FOURBALL'!$B44,'ROUND 2 - FOURBALL'!$B:$AC,22,false)</f>
        <v>5</v>
      </c>
      <c r="U40" s="241">
        <f>vlookup('ROUND 2 - FOURBALL'!$B44,'ROUND 2 - FOURBALL'!$B:$AC,23,false)</f>
        <v>4</v>
      </c>
      <c r="V40" s="241">
        <f>vlookup('ROUND 2 - FOURBALL'!$B44,'ROUND 2 - FOURBALL'!$B:$AC,24,false)</f>
        <v>4</v>
      </c>
      <c r="W40" s="241">
        <f>vlookup('ROUND 2 - FOURBALL'!$B44,'ROUND 2 - FOURBALL'!$B:$AC,25,false)</f>
        <v>4</v>
      </c>
      <c r="X40" s="242">
        <f>vlookup('ROUND 2 - FOURBALL'!$B44,'ROUND 2 - FOURBALL'!$B:$AC,26,false)</f>
        <v>6</v>
      </c>
      <c r="Y40" s="243">
        <f>if(isblank(X40),"",sum(P40:X40))</f>
        <v>42</v>
      </c>
      <c r="Z40" s="245">
        <f>if(isblank(X40),"",sum(N40,Y40))</f>
        <v>81</v>
      </c>
      <c r="AA40" s="246"/>
      <c r="AB40" s="39"/>
    </row>
    <row r="41">
      <c r="A41" s="237"/>
      <c r="B41" s="39"/>
      <c r="C41" s="247" t="s">
        <v>171</v>
      </c>
      <c r="D41" s="248"/>
      <c r="E41" s="249">
        <f t="shared" ref="E41:M41" si="42">if(isblank(E40),"",if(and(18-$D39&lt;0,18+E$7&lt;$D39),E40-2-E$6,if(or(E$7&lt;$D39,E$7=$D39),E40-1-E$6,E40-E$6)))</f>
        <v>-1</v>
      </c>
      <c r="F41" s="250">
        <f t="shared" si="42"/>
        <v>0</v>
      </c>
      <c r="G41" s="250">
        <f t="shared" si="42"/>
        <v>0</v>
      </c>
      <c r="H41" s="250">
        <f t="shared" si="42"/>
        <v>0</v>
      </c>
      <c r="I41" s="250">
        <f t="shared" si="42"/>
        <v>0</v>
      </c>
      <c r="J41" s="250">
        <f t="shared" si="42"/>
        <v>0</v>
      </c>
      <c r="K41" s="250">
        <f t="shared" si="42"/>
        <v>0</v>
      </c>
      <c r="L41" s="250">
        <f t="shared" si="42"/>
        <v>1</v>
      </c>
      <c r="M41" s="251">
        <f t="shared" si="42"/>
        <v>-1</v>
      </c>
      <c r="N41" s="243">
        <f>if(isblank(M40),"",if(or(N$7&lt;$D39,N$7=$D39),N40-1-N$6,N40-N$6))</f>
        <v>2</v>
      </c>
      <c r="O41" s="244"/>
      <c r="P41" s="249">
        <f t="shared" ref="P41:X41" si="43">if(isblank(P40),"",if(and(18-$D39&lt;0,18+P$7&lt;$D39),P40-2-P$6,if(or(P$7&lt;$D39,P$7=$D39),P40-1-P$6,P40-P$6)))</f>
        <v>0</v>
      </c>
      <c r="Q41" s="250">
        <f t="shared" si="43"/>
        <v>0</v>
      </c>
      <c r="R41" s="250">
        <f t="shared" si="43"/>
        <v>0</v>
      </c>
      <c r="S41" s="250">
        <f t="shared" si="43"/>
        <v>2</v>
      </c>
      <c r="T41" s="250">
        <f t="shared" si="43"/>
        <v>-1</v>
      </c>
      <c r="U41" s="250">
        <f t="shared" si="43"/>
        <v>0</v>
      </c>
      <c r="V41" s="250">
        <f t="shared" si="43"/>
        <v>-1</v>
      </c>
      <c r="W41" s="250">
        <f t="shared" si="43"/>
        <v>1</v>
      </c>
      <c r="X41" s="251">
        <f t="shared" si="43"/>
        <v>1</v>
      </c>
      <c r="Y41" s="243">
        <f>if(isblank(X40),"",if(or(Y$7&lt;$D39,Y$7=$D39),Y40-1-Y$6,Y40-Y$6))</f>
        <v>5</v>
      </c>
      <c r="Z41" s="252">
        <f>if(isblank(X40),"",sum(N41,Y41))</f>
        <v>7</v>
      </c>
      <c r="AA41" s="42"/>
      <c r="AB41" s="39"/>
    </row>
    <row r="42">
      <c r="B42" s="1"/>
      <c r="C42" s="253" t="s">
        <v>172</v>
      </c>
      <c r="D42" s="253">
        <f>vlookup($C39,'TILT Round 1'!$C:$AA,25,false)</f>
        <v>1</v>
      </c>
      <c r="E42" s="255">
        <f t="shared" ref="E42:M42" si="44">if(isblank(E40),"",if(E41=-1,D42+1,if(E41=-2,D42+2,if(E41=-3,D42+3,1))))</f>
        <v>2</v>
      </c>
      <c r="F42" s="256">
        <f t="shared" si="44"/>
        <v>1</v>
      </c>
      <c r="G42" s="256">
        <f t="shared" si="44"/>
        <v>1</v>
      </c>
      <c r="H42" s="256">
        <f t="shared" si="44"/>
        <v>1</v>
      </c>
      <c r="I42" s="256">
        <f t="shared" si="44"/>
        <v>1</v>
      </c>
      <c r="J42" s="256">
        <f t="shared" si="44"/>
        <v>1</v>
      </c>
      <c r="K42" s="256">
        <f t="shared" si="44"/>
        <v>1</v>
      </c>
      <c r="L42" s="256">
        <f t="shared" si="44"/>
        <v>1</v>
      </c>
      <c r="M42" s="257">
        <f t="shared" si="44"/>
        <v>2</v>
      </c>
      <c r="N42" s="258"/>
      <c r="O42" s="259">
        <f>if(isblank(N40),"",if(N41=-1,M42+1,if(N41=-2,M42+2,if(N41=-3,M42+3,1))))</f>
        <v>1</v>
      </c>
      <c r="P42" s="255">
        <f t="shared" ref="P42:X42" si="45">if(isblank(P40),"",if(P41=-1,O42+1,if(P41=-2,O42+2,if(P41=-3,O42+3,1))))</f>
        <v>1</v>
      </c>
      <c r="Q42" s="256">
        <f t="shared" si="45"/>
        <v>1</v>
      </c>
      <c r="R42" s="256">
        <f t="shared" si="45"/>
        <v>1</v>
      </c>
      <c r="S42" s="256">
        <f t="shared" si="45"/>
        <v>1</v>
      </c>
      <c r="T42" s="256">
        <f t="shared" si="45"/>
        <v>2</v>
      </c>
      <c r="U42" s="256">
        <f t="shared" si="45"/>
        <v>1</v>
      </c>
      <c r="V42" s="256">
        <f t="shared" si="45"/>
        <v>2</v>
      </c>
      <c r="W42" s="256">
        <f t="shared" si="45"/>
        <v>1</v>
      </c>
      <c r="X42" s="257">
        <f t="shared" si="45"/>
        <v>1</v>
      </c>
      <c r="Y42" s="258"/>
      <c r="Z42" s="234">
        <f>if(isblank(Y40),"",if(Y41=-1,X42+1,if(Y41=-2,X42+2,if(Y41=-3,X42+3,1))))</f>
        <v>1</v>
      </c>
      <c r="AA42" s="236"/>
      <c r="AB42" s="1"/>
    </row>
    <row r="43">
      <c r="B43" s="1"/>
      <c r="C43" s="261"/>
      <c r="D43" s="261"/>
      <c r="E43" s="262"/>
      <c r="F43" s="262"/>
      <c r="G43" s="262"/>
      <c r="H43" s="263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3"/>
      <c r="W43" s="262"/>
      <c r="X43" s="262"/>
      <c r="Y43" s="262"/>
      <c r="Z43" s="234"/>
      <c r="AA43" s="236"/>
      <c r="AB43" s="1"/>
    </row>
    <row r="44">
      <c r="B44" s="1"/>
      <c r="C44" s="229" t="str">
        <f>'ROUND 2 - FOURBALL'!F45</f>
        <v>SLICK</v>
      </c>
      <c r="D44" s="230">
        <f>vlookup($C44,HANDICAPS!$B$33:$G$48,4,false)</f>
        <v>10</v>
      </c>
      <c r="E44" s="231">
        <f>if(isblank(E45),"",if(E46=-3,16*D47,if(E46=-2,8*D47,if(E46=-1,4*D47,if(E46=0,2*D47,if(E46=1,0,if(E46&gt;1,-4*D47))))))+D45)</f>
        <v>4</v>
      </c>
      <c r="F44" s="232">
        <f t="shared" ref="F44:M44" si="46">if(isblank(F45),"",if(F46=-3,16*E47+E44,if(F46=-2,8*E47+E44,if(F46=-1,4*E47+E44,if(F46=0,2*E47+E44,if(F46=1,0+E44,if(F46&gt;1,-4*E47+E44)))))))</f>
        <v>20</v>
      </c>
      <c r="G44" s="232">
        <f t="shared" si="46"/>
        <v>28</v>
      </c>
      <c r="H44" s="232">
        <f t="shared" si="46"/>
        <v>28</v>
      </c>
      <c r="I44" s="232">
        <f t="shared" si="46"/>
        <v>28</v>
      </c>
      <c r="J44" s="232">
        <f t="shared" si="46"/>
        <v>32</v>
      </c>
      <c r="K44" s="232">
        <f t="shared" si="46"/>
        <v>32</v>
      </c>
      <c r="L44" s="232">
        <f t="shared" si="46"/>
        <v>32</v>
      </c>
      <c r="M44" s="233">
        <f t="shared" si="46"/>
        <v>36</v>
      </c>
      <c r="N44" s="234">
        <f>M44</f>
        <v>36</v>
      </c>
      <c r="O44" s="235"/>
      <c r="P44" s="231">
        <f>if(isblank(P45),"",if(P46=-3,16*O47+O45+N44,if(P46=-2,8*O47+O45+N44,if(P46=-1,4*O47+O45+N44,if(P46=0,2*O47+O45+N44,if(P46=1,0+N44,if(P46&gt;1,-4*O47+O45+N44)))))))</f>
        <v>38</v>
      </c>
      <c r="Q44" s="232">
        <f t="shared" ref="Q44:X44" si="47">if(isblank(Q45),"",if(Q46=-3,16*P47+P44,if(Q46=-2,8*P47+P44,if(Q46=-1,4*P47+P44,if(Q46=0,2*P47+P44,if(Q46=1,0+P44,if(Q46&gt;1,-4*P47+P44)))))))</f>
        <v>38</v>
      </c>
      <c r="R44" s="232">
        <f t="shared" si="47"/>
        <v>40</v>
      </c>
      <c r="S44" s="232">
        <f t="shared" si="47"/>
        <v>44</v>
      </c>
      <c r="T44" s="232">
        <f t="shared" si="47"/>
        <v>52</v>
      </c>
      <c r="U44" s="232">
        <f t="shared" si="47"/>
        <v>40</v>
      </c>
      <c r="V44" s="232">
        <f t="shared" si="47"/>
        <v>44</v>
      </c>
      <c r="W44" s="232">
        <f t="shared" si="47"/>
        <v>44</v>
      </c>
      <c r="X44" s="233">
        <f t="shared" si="47"/>
        <v>48</v>
      </c>
      <c r="Y44" s="234">
        <f>if(isblank(X45),"",X44-N44)</f>
        <v>12</v>
      </c>
      <c r="Z44" s="234">
        <f>if(isblank(X45),0,X44)</f>
        <v>48</v>
      </c>
      <c r="AA44" s="236">
        <f>X47</f>
        <v>2</v>
      </c>
      <c r="AB44" s="1"/>
    </row>
    <row r="45">
      <c r="B45" s="1"/>
      <c r="C45" s="238" t="s">
        <v>170</v>
      </c>
      <c r="D45" s="239"/>
      <c r="E45" s="240">
        <f>vlookup('ROUND 2 - FOURBALL'!$B46,'ROUND 2 - FOURBALL'!$B:$AC,7,false)</f>
        <v>4</v>
      </c>
      <c r="F45" s="241">
        <f>vlookup('ROUND 2 - FOURBALL'!$B46,'ROUND 2 - FOURBALL'!$B:$AC,8,false)</f>
        <v>3</v>
      </c>
      <c r="G45" s="241">
        <f>vlookup('ROUND 2 - FOURBALL'!$B46,'ROUND 2 - FOURBALL'!$B:$AC,9,false)</f>
        <v>5</v>
      </c>
      <c r="H45" s="241">
        <f>vlookup('ROUND 2 - FOURBALL'!$B46,'ROUND 2 - FOURBALL'!$B:$AC,10,false)</f>
        <v>4</v>
      </c>
      <c r="I45" s="241">
        <f>vlookup('ROUND 2 - FOURBALL'!$B46,'ROUND 2 - FOURBALL'!$B:$AC,11,false)</f>
        <v>5</v>
      </c>
      <c r="J45" s="241">
        <f>vlookup('ROUND 2 - FOURBALL'!$B46,'ROUND 2 - FOURBALL'!$B:$AC,12,false)</f>
        <v>4</v>
      </c>
      <c r="K45" s="241">
        <f>vlookup('ROUND 2 - FOURBALL'!$B46,'ROUND 2 - FOURBALL'!$B:$AC,13,false)</f>
        <v>6</v>
      </c>
      <c r="L45" s="241">
        <f>vlookup('ROUND 2 - FOURBALL'!$B46,'ROUND 2 - FOURBALL'!$B:$AC,14,false)</f>
        <v>4</v>
      </c>
      <c r="M45" s="242">
        <f>vlookup('ROUND 2 - FOURBALL'!$B46,'ROUND 2 - FOURBALL'!$B:$AC,15,false)</f>
        <v>5</v>
      </c>
      <c r="N45" s="243">
        <f>if(isblank(M45),"",sum(E45:M45))</f>
        <v>40</v>
      </c>
      <c r="O45" s="244"/>
      <c r="P45" s="240">
        <f>vlookup('ROUND 2 - FOURBALL'!$B46,'ROUND 2 - FOURBALL'!$B:$AC,18,false)</f>
        <v>4</v>
      </c>
      <c r="Q45" s="241">
        <f>vlookup('ROUND 2 - FOURBALL'!$B46,'ROUND 2 - FOURBALL'!$B:$AC,19,false)</f>
        <v>4</v>
      </c>
      <c r="R45" s="241">
        <f>vlookup('ROUND 2 - FOURBALL'!$B46,'ROUND 2 - FOURBALL'!$B:$AC,20,false)</f>
        <v>6</v>
      </c>
      <c r="S45" s="241">
        <f>vlookup('ROUND 2 - FOURBALL'!$B46,'ROUND 2 - FOURBALL'!$B:$AC,21,false)</f>
        <v>4</v>
      </c>
      <c r="T45" s="241">
        <f>vlookup('ROUND 2 - FOURBALL'!$B46,'ROUND 2 - FOURBALL'!$B:$AC,22,false)</f>
        <v>5</v>
      </c>
      <c r="U45" s="241">
        <f>vlookup('ROUND 2 - FOURBALL'!$B46,'ROUND 2 - FOURBALL'!$B:$AC,23,false)</f>
        <v>6</v>
      </c>
      <c r="V45" s="241">
        <f>vlookup('ROUND 2 - FOURBALL'!$B46,'ROUND 2 - FOURBALL'!$B:$AC,24,false)</f>
        <v>4</v>
      </c>
      <c r="W45" s="241">
        <f>vlookup('ROUND 2 - FOURBALL'!$B46,'ROUND 2 - FOURBALL'!$B:$AC,25,false)</f>
        <v>4</v>
      </c>
      <c r="X45" s="242">
        <f>vlookup('ROUND 2 - FOURBALL'!$B46,'ROUND 2 - FOURBALL'!$B:$AC,26,false)</f>
        <v>4</v>
      </c>
      <c r="Y45" s="243">
        <f>if(isblank(X45),"",sum(P45:X45))</f>
        <v>41</v>
      </c>
      <c r="Z45" s="245">
        <f>if(isblank(X45),"",sum(N45,Y45))</f>
        <v>81</v>
      </c>
      <c r="AA45" s="264"/>
      <c r="AB45" s="1"/>
    </row>
    <row r="46">
      <c r="B46" s="1"/>
      <c r="C46" s="247" t="s">
        <v>171</v>
      </c>
      <c r="D46" s="248"/>
      <c r="E46" s="249">
        <f t="shared" ref="E46:M46" si="48">if(isblank(E45),"",if(and(18-$D44&lt;0,18+E$7&lt;$D44),E45-2-E$6,if(or(E$7&lt;$D44,E$7=$D44),E45-1-E$6,E45-E$6)))</f>
        <v>-1</v>
      </c>
      <c r="F46" s="250">
        <f t="shared" si="48"/>
        <v>-2</v>
      </c>
      <c r="G46" s="250">
        <f t="shared" si="48"/>
        <v>0</v>
      </c>
      <c r="H46" s="250">
        <f t="shared" si="48"/>
        <v>1</v>
      </c>
      <c r="I46" s="250">
        <f t="shared" si="48"/>
        <v>1</v>
      </c>
      <c r="J46" s="250">
        <f t="shared" si="48"/>
        <v>-1</v>
      </c>
      <c r="K46" s="250">
        <f t="shared" si="48"/>
        <v>1</v>
      </c>
      <c r="L46" s="250">
        <f t="shared" si="48"/>
        <v>1</v>
      </c>
      <c r="M46" s="251">
        <f t="shared" si="48"/>
        <v>-1</v>
      </c>
      <c r="N46" s="243">
        <f>if(isblank(M45),"",if(or(N$7&lt;$D44,N$7=$D44),N45-1-N$6,N45-N$6))</f>
        <v>3</v>
      </c>
      <c r="O46" s="244"/>
      <c r="P46" s="249">
        <f t="shared" ref="P46:X46" si="49">if(isblank(P45),"",if(and(18-$D44&lt;0,18+P$7&lt;$D44),P45-2-P$6,if(or(P$7&lt;$D44,P$7=$D44),P45-1-P$6,P45-P$6)))</f>
        <v>0</v>
      </c>
      <c r="Q46" s="250">
        <f t="shared" si="49"/>
        <v>1</v>
      </c>
      <c r="R46" s="250">
        <f t="shared" si="49"/>
        <v>0</v>
      </c>
      <c r="S46" s="250">
        <f t="shared" si="49"/>
        <v>-1</v>
      </c>
      <c r="T46" s="250">
        <f t="shared" si="49"/>
        <v>-1</v>
      </c>
      <c r="U46" s="250">
        <f t="shared" si="49"/>
        <v>2</v>
      </c>
      <c r="V46" s="250">
        <f t="shared" si="49"/>
        <v>-1</v>
      </c>
      <c r="W46" s="250">
        <f t="shared" si="49"/>
        <v>1</v>
      </c>
      <c r="X46" s="251">
        <f t="shared" si="49"/>
        <v>-1</v>
      </c>
      <c r="Y46" s="243">
        <f>if(isblank(X45),"",if(or(Y$7&lt;$D44,Y$7=$D44),Y45-1-Y$6,Y45-Y$6))</f>
        <v>4</v>
      </c>
      <c r="Z46" s="252">
        <f>if(isblank(X45),"",sum(N46,Y46))</f>
        <v>7</v>
      </c>
      <c r="AA46" s="236"/>
      <c r="AB46" s="1"/>
    </row>
    <row r="47">
      <c r="B47" s="1"/>
      <c r="C47" s="253" t="s">
        <v>172</v>
      </c>
      <c r="D47" s="253">
        <f>vlookup($C44,'TILT Round 1'!$C:$AA,25,false)</f>
        <v>1</v>
      </c>
      <c r="E47" s="255">
        <f t="shared" ref="E47:M47" si="50">if(isblank(E45),"",if(E46=-1,D47+1,if(E46=-2,D47+2,if(E46=-3,D47+3,1))))</f>
        <v>2</v>
      </c>
      <c r="F47" s="256">
        <f t="shared" si="50"/>
        <v>4</v>
      </c>
      <c r="G47" s="256">
        <f t="shared" si="50"/>
        <v>1</v>
      </c>
      <c r="H47" s="256">
        <f t="shared" si="50"/>
        <v>1</v>
      </c>
      <c r="I47" s="256">
        <f t="shared" si="50"/>
        <v>1</v>
      </c>
      <c r="J47" s="256">
        <f t="shared" si="50"/>
        <v>2</v>
      </c>
      <c r="K47" s="256">
        <f t="shared" si="50"/>
        <v>1</v>
      </c>
      <c r="L47" s="256">
        <f t="shared" si="50"/>
        <v>1</v>
      </c>
      <c r="M47" s="257">
        <f t="shared" si="50"/>
        <v>2</v>
      </c>
      <c r="N47" s="258"/>
      <c r="O47" s="259">
        <f>if(isblank(N45),"",if(N46=-1,M47+1,if(N46=-2,M47+2,if(N46=-3,M47+3,1))))</f>
        <v>1</v>
      </c>
      <c r="P47" s="255">
        <f t="shared" ref="P47:X47" si="51">if(isblank(P45),"",if(P46=-1,O47+1,if(P46=-2,O47+2,if(P46=-3,O47+3,1))))</f>
        <v>1</v>
      </c>
      <c r="Q47" s="256">
        <f t="shared" si="51"/>
        <v>1</v>
      </c>
      <c r="R47" s="256">
        <f t="shared" si="51"/>
        <v>1</v>
      </c>
      <c r="S47" s="256">
        <f t="shared" si="51"/>
        <v>2</v>
      </c>
      <c r="T47" s="256">
        <f t="shared" si="51"/>
        <v>3</v>
      </c>
      <c r="U47" s="256">
        <f t="shared" si="51"/>
        <v>1</v>
      </c>
      <c r="V47" s="256">
        <f t="shared" si="51"/>
        <v>2</v>
      </c>
      <c r="W47" s="256">
        <f t="shared" si="51"/>
        <v>1</v>
      </c>
      <c r="X47" s="257">
        <f t="shared" si="51"/>
        <v>2</v>
      </c>
      <c r="Y47" s="258"/>
      <c r="Z47" s="234">
        <f>if(isblank(Y45),"",if(Y46=-1,X47+1,if(Y46=-2,X47+2,if(Y46=-3,X47+3,1))))</f>
        <v>1</v>
      </c>
      <c r="AA47" s="236"/>
      <c r="AB47" s="1"/>
    </row>
    <row r="48">
      <c r="B48" s="1"/>
      <c r="C48" s="1"/>
      <c r="D48" s="1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36"/>
      <c r="AB48" s="1"/>
    </row>
    <row r="49">
      <c r="B49" s="1"/>
      <c r="C49" s="229" t="str">
        <f>'ROUND 2 - FOURBALL'!F60</f>
        <v>PAXTON</v>
      </c>
      <c r="D49" s="230">
        <f>vlookup($C49,HANDICAPS!$B$33:$G$48,4,false)</f>
        <v>12</v>
      </c>
      <c r="E49" s="231">
        <f>if(isblank(E50),"",if(E51=-3,16*D52,if(E51=-2,8*D52,if(E51=-1,4*D52,if(E51=0,2*D52,if(E51=1,0,if(E51&gt;1,-4*D52))))))+D50)</f>
        <v>2</v>
      </c>
      <c r="F49" s="232">
        <f t="shared" ref="F49:M49" si="52">if(isblank(F50),"",if(F51=-3,16*E52+E49,if(F51=-2,8*E52+E49,if(F51=-1,4*E52+E49,if(F51=0,2*E52+E49,if(F51=1,0+E49,if(F51&gt;1,-4*E52+E49)))))))</f>
        <v>2</v>
      </c>
      <c r="G49" s="232">
        <f t="shared" si="52"/>
        <v>6</v>
      </c>
      <c r="H49" s="232">
        <f t="shared" si="52"/>
        <v>10</v>
      </c>
      <c r="I49" s="232">
        <f t="shared" si="52"/>
        <v>14</v>
      </c>
      <c r="J49" s="232">
        <f t="shared" si="52"/>
        <v>22</v>
      </c>
      <c r="K49" s="232">
        <f t="shared" si="52"/>
        <v>10</v>
      </c>
      <c r="L49" s="232">
        <f t="shared" si="52"/>
        <v>12</v>
      </c>
      <c r="M49" s="233">
        <f t="shared" si="52"/>
        <v>8</v>
      </c>
      <c r="N49" s="234">
        <f>M49</f>
        <v>8</v>
      </c>
      <c r="O49" s="235"/>
      <c r="P49" s="231">
        <f>if(isblank(P50),"",if(P51=-3,16*O52+O50+N49,if(P51=-2,8*O52+O50+N49,if(P51=-1,4*O52+O50+N49,if(P51=0,2*O52+O50+N49,if(P51=1,0+N49,if(P51&gt;1,-4*O52+O50+N49)))))))</f>
        <v>4</v>
      </c>
      <c r="Q49" s="232">
        <f t="shared" ref="Q49:X49" si="53">if(isblank(Q50),"",if(Q51=-3,16*P52+P49,if(Q51=-2,8*P52+P49,if(Q51=-1,4*P52+P49,if(Q51=0,2*P52+P49,if(Q51=1,0+P49,if(Q51&gt;1,-4*P52+P49)))))))</f>
        <v>4</v>
      </c>
      <c r="R49" s="232">
        <f t="shared" si="53"/>
        <v>4</v>
      </c>
      <c r="S49" s="232">
        <f t="shared" si="53"/>
        <v>8</v>
      </c>
      <c r="T49" s="232">
        <f t="shared" si="53"/>
        <v>0</v>
      </c>
      <c r="U49" s="232">
        <f t="shared" si="53"/>
        <v>0</v>
      </c>
      <c r="V49" s="232">
        <f t="shared" si="53"/>
        <v>2</v>
      </c>
      <c r="W49" s="232">
        <f t="shared" si="53"/>
        <v>-2</v>
      </c>
      <c r="X49" s="233">
        <f t="shared" si="53"/>
        <v>0</v>
      </c>
      <c r="Y49" s="234">
        <f>if(isblank(X50),"",X49-N49)</f>
        <v>-8</v>
      </c>
      <c r="Z49" s="234">
        <f>if(isblank(X50),0,X49)</f>
        <v>0</v>
      </c>
      <c r="AA49" s="236">
        <f>X52</f>
        <v>1</v>
      </c>
      <c r="AB49" s="1"/>
    </row>
    <row r="50">
      <c r="A50" s="237"/>
      <c r="B50" s="39"/>
      <c r="C50" s="238" t="s">
        <v>170</v>
      </c>
      <c r="D50" s="239"/>
      <c r="E50" s="240">
        <f>vlookup('ROUND 2 - FOURBALL'!$B61,'ROUND 2 - FOURBALL'!$B:$AC,7,false)</f>
        <v>5</v>
      </c>
      <c r="F50" s="241">
        <f>vlookup('ROUND 2 - FOURBALL'!$B61,'ROUND 2 - FOURBALL'!$B:$AC,8,false)</f>
        <v>6</v>
      </c>
      <c r="G50" s="241">
        <f>vlookup('ROUND 2 - FOURBALL'!$B61,'ROUND 2 - FOURBALL'!$B:$AC,9,false)</f>
        <v>4</v>
      </c>
      <c r="H50" s="241">
        <f>vlookup('ROUND 2 - FOURBALL'!$B61,'ROUND 2 - FOURBALL'!$B:$AC,10,false)</f>
        <v>3</v>
      </c>
      <c r="I50" s="241">
        <f>vlookup('ROUND 2 - FOURBALL'!$B61,'ROUND 2 - FOURBALL'!$B:$AC,11,false)</f>
        <v>4</v>
      </c>
      <c r="J50" s="241">
        <f>vlookup('ROUND 2 - FOURBALL'!$B61,'ROUND 2 - FOURBALL'!$B:$AC,12,false)</f>
        <v>4</v>
      </c>
      <c r="K50" s="241">
        <f>vlookup('ROUND 2 - FOURBALL'!$B61,'ROUND 2 - FOURBALL'!$B:$AC,13,false)</f>
        <v>7</v>
      </c>
      <c r="L50" s="241">
        <f>vlookup('ROUND 2 - FOURBALL'!$B61,'ROUND 2 - FOURBALL'!$B:$AC,14,false)</f>
        <v>3</v>
      </c>
      <c r="M50" s="242">
        <f>vlookup('ROUND 2 - FOURBALL'!$B61,'ROUND 2 - FOURBALL'!$B:$AC,15,false)</f>
        <v>8</v>
      </c>
      <c r="N50" s="243">
        <f>if(isblank(M50),"",sum(E50:M50))</f>
        <v>44</v>
      </c>
      <c r="O50" s="244"/>
      <c r="P50" s="240">
        <f>vlookup('ROUND 2 - FOURBALL'!$B61,'ROUND 2 - FOURBALL'!$B:$AC,18,false)</f>
        <v>6</v>
      </c>
      <c r="Q50" s="241">
        <f>vlookup('ROUND 2 - FOURBALL'!$B61,'ROUND 2 - FOURBALL'!$B:$AC,19,false)</f>
        <v>4</v>
      </c>
      <c r="R50" s="241">
        <f>vlookup('ROUND 2 - FOURBALL'!$B61,'ROUND 2 - FOURBALL'!$B:$AC,20,false)</f>
        <v>7</v>
      </c>
      <c r="S50" s="241">
        <f>vlookup('ROUND 2 - FOURBALL'!$B61,'ROUND 2 - FOURBALL'!$B:$AC,21,false)</f>
        <v>4</v>
      </c>
      <c r="T50" s="241">
        <f>vlookup('ROUND 2 - FOURBALL'!$B61,'ROUND 2 - FOURBALL'!$B:$AC,22,false)</f>
        <v>8</v>
      </c>
      <c r="U50" s="241">
        <f>vlookup('ROUND 2 - FOURBALL'!$B61,'ROUND 2 - FOURBALL'!$B:$AC,23,false)</f>
        <v>6</v>
      </c>
      <c r="V50" s="241">
        <f>vlookup('ROUND 2 - FOURBALL'!$B61,'ROUND 2 - FOURBALL'!$B:$AC,24,false)</f>
        <v>5</v>
      </c>
      <c r="W50" s="241">
        <f>vlookup('ROUND 2 - FOURBALL'!$B61,'ROUND 2 - FOURBALL'!$B:$AC,25,false)</f>
        <v>5</v>
      </c>
      <c r="X50" s="242">
        <f>vlookup('ROUND 2 - FOURBALL'!$B61,'ROUND 2 - FOURBALL'!$B:$AC,26,false)</f>
        <v>5</v>
      </c>
      <c r="Y50" s="243">
        <f>if(isblank(X50),"",sum(P50:X50))</f>
        <v>50</v>
      </c>
      <c r="Z50" s="245">
        <f>if(isblank(X50),"",sum(N50,Y50))</f>
        <v>94</v>
      </c>
      <c r="AA50" s="42"/>
      <c r="AB50" s="39"/>
    </row>
    <row r="51">
      <c r="A51" s="237"/>
      <c r="B51" s="39"/>
      <c r="C51" s="247" t="s">
        <v>171</v>
      </c>
      <c r="D51" s="248"/>
      <c r="E51" s="249">
        <f t="shared" ref="E51:M51" si="54">if(isblank(E50),"",if(and(18-$D49&lt;0,18+E$7&lt;$D49),E50-2-E$6,if(or(E$7&lt;$D49,E$7=$D49),E50-1-E$6,E50-E$6)))</f>
        <v>0</v>
      </c>
      <c r="F51" s="250">
        <f t="shared" si="54"/>
        <v>1</v>
      </c>
      <c r="G51" s="250">
        <f t="shared" si="54"/>
        <v>-1</v>
      </c>
      <c r="H51" s="250">
        <f t="shared" si="54"/>
        <v>0</v>
      </c>
      <c r="I51" s="250">
        <f t="shared" si="54"/>
        <v>-1</v>
      </c>
      <c r="J51" s="250">
        <f t="shared" si="54"/>
        <v>-1</v>
      </c>
      <c r="K51" s="250">
        <f t="shared" si="54"/>
        <v>2</v>
      </c>
      <c r="L51" s="250">
        <f t="shared" si="54"/>
        <v>0</v>
      </c>
      <c r="M51" s="251">
        <f t="shared" si="54"/>
        <v>2</v>
      </c>
      <c r="N51" s="243">
        <f>if(isblank(M50),"",if(or(N$7&lt;$D49,N$7=$D49),N50-1-N$6,N50-N$6))</f>
        <v>7</v>
      </c>
      <c r="O51" s="244"/>
      <c r="P51" s="249">
        <f t="shared" ref="P51:X51" si="55">if(isblank(P50),"",if(and(18-$D49&lt;0,18+P$7&lt;$D49),P50-2-P$6,if(or(P$7&lt;$D49,P$7=$D49),P50-1-P$6,P50-P$6)))</f>
        <v>2</v>
      </c>
      <c r="Q51" s="250">
        <f t="shared" si="55"/>
        <v>1</v>
      </c>
      <c r="R51" s="250">
        <f t="shared" si="55"/>
        <v>1</v>
      </c>
      <c r="S51" s="250">
        <f t="shared" si="55"/>
        <v>-1</v>
      </c>
      <c r="T51" s="250">
        <f t="shared" si="55"/>
        <v>2</v>
      </c>
      <c r="U51" s="250">
        <f t="shared" si="55"/>
        <v>1</v>
      </c>
      <c r="V51" s="250">
        <f t="shared" si="55"/>
        <v>0</v>
      </c>
      <c r="W51" s="250">
        <f t="shared" si="55"/>
        <v>2</v>
      </c>
      <c r="X51" s="251">
        <f t="shared" si="55"/>
        <v>0</v>
      </c>
      <c r="Y51" s="243">
        <f>if(isblank(X50),"",if(or(Y$7&lt;$D49,Y$7=$D49),Y50-1-Y$6,Y50-Y$6))</f>
        <v>13</v>
      </c>
      <c r="Z51" s="252">
        <f>if(isblank(X50),"",sum(N51,Y51))</f>
        <v>20</v>
      </c>
      <c r="AA51" s="42"/>
      <c r="AB51" s="39"/>
    </row>
    <row r="52">
      <c r="B52" s="1"/>
      <c r="C52" s="253" t="s">
        <v>172</v>
      </c>
      <c r="D52" s="253">
        <f>vlookup($C49,'TILT Round 1'!$C:$AA,25,false)</f>
        <v>1</v>
      </c>
      <c r="E52" s="255">
        <f t="shared" ref="E52:M52" si="56">if(isblank(E50),"",if(E51=-1,D52+1,if(E51=-2,D52+2,if(E51=-3,D52+3,1))))</f>
        <v>1</v>
      </c>
      <c r="F52" s="256">
        <f t="shared" si="56"/>
        <v>1</v>
      </c>
      <c r="G52" s="256">
        <f t="shared" si="56"/>
        <v>2</v>
      </c>
      <c r="H52" s="256">
        <f t="shared" si="56"/>
        <v>1</v>
      </c>
      <c r="I52" s="256">
        <f t="shared" si="56"/>
        <v>2</v>
      </c>
      <c r="J52" s="256">
        <f t="shared" si="56"/>
        <v>3</v>
      </c>
      <c r="K52" s="256">
        <f t="shared" si="56"/>
        <v>1</v>
      </c>
      <c r="L52" s="256">
        <f t="shared" si="56"/>
        <v>1</v>
      </c>
      <c r="M52" s="257">
        <f t="shared" si="56"/>
        <v>1</v>
      </c>
      <c r="N52" s="258"/>
      <c r="O52" s="259">
        <f>if(isblank(N50),"",if(N51=-1,M52+1,if(N51=-2,M52+2,if(N51=-3,M52+3,1))))</f>
        <v>1</v>
      </c>
      <c r="P52" s="255">
        <f t="shared" ref="P52:X52" si="57">if(isblank(P50),"",if(P51=-1,O52+1,if(P51=-2,O52+2,if(P51=-3,O52+3,1))))</f>
        <v>1</v>
      </c>
      <c r="Q52" s="256">
        <f t="shared" si="57"/>
        <v>1</v>
      </c>
      <c r="R52" s="256">
        <f t="shared" si="57"/>
        <v>1</v>
      </c>
      <c r="S52" s="256">
        <f t="shared" si="57"/>
        <v>2</v>
      </c>
      <c r="T52" s="256">
        <f t="shared" si="57"/>
        <v>1</v>
      </c>
      <c r="U52" s="256">
        <f t="shared" si="57"/>
        <v>1</v>
      </c>
      <c r="V52" s="256">
        <f t="shared" si="57"/>
        <v>1</v>
      </c>
      <c r="W52" s="256">
        <f t="shared" si="57"/>
        <v>1</v>
      </c>
      <c r="X52" s="257">
        <f t="shared" si="57"/>
        <v>1</v>
      </c>
      <c r="Y52" s="258"/>
      <c r="Z52" s="234">
        <f>if(isblank(Y50),"",if(Y51=-1,X52+1,if(Y51=-2,X52+2,if(Y51=-3,X52+3,1))))</f>
        <v>1</v>
      </c>
      <c r="AA52" s="236"/>
      <c r="AB52" s="1"/>
    </row>
    <row r="53">
      <c r="B53" s="1"/>
      <c r="C53" s="261"/>
      <c r="D53" s="261"/>
      <c r="E53" s="262"/>
      <c r="F53" s="262"/>
      <c r="G53" s="262"/>
      <c r="H53" s="263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3"/>
      <c r="W53" s="262"/>
      <c r="X53" s="262"/>
      <c r="Y53" s="262"/>
      <c r="Z53" s="262"/>
      <c r="AA53" s="236"/>
      <c r="AB53" s="1"/>
    </row>
    <row r="54">
      <c r="B54" s="1"/>
      <c r="C54" s="229" t="str">
        <f>'ROUND 2 - FOURBALL'!F62</f>
        <v>ERIC</v>
      </c>
      <c r="D54" s="230">
        <f>vlookup($C54,HANDICAPS!$B$33:$G$48,4,false)</f>
        <v>16</v>
      </c>
      <c r="E54" s="231">
        <f>if(isblank(E55),"",if(E56=-3,16*D57,if(E56=-2,8*D57,if(E56=-1,4*D57,if(E56=0,2*D57,if(E56=1,0,if(E56&gt;1,-4*D57))))))+D55)</f>
        <v>4</v>
      </c>
      <c r="F54" s="232">
        <f t="shared" ref="F54:M54" si="58">if(isblank(F55),"",if(F56=-3,16*E57+E54,if(F56=-2,8*E57+E54,if(F56=-1,4*E57+E54,if(F56=0,2*E57+E54,if(F56=1,0+E54,if(F56&gt;1,-4*E57+E54)))))))</f>
        <v>6</v>
      </c>
      <c r="G54" s="232">
        <f t="shared" si="58"/>
        <v>2</v>
      </c>
      <c r="H54" s="232">
        <f t="shared" si="58"/>
        <v>4</v>
      </c>
      <c r="I54" s="232">
        <f t="shared" si="58"/>
        <v>4</v>
      </c>
      <c r="J54" s="232">
        <f t="shared" si="58"/>
        <v>6</v>
      </c>
      <c r="K54" s="232">
        <f t="shared" si="58"/>
        <v>6</v>
      </c>
      <c r="L54" s="232">
        <f t="shared" si="58"/>
        <v>6</v>
      </c>
      <c r="M54" s="233">
        <f t="shared" si="58"/>
        <v>10</v>
      </c>
      <c r="N54" s="234">
        <f>M54</f>
        <v>10</v>
      </c>
      <c r="O54" s="235"/>
      <c r="P54" s="231">
        <f>if(isblank(P55),"",if(P56=-3,16*O57+O55+N54,if(P56=-2,8*O57+O55+N54,if(P56=-1,4*O57+O55+N54,if(P56=0,2*O57+O55+N54,if(P56=1,0+N54,if(P56&gt;1,-4*O57+O55+N54)))))))</f>
        <v>12</v>
      </c>
      <c r="Q54" s="232">
        <f t="shared" ref="Q54:X54" si="59">if(isblank(Q55),"",if(Q56=-3,16*P57+P54,if(Q56=-2,8*P57+P54,if(Q56=-1,4*P57+P54,if(Q56=0,2*P57+P54,if(Q56=1,0+P54,if(Q56&gt;1,-4*P57+P54)))))))</f>
        <v>14</v>
      </c>
      <c r="R54" s="232">
        <f t="shared" si="59"/>
        <v>14</v>
      </c>
      <c r="S54" s="232">
        <f t="shared" si="59"/>
        <v>14</v>
      </c>
      <c r="T54" s="232">
        <f t="shared" si="59"/>
        <v>22</v>
      </c>
      <c r="U54" s="232">
        <f t="shared" si="59"/>
        <v>34</v>
      </c>
      <c r="V54" s="232">
        <f t="shared" si="59"/>
        <v>34</v>
      </c>
      <c r="W54" s="232">
        <f t="shared" si="59"/>
        <v>36</v>
      </c>
      <c r="X54" s="233">
        <f t="shared" si="59"/>
        <v>36</v>
      </c>
      <c r="Y54" s="234">
        <f>if(isblank(X55),"",X54-N54)</f>
        <v>26</v>
      </c>
      <c r="Z54" s="234">
        <f>if(isblank(X55),0,X54)</f>
        <v>36</v>
      </c>
      <c r="AA54" s="236">
        <f>X57</f>
        <v>1</v>
      </c>
      <c r="AB54" s="1"/>
    </row>
    <row r="55">
      <c r="B55" s="1"/>
      <c r="C55" s="238" t="s">
        <v>170</v>
      </c>
      <c r="D55" s="239"/>
      <c r="E55" s="240">
        <f>vlookup('ROUND 2 - FOURBALL'!$B63,'ROUND 2 - FOURBALL'!$B:$AC,7,false)</f>
        <v>5</v>
      </c>
      <c r="F55" s="241">
        <f>vlookup('ROUND 2 - FOURBALL'!$B63,'ROUND 2 - FOURBALL'!$B:$AC,8,false)</f>
        <v>5</v>
      </c>
      <c r="G55" s="241">
        <f>vlookup('ROUND 2 - FOURBALL'!$B63,'ROUND 2 - FOURBALL'!$B:$AC,9,false)</f>
        <v>8</v>
      </c>
      <c r="H55" s="241">
        <f>vlookup('ROUND 2 - FOURBALL'!$B63,'ROUND 2 - FOURBALL'!$B:$AC,10,false)</f>
        <v>3</v>
      </c>
      <c r="I55" s="241">
        <f>vlookup('ROUND 2 - FOURBALL'!$B63,'ROUND 2 - FOURBALL'!$B:$AC,11,false)</f>
        <v>6</v>
      </c>
      <c r="J55" s="241">
        <f>vlookup('ROUND 2 - FOURBALL'!$B63,'ROUND 2 - FOURBALL'!$B:$AC,12,false)</f>
        <v>5</v>
      </c>
      <c r="K55" s="241">
        <f>vlookup('ROUND 2 - FOURBALL'!$B63,'ROUND 2 - FOURBALL'!$B:$AC,13,false)</f>
        <v>7</v>
      </c>
      <c r="L55" s="241">
        <f>vlookup('ROUND 2 - FOURBALL'!$B63,'ROUND 2 - FOURBALL'!$B:$AC,14,false)</f>
        <v>5</v>
      </c>
      <c r="M55" s="242">
        <f>vlookup('ROUND 2 - FOURBALL'!$B63,'ROUND 2 - FOURBALL'!$B:$AC,15,false)</f>
        <v>5</v>
      </c>
      <c r="N55" s="243">
        <f>if(isblank(M55),"",sum(E55:M55))</f>
        <v>49</v>
      </c>
      <c r="O55" s="244"/>
      <c r="P55" s="240">
        <f>vlookup('ROUND 2 - FOURBALL'!$B63,'ROUND 2 - FOURBALL'!$B:$AC,18,false)</f>
        <v>5</v>
      </c>
      <c r="Q55" s="241">
        <f>vlookup('ROUND 2 - FOURBALL'!$B63,'ROUND 2 - FOURBALL'!$B:$AC,19,false)</f>
        <v>3</v>
      </c>
      <c r="R55" s="241">
        <f>vlookup('ROUND 2 - FOURBALL'!$B63,'ROUND 2 - FOURBALL'!$B:$AC,20,false)</f>
        <v>7</v>
      </c>
      <c r="S55" s="241">
        <f>vlookup('ROUND 2 - FOURBALL'!$B63,'ROUND 2 - FOURBALL'!$B:$AC,21,false)</f>
        <v>6</v>
      </c>
      <c r="T55" s="241">
        <f>vlookup('ROUND 2 - FOURBALL'!$B63,'ROUND 2 - FOURBALL'!$B:$AC,22,false)</f>
        <v>4</v>
      </c>
      <c r="U55" s="241">
        <f>vlookup('ROUND 2 - FOURBALL'!$B63,'ROUND 2 - FOURBALL'!$B:$AC,23,false)</f>
        <v>4</v>
      </c>
      <c r="V55" s="241">
        <f>vlookup('ROUND 2 - FOURBALL'!$B63,'ROUND 2 - FOURBALL'!$B:$AC,24,false)</f>
        <v>6</v>
      </c>
      <c r="W55" s="241">
        <f>vlookup('ROUND 2 - FOURBALL'!$B63,'ROUND 2 - FOURBALL'!$B:$AC,25,false)</f>
        <v>4</v>
      </c>
      <c r="X55" s="242">
        <f>vlookup('ROUND 2 - FOURBALL'!$B63,'ROUND 2 - FOURBALL'!$B:$AC,26,false)</f>
        <v>6</v>
      </c>
      <c r="Y55" s="243">
        <f>if(isblank(X55),"",sum(P55:X55))</f>
        <v>45</v>
      </c>
      <c r="Z55" s="245">
        <f>if(isblank(X55),"",sum(N55,Y55))</f>
        <v>94</v>
      </c>
      <c r="AA55" s="236"/>
      <c r="AB55" s="1"/>
    </row>
    <row r="56">
      <c r="B56" s="1"/>
      <c r="C56" s="247"/>
      <c r="D56" s="248"/>
      <c r="E56" s="250">
        <f t="shared" ref="E56:M56" si="60">if(isblank(E55),"",if(and(18-$D54&lt;0,18+E$7&lt;$D54),E55-2-E$6,if(or(E$7&lt;$D54,E$7=$D54),E55-1-E$6,E55-E$6)))</f>
        <v>0</v>
      </c>
      <c r="F56" s="250">
        <f t="shared" si="60"/>
        <v>0</v>
      </c>
      <c r="G56" s="250">
        <f t="shared" si="60"/>
        <v>3</v>
      </c>
      <c r="H56" s="250">
        <f t="shared" si="60"/>
        <v>0</v>
      </c>
      <c r="I56" s="250">
        <f t="shared" si="60"/>
        <v>1</v>
      </c>
      <c r="J56" s="250">
        <f t="shared" si="60"/>
        <v>0</v>
      </c>
      <c r="K56" s="250">
        <f t="shared" si="60"/>
        <v>1</v>
      </c>
      <c r="L56" s="250">
        <f t="shared" si="60"/>
        <v>1</v>
      </c>
      <c r="M56" s="250">
        <f t="shared" si="60"/>
        <v>-1</v>
      </c>
      <c r="N56" s="243">
        <f>if(isblank(M55),"",if(or(N$7&lt;$D54,N$7=$D54),N55-1-N$6,N55-N$6))</f>
        <v>12</v>
      </c>
      <c r="O56" s="244"/>
      <c r="P56" s="249">
        <f t="shared" ref="P56:X56" si="61">if(isblank(P55),"",if(and(18-$D54&lt;0,18+P$7&lt;$D54),P55-2-P$6,if(or(P$7&lt;$D54,P$7=$D54),P55-1-P$6,P55-P$6)))</f>
        <v>0</v>
      </c>
      <c r="Q56" s="250">
        <f t="shared" si="61"/>
        <v>0</v>
      </c>
      <c r="R56" s="250">
        <f t="shared" si="61"/>
        <v>1</v>
      </c>
      <c r="S56" s="250">
        <f t="shared" si="61"/>
        <v>1</v>
      </c>
      <c r="T56" s="250">
        <f t="shared" si="61"/>
        <v>-2</v>
      </c>
      <c r="U56" s="250">
        <f t="shared" si="61"/>
        <v>-1</v>
      </c>
      <c r="V56" s="250">
        <f t="shared" si="61"/>
        <v>1</v>
      </c>
      <c r="W56" s="250">
        <f t="shared" si="61"/>
        <v>0</v>
      </c>
      <c r="X56" s="251">
        <f t="shared" si="61"/>
        <v>1</v>
      </c>
      <c r="Y56" s="243">
        <f>if(isblank(X55),"",if(or(Y$7&lt;$D54,Y$7=$D54),Y55-1-Y$6,Y55-Y$6))</f>
        <v>8</v>
      </c>
      <c r="Z56" s="252">
        <f>if(isblank(X55),"",sum(N56,Y56))</f>
        <v>20</v>
      </c>
      <c r="AA56" s="236"/>
      <c r="AB56" s="1"/>
    </row>
    <row r="57">
      <c r="B57" s="1"/>
      <c r="C57" s="253" t="s">
        <v>172</v>
      </c>
      <c r="D57" s="253">
        <f>vlookup($C54,'TILT Round 1'!$C:$AA,25,false)</f>
        <v>2</v>
      </c>
      <c r="E57" s="255">
        <f t="shared" ref="E57:M57" si="62">if(isblank(E55),"",if(E56=-1,D57+1,if(E56=-2,D57+2,if(E56=-3,D57+3,1))))</f>
        <v>1</v>
      </c>
      <c r="F57" s="256">
        <f t="shared" si="62"/>
        <v>1</v>
      </c>
      <c r="G57" s="256">
        <f t="shared" si="62"/>
        <v>1</v>
      </c>
      <c r="H57" s="256">
        <f t="shared" si="62"/>
        <v>1</v>
      </c>
      <c r="I57" s="256">
        <f t="shared" si="62"/>
        <v>1</v>
      </c>
      <c r="J57" s="256">
        <f t="shared" si="62"/>
        <v>1</v>
      </c>
      <c r="K57" s="256">
        <f t="shared" si="62"/>
        <v>1</v>
      </c>
      <c r="L57" s="256">
        <f t="shared" si="62"/>
        <v>1</v>
      </c>
      <c r="M57" s="257">
        <f t="shared" si="62"/>
        <v>2</v>
      </c>
      <c r="N57" s="258"/>
      <c r="O57" s="259">
        <f>if(isblank(N55),"",if(N56=-1,M57+1,if(N56=-2,M57+2,if(N56=-3,M57+3,1))))</f>
        <v>1</v>
      </c>
      <c r="P57" s="255">
        <f t="shared" ref="P57:X57" si="63">if(isblank(P55),"",if(P56=-1,O57+1,if(P56=-2,O57+2,if(P56=-3,O57+3,1))))</f>
        <v>1</v>
      </c>
      <c r="Q57" s="256">
        <f t="shared" si="63"/>
        <v>1</v>
      </c>
      <c r="R57" s="256">
        <f t="shared" si="63"/>
        <v>1</v>
      </c>
      <c r="S57" s="256">
        <f t="shared" si="63"/>
        <v>1</v>
      </c>
      <c r="T57" s="256">
        <f t="shared" si="63"/>
        <v>3</v>
      </c>
      <c r="U57" s="256">
        <f t="shared" si="63"/>
        <v>4</v>
      </c>
      <c r="V57" s="256">
        <f t="shared" si="63"/>
        <v>1</v>
      </c>
      <c r="W57" s="256">
        <f t="shared" si="63"/>
        <v>1</v>
      </c>
      <c r="X57" s="257">
        <f t="shared" si="63"/>
        <v>1</v>
      </c>
      <c r="Y57" s="258"/>
      <c r="Z57" s="234">
        <f>if(isblank(Y55),"",if(Y56=-1,X57+1,if(Y56=-2,X57+2,if(Y56=-3,X57+3,1))))</f>
        <v>1</v>
      </c>
      <c r="AA57" s="236"/>
      <c r="AB57" s="1"/>
    </row>
    <row r="58">
      <c r="B58" s="1"/>
      <c r="C58" s="1"/>
      <c r="D58" s="1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36"/>
      <c r="AB58" s="1"/>
    </row>
    <row r="59">
      <c r="B59" s="1"/>
      <c r="C59" s="229" t="str">
        <f>'ROUND 2 - FOURBALL'!F68</f>
        <v>BEN</v>
      </c>
      <c r="D59" s="230">
        <f>vlookup($C59,HANDICAPS!$B$33:$G$48,4,false)</f>
        <v>8</v>
      </c>
      <c r="E59" s="231">
        <f>if(isblank(E60),"",if(E61=-3,16*D62,if(E61=-2,8*D62,if(E61=-1,4*D62,if(E61=0,2*D62,if(E61=1,0,if(E61&gt;1,-4*D62))))))+D60)</f>
        <v>4</v>
      </c>
      <c r="F59" s="232">
        <f t="shared" ref="F59:M59" si="64">if(isblank(F60),"",if(F61=-3,16*E62+E59,if(F61=-2,8*E62+E59,if(F61=-1,4*E62+E59,if(F61=0,2*E62+E59,if(F61=1,0+E59,if(F61&gt;1,-4*E62+E59)))))))</f>
        <v>6</v>
      </c>
      <c r="G59" s="232">
        <f t="shared" si="64"/>
        <v>10</v>
      </c>
      <c r="H59" s="232">
        <f t="shared" si="64"/>
        <v>10</v>
      </c>
      <c r="I59" s="232">
        <f t="shared" si="64"/>
        <v>10</v>
      </c>
      <c r="J59" s="232">
        <f t="shared" si="64"/>
        <v>10</v>
      </c>
      <c r="K59" s="232">
        <f t="shared" si="64"/>
        <v>12</v>
      </c>
      <c r="L59" s="232">
        <f t="shared" si="64"/>
        <v>12</v>
      </c>
      <c r="M59" s="233">
        <f t="shared" si="64"/>
        <v>16</v>
      </c>
      <c r="N59" s="234">
        <f>M59</f>
        <v>16</v>
      </c>
      <c r="O59" s="235"/>
      <c r="P59" s="231">
        <f>if(isblank(P60),"",if(P61=-3,16*O62+O60+N59,if(P61=-2,8*O62+O60+N59,if(P61=-1,4*O62+O60+N59,if(P61=0,2*O62+O60+N59,if(P61=1,0+N59,if(P61&gt;1,-4*O62+O60+N59)))))))</f>
        <v>18</v>
      </c>
      <c r="Q59" s="232">
        <f t="shared" ref="Q59:X59" si="65">if(isblank(Q60),"",if(Q61=-3,16*P62+P59,if(Q61=-2,8*P62+P59,if(Q61=-1,4*P62+P59,if(Q61=0,2*P62+P59,if(Q61=1,0+P59,if(Q61&gt;1,-4*P62+P59)))))))</f>
        <v>20</v>
      </c>
      <c r="R59" s="232">
        <f t="shared" si="65"/>
        <v>22</v>
      </c>
      <c r="S59" s="232">
        <f t="shared" si="65"/>
        <v>24</v>
      </c>
      <c r="T59" s="232">
        <f t="shared" si="65"/>
        <v>26</v>
      </c>
      <c r="U59" s="232">
        <f t="shared" si="65"/>
        <v>28</v>
      </c>
      <c r="V59" s="232">
        <f t="shared" si="65"/>
        <v>32</v>
      </c>
      <c r="W59" s="232">
        <f t="shared" si="65"/>
        <v>40</v>
      </c>
      <c r="X59" s="233">
        <f t="shared" si="65"/>
        <v>52</v>
      </c>
      <c r="Y59" s="234">
        <f>if(isblank(X60),"",X59-N59)</f>
        <v>36</v>
      </c>
      <c r="Z59" s="234">
        <f>if(isblank(X60),0,X59)</f>
        <v>52</v>
      </c>
      <c r="AA59" s="236">
        <f>X62</f>
        <v>4</v>
      </c>
      <c r="AB59" s="1"/>
    </row>
    <row r="60">
      <c r="A60" s="237"/>
      <c r="B60" s="39"/>
      <c r="C60" s="238" t="s">
        <v>170</v>
      </c>
      <c r="D60" s="239"/>
      <c r="E60" s="240">
        <f>vlookup('ROUND 2 - FOURBALL'!$B69,'ROUND 2 - FOURBALL'!$B:$AC,7,false)</f>
        <v>5</v>
      </c>
      <c r="F60" s="241">
        <f>vlookup('ROUND 2 - FOURBALL'!$B69,'ROUND 2 - FOURBALL'!$B:$AC,8,false)</f>
        <v>4</v>
      </c>
      <c r="G60" s="241">
        <f>vlookup('ROUND 2 - FOURBALL'!$B69,'ROUND 2 - FOURBALL'!$B:$AC,9,false)</f>
        <v>4</v>
      </c>
      <c r="H60" s="241">
        <f>vlookup('ROUND 2 - FOURBALL'!$B69,'ROUND 2 - FOURBALL'!$B:$AC,10,false)</f>
        <v>4</v>
      </c>
      <c r="I60" s="241">
        <f>vlookup('ROUND 2 - FOURBALL'!$B69,'ROUND 2 - FOURBALL'!$B:$AC,11,false)</f>
        <v>5</v>
      </c>
      <c r="J60" s="241">
        <f>vlookup('ROUND 2 - FOURBALL'!$B69,'ROUND 2 - FOURBALL'!$B:$AC,12,false)</f>
        <v>6</v>
      </c>
      <c r="K60" s="241">
        <f>vlookup('ROUND 2 - FOURBALL'!$B69,'ROUND 2 - FOURBALL'!$B:$AC,13,false)</f>
        <v>5</v>
      </c>
      <c r="L60" s="241">
        <f>vlookup('ROUND 2 - FOURBALL'!$B69,'ROUND 2 - FOURBALL'!$B:$AC,14,false)</f>
        <v>4</v>
      </c>
      <c r="M60" s="242">
        <f>vlookup('ROUND 2 - FOURBALL'!$B69,'ROUND 2 - FOURBALL'!$B:$AC,15,false)</f>
        <v>5</v>
      </c>
      <c r="N60" s="243">
        <f>if(isblank(M60),"",sum(E60:M60))</f>
        <v>42</v>
      </c>
      <c r="O60" s="244"/>
      <c r="P60" s="240">
        <f>vlookup('ROUND 2 - FOURBALL'!$B69,'ROUND 2 - FOURBALL'!$B:$AC,18,false)</f>
        <v>4</v>
      </c>
      <c r="Q60" s="241">
        <f>vlookup('ROUND 2 - FOURBALL'!$B69,'ROUND 2 - FOURBALL'!$B:$AC,19,false)</f>
        <v>3</v>
      </c>
      <c r="R60" s="241">
        <f>vlookup('ROUND 2 - FOURBALL'!$B69,'ROUND 2 - FOURBALL'!$B:$AC,20,false)</f>
        <v>6</v>
      </c>
      <c r="S60" s="241">
        <f>vlookup('ROUND 2 - FOURBALL'!$B69,'ROUND 2 - FOURBALL'!$B:$AC,21,false)</f>
        <v>4</v>
      </c>
      <c r="T60" s="241">
        <f>vlookup('ROUND 2 - FOURBALL'!$B69,'ROUND 2 - FOURBALL'!$B:$AC,22,false)</f>
        <v>6</v>
      </c>
      <c r="U60" s="241">
        <f>vlookup('ROUND 2 - FOURBALL'!$B69,'ROUND 2 - FOURBALL'!$B:$AC,23,false)</f>
        <v>4</v>
      </c>
      <c r="V60" s="241">
        <f>vlookup('ROUND 2 - FOURBALL'!$B69,'ROUND 2 - FOURBALL'!$B:$AC,24,false)</f>
        <v>4</v>
      </c>
      <c r="W60" s="241">
        <f>vlookup('ROUND 2 - FOURBALL'!$B69,'ROUND 2 - FOURBALL'!$B:$AC,25,false)</f>
        <v>2</v>
      </c>
      <c r="X60" s="242">
        <f>vlookup('ROUND 2 - FOURBALL'!$B69,'ROUND 2 - FOURBALL'!$B:$AC,26,false)</f>
        <v>4</v>
      </c>
      <c r="Y60" s="243">
        <f>if(isblank(X60),"",sum(P60:X60))</f>
        <v>37</v>
      </c>
      <c r="Z60" s="245">
        <f>if(isblank(X60),"",sum(N60,Y60))</f>
        <v>79</v>
      </c>
      <c r="AA60" s="42"/>
      <c r="AB60" s="39"/>
    </row>
    <row r="61">
      <c r="A61" s="237"/>
      <c r="B61" s="39"/>
      <c r="C61" s="247" t="s">
        <v>171</v>
      </c>
      <c r="D61" s="248"/>
      <c r="E61" s="249">
        <f t="shared" ref="E61:M61" si="66">if(isblank(E60),"",if(and(18-$D59&lt;0,18+E$7&lt;$D59),E60-2-E$6,if(or(E$7&lt;$D59,E$7=$D59),E60-1-E$6,E60-E$6)))</f>
        <v>0</v>
      </c>
      <c r="F61" s="250">
        <f t="shared" si="66"/>
        <v>0</v>
      </c>
      <c r="G61" s="250">
        <f t="shared" si="66"/>
        <v>-1</v>
      </c>
      <c r="H61" s="250">
        <f t="shared" si="66"/>
        <v>1</v>
      </c>
      <c r="I61" s="250">
        <f t="shared" si="66"/>
        <v>1</v>
      </c>
      <c r="J61" s="250">
        <f t="shared" si="66"/>
        <v>1</v>
      </c>
      <c r="K61" s="250">
        <f t="shared" si="66"/>
        <v>0</v>
      </c>
      <c r="L61" s="250">
        <f t="shared" si="66"/>
        <v>1</v>
      </c>
      <c r="M61" s="251">
        <f t="shared" si="66"/>
        <v>-1</v>
      </c>
      <c r="N61" s="243">
        <f>if(isblank(M60),"",if(or(N$7&lt;$D59,N$7=$D59),N60-1-N$6,N60-N$6))</f>
        <v>5</v>
      </c>
      <c r="O61" s="244"/>
      <c r="P61" s="249">
        <f t="shared" ref="P61:X61" si="67">if(isblank(P60),"",if(and(18-$D59&lt;0,18+P$7&lt;$D59),P60-2-P$6,if(or(P$7&lt;$D59,P$7=$D59),P60-1-P$6,P60-P$6)))</f>
        <v>0</v>
      </c>
      <c r="Q61" s="250">
        <f t="shared" si="67"/>
        <v>0</v>
      </c>
      <c r="R61" s="250">
        <f t="shared" si="67"/>
        <v>0</v>
      </c>
      <c r="S61" s="250">
        <f t="shared" si="67"/>
        <v>0</v>
      </c>
      <c r="T61" s="250">
        <f t="shared" si="67"/>
        <v>0</v>
      </c>
      <c r="U61" s="250">
        <f t="shared" si="67"/>
        <v>0</v>
      </c>
      <c r="V61" s="250">
        <f t="shared" si="67"/>
        <v>-1</v>
      </c>
      <c r="W61" s="250">
        <f t="shared" si="67"/>
        <v>-1</v>
      </c>
      <c r="X61" s="251">
        <f t="shared" si="67"/>
        <v>-1</v>
      </c>
      <c r="Y61" s="243">
        <f>if(isblank(X60),"",if(or(Y$7&lt;$D59,Y$7=$D59),Y60-1-Y$6,Y60-Y$6))</f>
        <v>0</v>
      </c>
      <c r="Z61" s="252">
        <f>if(isblank(X60),"",sum(N61,Y61))</f>
        <v>5</v>
      </c>
      <c r="AA61" s="42"/>
      <c r="AB61" s="39"/>
    </row>
    <row r="62">
      <c r="B62" s="1"/>
      <c r="C62" s="253" t="s">
        <v>172</v>
      </c>
      <c r="D62" s="253">
        <f>vlookup($C59,'TILT Round 1'!$C:$AA,25,false)</f>
        <v>2</v>
      </c>
      <c r="E62" s="255">
        <f t="shared" ref="E62:M62" si="68">if(isblank(E60),"",if(E61=-1,D62+1,if(E61=-2,D62+2,if(E61=-3,D62+3,1))))</f>
        <v>1</v>
      </c>
      <c r="F62" s="256">
        <f t="shared" si="68"/>
        <v>1</v>
      </c>
      <c r="G62" s="256">
        <f t="shared" si="68"/>
        <v>2</v>
      </c>
      <c r="H62" s="256">
        <f t="shared" si="68"/>
        <v>1</v>
      </c>
      <c r="I62" s="256">
        <f t="shared" si="68"/>
        <v>1</v>
      </c>
      <c r="J62" s="256">
        <f t="shared" si="68"/>
        <v>1</v>
      </c>
      <c r="K62" s="256">
        <f t="shared" si="68"/>
        <v>1</v>
      </c>
      <c r="L62" s="256">
        <f t="shared" si="68"/>
        <v>1</v>
      </c>
      <c r="M62" s="257">
        <f t="shared" si="68"/>
        <v>2</v>
      </c>
      <c r="N62" s="258"/>
      <c r="O62" s="259">
        <f>if(isblank(N60),"",if(N61=-1,M62+1,if(N61=-2,M62+2,if(N61=-3,M62+3,1))))</f>
        <v>1</v>
      </c>
      <c r="P62" s="255">
        <f t="shared" ref="P62:X62" si="69">if(isblank(P60),"",if(P61=-1,O62+1,if(P61=-2,O62+2,if(P61=-3,O62+3,1))))</f>
        <v>1</v>
      </c>
      <c r="Q62" s="256">
        <f t="shared" si="69"/>
        <v>1</v>
      </c>
      <c r="R62" s="256">
        <f t="shared" si="69"/>
        <v>1</v>
      </c>
      <c r="S62" s="256">
        <f t="shared" si="69"/>
        <v>1</v>
      </c>
      <c r="T62" s="256">
        <f t="shared" si="69"/>
        <v>1</v>
      </c>
      <c r="U62" s="256">
        <f t="shared" si="69"/>
        <v>1</v>
      </c>
      <c r="V62" s="256">
        <f t="shared" si="69"/>
        <v>2</v>
      </c>
      <c r="W62" s="256">
        <f t="shared" si="69"/>
        <v>3</v>
      </c>
      <c r="X62" s="257">
        <f t="shared" si="69"/>
        <v>4</v>
      </c>
      <c r="Y62" s="258"/>
      <c r="Z62" s="234">
        <f>if(isblank(Y60),"",if(Y61=-1,X62+1,if(Y61=-2,X62+2,if(Y61=-3,X62+3,1))))</f>
        <v>1</v>
      </c>
      <c r="AA62" s="236"/>
      <c r="AB62" s="1"/>
    </row>
    <row r="63">
      <c r="B63" s="1"/>
      <c r="C63" s="261"/>
      <c r="D63" s="261"/>
      <c r="E63" s="262"/>
      <c r="F63" s="262"/>
      <c r="G63" s="262"/>
      <c r="H63" s="263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3"/>
      <c r="W63" s="262"/>
      <c r="X63" s="262"/>
      <c r="Y63" s="262"/>
      <c r="Z63" s="262"/>
      <c r="AA63" s="236"/>
      <c r="AB63" s="1"/>
    </row>
    <row r="64">
      <c r="B64" s="1"/>
      <c r="C64" s="229" t="str">
        <f>'ROUND 2 - FOURBALL'!F70</f>
        <v>WAYS</v>
      </c>
      <c r="D64" s="230">
        <f>vlookup($C64,HANDICAPS!$B$33:$G$48,4,false)</f>
        <v>8</v>
      </c>
      <c r="E64" s="231">
        <f>if(isblank(E65),"",if(E66=-3,16*D67,if(E66=-2,8*D67,if(E66=-1,4*D67,if(E66=0,2*D67,if(E66=1,0,if(E66&gt;1,-4*D67))))))+D65)</f>
        <v>4</v>
      </c>
      <c r="F64" s="232">
        <f t="shared" ref="F64:M64" si="70">if(isblank(F65),"",if(F66=-3,16*E67+E64,if(F66=-2,8*E67+E64,if(F66=-1,4*E67+E64,if(F66=0,2*E67+E64,if(F66=1,0+E64,if(F66&gt;1,-4*E67+E64)))))))</f>
        <v>6</v>
      </c>
      <c r="G64" s="232">
        <f t="shared" si="70"/>
        <v>8</v>
      </c>
      <c r="H64" s="232">
        <f t="shared" si="70"/>
        <v>8</v>
      </c>
      <c r="I64" s="232">
        <f t="shared" si="70"/>
        <v>10</v>
      </c>
      <c r="J64" s="232">
        <f t="shared" si="70"/>
        <v>10</v>
      </c>
      <c r="K64" s="232">
        <f t="shared" si="70"/>
        <v>12</v>
      </c>
      <c r="L64" s="232">
        <f t="shared" si="70"/>
        <v>8</v>
      </c>
      <c r="M64" s="233">
        <f t="shared" si="70"/>
        <v>10</v>
      </c>
      <c r="N64" s="234">
        <f>M64</f>
        <v>10</v>
      </c>
      <c r="O64" s="235"/>
      <c r="P64" s="231">
        <f>if(isblank(P65),"",if(P66=-3,16*O67+O65+N64,if(P66=-2,8*O67+O65+N64,if(P66=-1,4*O67+O65+N64,if(P66=0,2*O67+O65+N64,if(P66=1,0+N64,if(P66&gt;1,-4*O67+O65+N64)))))))</f>
        <v>10</v>
      </c>
      <c r="Q64" s="232">
        <f t="shared" ref="Q64:X64" si="71">if(isblank(Q65),"",if(Q66=-3,16*P67+P64,if(Q66=-2,8*P67+P64,if(Q66=-1,4*P67+P64,if(Q66=0,2*P67+P64,if(Q66=1,0+P64,if(Q66&gt;1,-4*P67+P64)))))))</f>
        <v>12</v>
      </c>
      <c r="R64" s="232">
        <f t="shared" si="71"/>
        <v>16</v>
      </c>
      <c r="S64" s="232">
        <f t="shared" si="71"/>
        <v>16</v>
      </c>
      <c r="T64" s="232">
        <f t="shared" si="71"/>
        <v>18</v>
      </c>
      <c r="U64" s="232">
        <f t="shared" si="71"/>
        <v>22</v>
      </c>
      <c r="V64" s="232">
        <f t="shared" si="71"/>
        <v>26</v>
      </c>
      <c r="W64" s="232">
        <f t="shared" si="71"/>
        <v>26</v>
      </c>
      <c r="X64" s="233">
        <f t="shared" si="71"/>
        <v>34</v>
      </c>
      <c r="Y64" s="234">
        <f>if(isblank(X65),"",X64-N64)</f>
        <v>24</v>
      </c>
      <c r="Z64" s="234">
        <f>if(isblank(X65),0,X64)</f>
        <v>34</v>
      </c>
      <c r="AA64" s="236">
        <f>X67</f>
        <v>3</v>
      </c>
      <c r="AB64" s="1"/>
    </row>
    <row r="65">
      <c r="B65" s="1"/>
      <c r="C65" s="238" t="s">
        <v>170</v>
      </c>
      <c r="D65" s="239"/>
      <c r="E65" s="240">
        <f>vlookup('ROUND 2 - FOURBALL'!$B71,'ROUND 2 - FOURBALL'!$B:$AC,7,false)</f>
        <v>5</v>
      </c>
      <c r="F65" s="241">
        <f>vlookup('ROUND 2 - FOURBALL'!$B71,'ROUND 2 - FOURBALL'!$B:$AC,8,false)</f>
        <v>4</v>
      </c>
      <c r="G65" s="241">
        <f>vlookup('ROUND 2 - FOURBALL'!$B71,'ROUND 2 - FOURBALL'!$B:$AC,9,false)</f>
        <v>5</v>
      </c>
      <c r="H65" s="241">
        <f>vlookup('ROUND 2 - FOURBALL'!$B71,'ROUND 2 - FOURBALL'!$B:$AC,10,false)</f>
        <v>4</v>
      </c>
      <c r="I65" s="241">
        <f>vlookup('ROUND 2 - FOURBALL'!$B71,'ROUND 2 - FOURBALL'!$B:$AC,11,false)</f>
        <v>4</v>
      </c>
      <c r="J65" s="241">
        <f>vlookup('ROUND 2 - FOURBALL'!$B71,'ROUND 2 - FOURBALL'!$B:$AC,12,false)</f>
        <v>6</v>
      </c>
      <c r="K65" s="241">
        <f>vlookup('ROUND 2 - FOURBALL'!$B71,'ROUND 2 - FOURBALL'!$B:$AC,13,false)</f>
        <v>5</v>
      </c>
      <c r="L65" s="241">
        <f>vlookup('ROUND 2 - FOURBALL'!$B71,'ROUND 2 - FOURBALL'!$B:$AC,14,false)</f>
        <v>5</v>
      </c>
      <c r="M65" s="242">
        <f>vlookup('ROUND 2 - FOURBALL'!$B71,'ROUND 2 - FOURBALL'!$B:$AC,15,false)</f>
        <v>6</v>
      </c>
      <c r="N65" s="243">
        <f>if(isblank(M65),"",sum(E65:M65))</f>
        <v>44</v>
      </c>
      <c r="O65" s="244"/>
      <c r="P65" s="240">
        <f>vlookup('ROUND 2 - FOURBALL'!$B71,'ROUND 2 - FOURBALL'!$B:$AC,18,false)</f>
        <v>5</v>
      </c>
      <c r="Q65" s="241">
        <f>vlookup('ROUND 2 - FOURBALL'!$B71,'ROUND 2 - FOURBALL'!$B:$AC,19,false)</f>
        <v>3</v>
      </c>
      <c r="R65" s="241">
        <f>vlookup('ROUND 2 - FOURBALL'!$B71,'ROUND 2 - FOURBALL'!$B:$AC,20,false)</f>
        <v>5</v>
      </c>
      <c r="S65" s="241">
        <f>vlookup('ROUND 2 - FOURBALL'!$B71,'ROUND 2 - FOURBALL'!$B:$AC,21,false)</f>
        <v>5</v>
      </c>
      <c r="T65" s="241">
        <f>vlookup('ROUND 2 - FOURBALL'!$B71,'ROUND 2 - FOURBALL'!$B:$AC,22,false)</f>
        <v>6</v>
      </c>
      <c r="U65" s="241">
        <f>vlookup('ROUND 2 - FOURBALL'!$B71,'ROUND 2 - FOURBALL'!$B:$AC,23,false)</f>
        <v>3</v>
      </c>
      <c r="V65" s="241">
        <f>vlookup('ROUND 2 - FOURBALL'!$B71,'ROUND 2 - FOURBALL'!$B:$AC,24,false)</f>
        <v>5</v>
      </c>
      <c r="W65" s="241">
        <f>vlookup('ROUND 2 - FOURBALL'!$B71,'ROUND 2 - FOURBALL'!$B:$AC,25,false)</f>
        <v>4</v>
      </c>
      <c r="X65" s="242">
        <f>vlookup('ROUND 2 - FOURBALL'!$B71,'ROUND 2 - FOURBALL'!$B:$AC,26,false)</f>
        <v>3</v>
      </c>
      <c r="Y65" s="243">
        <f>if(isblank(X65),"",sum(P65:X65))</f>
        <v>39</v>
      </c>
      <c r="Z65" s="245">
        <f>if(isblank(X65),"",sum(N65,Y65))</f>
        <v>83</v>
      </c>
      <c r="AA65" s="236"/>
      <c r="AB65" s="1"/>
    </row>
    <row r="66">
      <c r="B66" s="1"/>
      <c r="C66" s="247" t="s">
        <v>171</v>
      </c>
      <c r="D66" s="248"/>
      <c r="E66" s="249">
        <f t="shared" ref="E66:M66" si="72">if(isblank(E65),"",if(and(18-$D64&lt;0,18+E$7&lt;$D64),E65-2-E$6,if(or(E$7&lt;$D64,E$7=$D64),E65-1-E$6,E65-E$6)))</f>
        <v>0</v>
      </c>
      <c r="F66" s="250">
        <f t="shared" si="72"/>
        <v>0</v>
      </c>
      <c r="G66" s="250">
        <f t="shared" si="72"/>
        <v>0</v>
      </c>
      <c r="H66" s="250">
        <f t="shared" si="72"/>
        <v>1</v>
      </c>
      <c r="I66" s="250">
        <f t="shared" si="72"/>
        <v>0</v>
      </c>
      <c r="J66" s="250">
        <f t="shared" si="72"/>
        <v>1</v>
      </c>
      <c r="K66" s="250">
        <f t="shared" si="72"/>
        <v>0</v>
      </c>
      <c r="L66" s="250">
        <f t="shared" si="72"/>
        <v>2</v>
      </c>
      <c r="M66" s="251">
        <f t="shared" si="72"/>
        <v>0</v>
      </c>
      <c r="N66" s="243">
        <f>if(isblank(M65),"",if(or(N$7&lt;$D64,N$7=$D64),N65-1-N$6,N65-N$6))</f>
        <v>7</v>
      </c>
      <c r="O66" s="244"/>
      <c r="P66" s="249">
        <f t="shared" ref="P66:X66" si="73">if(isblank(P65),"",if(and(18-$D64&lt;0,18+P$7&lt;$D64),P65-2-P$6,if(or(P$7&lt;$D64,P$7=$D64),P65-1-P$6,P65-P$6)))</f>
        <v>1</v>
      </c>
      <c r="Q66" s="250">
        <f t="shared" si="73"/>
        <v>0</v>
      </c>
      <c r="R66" s="250">
        <f t="shared" si="73"/>
        <v>-1</v>
      </c>
      <c r="S66" s="250">
        <f t="shared" si="73"/>
        <v>1</v>
      </c>
      <c r="T66" s="250">
        <f t="shared" si="73"/>
        <v>0</v>
      </c>
      <c r="U66" s="250">
        <f t="shared" si="73"/>
        <v>-1</v>
      </c>
      <c r="V66" s="250">
        <f t="shared" si="73"/>
        <v>0</v>
      </c>
      <c r="W66" s="250">
        <f t="shared" si="73"/>
        <v>1</v>
      </c>
      <c r="X66" s="251">
        <f t="shared" si="73"/>
        <v>-2</v>
      </c>
      <c r="Y66" s="243">
        <f>if(isblank(X65),"",if(or(Y$7&lt;$D64,Y$7=$D64),Y65-1-Y$6,Y65-Y$6))</f>
        <v>2</v>
      </c>
      <c r="Z66" s="252">
        <f>if(isblank(X65),"",sum(N66,Y66))</f>
        <v>9</v>
      </c>
      <c r="AA66" s="236"/>
      <c r="AB66" s="1"/>
    </row>
    <row r="67">
      <c r="B67" s="1"/>
      <c r="C67" s="253" t="s">
        <v>172</v>
      </c>
      <c r="D67" s="253">
        <f>vlookup($C64,'TILT Round 1'!$C:$AA,25,false)</f>
        <v>2</v>
      </c>
      <c r="E67" s="255">
        <f t="shared" ref="E67:M67" si="74">if(isblank(E65),"",if(E66=-1,D67+1,if(E66=-2,D67+2,if(E66=-3,D67+3,1))))</f>
        <v>1</v>
      </c>
      <c r="F67" s="256">
        <f t="shared" si="74"/>
        <v>1</v>
      </c>
      <c r="G67" s="256">
        <f t="shared" si="74"/>
        <v>1</v>
      </c>
      <c r="H67" s="256">
        <f t="shared" si="74"/>
        <v>1</v>
      </c>
      <c r="I67" s="256">
        <f t="shared" si="74"/>
        <v>1</v>
      </c>
      <c r="J67" s="256">
        <f t="shared" si="74"/>
        <v>1</v>
      </c>
      <c r="K67" s="256">
        <f t="shared" si="74"/>
        <v>1</v>
      </c>
      <c r="L67" s="256">
        <f t="shared" si="74"/>
        <v>1</v>
      </c>
      <c r="M67" s="257">
        <f t="shared" si="74"/>
        <v>1</v>
      </c>
      <c r="N67" s="258"/>
      <c r="O67" s="259">
        <f>if(isblank(N65),"",if(N66=-1,M67+1,if(N66=-2,M67+2,if(N66=-3,M67+3,1))))</f>
        <v>1</v>
      </c>
      <c r="P67" s="255">
        <f t="shared" ref="P67:X67" si="75">if(isblank(P65),"",if(P66=-1,O67+1,if(P66=-2,O67+2,if(P66=-3,O67+3,1))))</f>
        <v>1</v>
      </c>
      <c r="Q67" s="256">
        <f t="shared" si="75"/>
        <v>1</v>
      </c>
      <c r="R67" s="256">
        <f t="shared" si="75"/>
        <v>2</v>
      </c>
      <c r="S67" s="256">
        <f t="shared" si="75"/>
        <v>1</v>
      </c>
      <c r="T67" s="256">
        <f t="shared" si="75"/>
        <v>1</v>
      </c>
      <c r="U67" s="256">
        <f t="shared" si="75"/>
        <v>2</v>
      </c>
      <c r="V67" s="256">
        <f t="shared" si="75"/>
        <v>1</v>
      </c>
      <c r="W67" s="256">
        <f t="shared" si="75"/>
        <v>1</v>
      </c>
      <c r="X67" s="257">
        <f t="shared" si="75"/>
        <v>3</v>
      </c>
      <c r="Y67" s="258"/>
      <c r="Z67" s="234">
        <f>if(isblank(Y65),"",if(Y66=-1,X67+1,if(Y66=-2,X67+2,if(Y66=-3,X67+3,1))))</f>
        <v>1</v>
      </c>
      <c r="AA67" s="236"/>
      <c r="AB67" s="1"/>
    </row>
    <row r="68">
      <c r="B68" s="1"/>
      <c r="C68" s="1"/>
      <c r="D68" s="1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36"/>
      <c r="AB68" s="1"/>
    </row>
    <row r="69">
      <c r="B69" s="1"/>
      <c r="C69" s="229" t="str">
        <f>'ROUND 2 - FOURBALL'!F85</f>
        <v>KIP</v>
      </c>
      <c r="D69" s="230">
        <f>vlookup($C69,HANDICAPS!$B$33:$G$48,4,false)</f>
        <v>23</v>
      </c>
      <c r="E69" s="231">
        <f>if(isblank(E70),"",if(E71=-3,16*D72,if(E71=-2,8*D72,if(E71=-1,4*D72,if(E71=0,2*D72,if(E71=1,0,if(E71&gt;1,-4*D72))))))+D70)</f>
        <v>0</v>
      </c>
      <c r="F69" s="232">
        <f t="shared" ref="F69:M69" si="76">if(isblank(F70),"",if(F71=-3,16*E72+E69,if(F71=-2,8*E72+E69,if(F71=-1,4*E72+E69,if(F71=0,2*E72+E69,if(F71=1,0+E69,if(F71&gt;1,-4*E72+E69)))))))</f>
        <v>0</v>
      </c>
      <c r="G69" s="232">
        <f t="shared" si="76"/>
        <v>4</v>
      </c>
      <c r="H69" s="232">
        <f t="shared" si="76"/>
        <v>-4</v>
      </c>
      <c r="I69" s="232">
        <f t="shared" si="76"/>
        <v>-2</v>
      </c>
      <c r="J69" s="232">
        <f t="shared" si="76"/>
        <v>-2</v>
      </c>
      <c r="K69" s="232">
        <f t="shared" si="76"/>
        <v>-2</v>
      </c>
      <c r="L69" s="232">
        <f t="shared" si="76"/>
        <v>0</v>
      </c>
      <c r="M69" s="233">
        <f t="shared" si="76"/>
        <v>2</v>
      </c>
      <c r="N69" s="234">
        <f>M69</f>
        <v>2</v>
      </c>
      <c r="O69" s="235"/>
      <c r="P69" s="231">
        <f>if(isblank(P70),"",if(P71=-3,16*O72+O70+N69,if(P71=-2,8*O72+O70+N69,if(P71=-1,4*O72+O70+N69,if(P71=0,2*O72+O70+N69,if(P71=1,0+N69,if(P71&gt;1,-4*O72+O70+N69)))))))</f>
        <v>-2</v>
      </c>
      <c r="Q69" s="232">
        <f t="shared" ref="Q69:X69" si="77">if(isblank(Q70),"",if(Q71=-3,16*P72+P69,if(Q71=-2,8*P72+P69,if(Q71=-1,4*P72+P69,if(Q71=0,2*P72+P69,if(Q71=1,0+P69,if(Q71&gt;1,-4*P72+P69)))))))</f>
        <v>-6</v>
      </c>
      <c r="R69" s="232">
        <f t="shared" si="77"/>
        <v>-4</v>
      </c>
      <c r="S69" s="232">
        <f t="shared" si="77"/>
        <v>-8</v>
      </c>
      <c r="T69" s="232">
        <f t="shared" si="77"/>
        <v>-6</v>
      </c>
      <c r="U69" s="232">
        <f t="shared" si="77"/>
        <v>-2</v>
      </c>
      <c r="V69" s="232">
        <f t="shared" si="77"/>
        <v>2</v>
      </c>
      <c r="W69" s="232">
        <f t="shared" si="77"/>
        <v>4</v>
      </c>
      <c r="X69" s="233">
        <f t="shared" si="77"/>
        <v>4</v>
      </c>
      <c r="Y69" s="234">
        <f>if(isblank(X70),"",X69-N69)</f>
        <v>2</v>
      </c>
      <c r="Z69" s="234">
        <f>if(isblank(X70),0,X69)</f>
        <v>4</v>
      </c>
      <c r="AA69" s="236">
        <f>X72</f>
        <v>1</v>
      </c>
      <c r="AB69" s="1"/>
    </row>
    <row r="70">
      <c r="A70" s="237"/>
      <c r="B70" s="39"/>
      <c r="C70" s="238" t="s">
        <v>170</v>
      </c>
      <c r="D70" s="239"/>
      <c r="E70" s="240">
        <f>vlookup('ROUND 2 - FOURBALL'!$B86,'ROUND 2 - FOURBALL'!$B:$AC,7,false)</f>
        <v>6</v>
      </c>
      <c r="F70" s="241">
        <f>vlookup('ROUND 2 - FOURBALL'!$B86,'ROUND 2 - FOURBALL'!$B:$AC,8,false)</f>
        <v>6</v>
      </c>
      <c r="G70" s="241">
        <f>vlookup('ROUND 2 - FOURBALL'!$B86,'ROUND 2 - FOURBALL'!$B:$AC,9,false)</f>
        <v>4</v>
      </c>
      <c r="H70" s="241">
        <f>vlookup('ROUND 2 - FOURBALL'!$B86,'ROUND 2 - FOURBALL'!$B:$AC,10,false)</f>
        <v>6</v>
      </c>
      <c r="I70" s="241">
        <f>vlookup('ROUND 2 - FOURBALL'!$B86,'ROUND 2 - FOURBALL'!$B:$AC,11,false)</f>
        <v>5</v>
      </c>
      <c r="J70" s="241">
        <f>vlookup('ROUND 2 - FOURBALL'!$B86,'ROUND 2 - FOURBALL'!$B:$AC,12,false)</f>
        <v>7</v>
      </c>
      <c r="K70" s="241">
        <f>vlookup('ROUND 2 - FOURBALL'!$B86,'ROUND 2 - FOURBALL'!$B:$AC,13,false)</f>
        <v>7</v>
      </c>
      <c r="L70" s="241">
        <f>vlookup('ROUND 2 - FOURBALL'!$B86,'ROUND 2 - FOURBALL'!$B:$AC,14,false)</f>
        <v>4</v>
      </c>
      <c r="M70" s="242">
        <f>vlookup('ROUND 2 - FOURBALL'!$B86,'ROUND 2 - FOURBALL'!$B:$AC,15,false)</f>
        <v>7</v>
      </c>
      <c r="N70" s="243">
        <f>if(isblank(M70),"",sum(E70:M70))</f>
        <v>52</v>
      </c>
      <c r="O70" s="244"/>
      <c r="P70" s="240">
        <f>vlookup('ROUND 2 - FOURBALL'!$B86,'ROUND 2 - FOURBALL'!$B:$AC,18,false)</f>
        <v>8</v>
      </c>
      <c r="Q70" s="241">
        <f>vlookup('ROUND 2 - FOURBALL'!$B86,'ROUND 2 - FOURBALL'!$B:$AC,19,false)</f>
        <v>6</v>
      </c>
      <c r="R70" s="241">
        <f>vlookup('ROUND 2 - FOURBALL'!$B86,'ROUND 2 - FOURBALL'!$B:$AC,20,false)</f>
        <v>6</v>
      </c>
      <c r="S70" s="241">
        <f>vlookup('ROUND 2 - FOURBALL'!$B86,'ROUND 2 - FOURBALL'!$B:$AC,21,false)</f>
        <v>7</v>
      </c>
      <c r="T70" s="241">
        <f>vlookup('ROUND 2 - FOURBALL'!$B86,'ROUND 2 - FOURBALL'!$B:$AC,22,false)</f>
        <v>7</v>
      </c>
      <c r="U70" s="241">
        <f>vlookup('ROUND 2 - FOURBALL'!$B86,'ROUND 2 - FOURBALL'!$B:$AC,23,false)</f>
        <v>4</v>
      </c>
      <c r="V70" s="241">
        <f>vlookup('ROUND 2 - FOURBALL'!$B86,'ROUND 2 - FOURBALL'!$B:$AC,24,false)</f>
        <v>6</v>
      </c>
      <c r="W70" s="241">
        <f>vlookup('ROUND 2 - FOURBALL'!$B86,'ROUND 2 - FOURBALL'!$B:$AC,25,false)</f>
        <v>4</v>
      </c>
      <c r="X70" s="242">
        <f>vlookup('ROUND 2 - FOURBALL'!$B86,'ROUND 2 - FOURBALL'!$B:$AC,26,false)</f>
        <v>6</v>
      </c>
      <c r="Y70" s="243">
        <f>if(isblank(X70),"",sum(P70:X70))</f>
        <v>54</v>
      </c>
      <c r="Z70" s="245">
        <f>if(isblank(X70),"",sum(N70,Y70))</f>
        <v>106</v>
      </c>
      <c r="AA70" s="42"/>
      <c r="AB70" s="39"/>
    </row>
    <row r="71">
      <c r="A71" s="237"/>
      <c r="B71" s="39"/>
      <c r="C71" s="247" t="s">
        <v>171</v>
      </c>
      <c r="D71" s="248"/>
      <c r="E71" s="249">
        <f t="shared" ref="E71:M71" si="78">if(isblank(E70),"",if(and(18-$D69&lt;0,18+E$7&lt;$D69),E70-2-E$6,if(or(E$7&lt;$D69,E$7=$D69),E70-1-E$6,E70-E$6)))</f>
        <v>1</v>
      </c>
      <c r="F71" s="250">
        <f t="shared" si="78"/>
        <v>1</v>
      </c>
      <c r="G71" s="250">
        <f t="shared" si="78"/>
        <v>-1</v>
      </c>
      <c r="H71" s="250">
        <f t="shared" si="78"/>
        <v>2</v>
      </c>
      <c r="I71" s="250">
        <f t="shared" si="78"/>
        <v>0</v>
      </c>
      <c r="J71" s="250">
        <f t="shared" si="78"/>
        <v>1</v>
      </c>
      <c r="K71" s="250">
        <f t="shared" si="78"/>
        <v>1</v>
      </c>
      <c r="L71" s="250">
        <f t="shared" si="78"/>
        <v>0</v>
      </c>
      <c r="M71" s="251">
        <f t="shared" si="78"/>
        <v>0</v>
      </c>
      <c r="N71" s="243">
        <f>if(isblank(M70),"",if(or(N$7&lt;$D69,N$7=$D69),N70-1-N$6,N70-N$6))</f>
        <v>15</v>
      </c>
      <c r="O71" s="244"/>
      <c r="P71" s="249">
        <f t="shared" ref="P71:X71" si="79">if(isblank(P70),"",if(and(18-$D69&lt;0,18+P$7&lt;$D69),P70-2-P$6,if(or(P$7&lt;$D69,P$7=$D69),P70-1-P$6,P70-P$6)))</f>
        <v>3</v>
      </c>
      <c r="Q71" s="250">
        <f t="shared" si="79"/>
        <v>2</v>
      </c>
      <c r="R71" s="250">
        <f t="shared" si="79"/>
        <v>0</v>
      </c>
      <c r="S71" s="250">
        <f t="shared" si="79"/>
        <v>2</v>
      </c>
      <c r="T71" s="250">
        <f t="shared" si="79"/>
        <v>0</v>
      </c>
      <c r="U71" s="250">
        <f t="shared" si="79"/>
        <v>-1</v>
      </c>
      <c r="V71" s="250">
        <f t="shared" si="79"/>
        <v>0</v>
      </c>
      <c r="W71" s="250">
        <f t="shared" si="79"/>
        <v>0</v>
      </c>
      <c r="X71" s="251">
        <f t="shared" si="79"/>
        <v>1</v>
      </c>
      <c r="Y71" s="243">
        <f>if(isblank(X70),"",if(or(Y$7&lt;$D69,Y$7=$D69),Y70-1-Y$6,Y70-Y$6))</f>
        <v>17</v>
      </c>
      <c r="Z71" s="252">
        <f>if(isblank(X70),"",sum(N71,Y71))</f>
        <v>32</v>
      </c>
      <c r="AA71" s="42"/>
      <c r="AB71" s="39"/>
    </row>
    <row r="72">
      <c r="B72" s="1"/>
      <c r="C72" s="253" t="s">
        <v>172</v>
      </c>
      <c r="D72" s="253">
        <f>vlookup($C69,'TILT Round 1'!$C:$AA,25,false)</f>
        <v>1</v>
      </c>
      <c r="E72" s="255">
        <f t="shared" ref="E72:M72" si="80">if(isblank(E70),"",if(E71=-1,D72+1,if(E71=-2,D72+2,if(E71=-3,D72+3,1))))</f>
        <v>1</v>
      </c>
      <c r="F72" s="256">
        <f t="shared" si="80"/>
        <v>1</v>
      </c>
      <c r="G72" s="256">
        <f t="shared" si="80"/>
        <v>2</v>
      </c>
      <c r="H72" s="256">
        <f t="shared" si="80"/>
        <v>1</v>
      </c>
      <c r="I72" s="256">
        <f t="shared" si="80"/>
        <v>1</v>
      </c>
      <c r="J72" s="256">
        <f t="shared" si="80"/>
        <v>1</v>
      </c>
      <c r="K72" s="256">
        <f t="shared" si="80"/>
        <v>1</v>
      </c>
      <c r="L72" s="256">
        <f t="shared" si="80"/>
        <v>1</v>
      </c>
      <c r="M72" s="257">
        <f t="shared" si="80"/>
        <v>1</v>
      </c>
      <c r="N72" s="258"/>
      <c r="O72" s="259">
        <f>if(isblank(N70),"",if(N71=-1,M72+1,if(N71=-2,M72+2,if(N71=-3,M72+3,1))))</f>
        <v>1</v>
      </c>
      <c r="P72" s="255">
        <f t="shared" ref="P72:X72" si="81">if(isblank(P70),"",if(P71=-1,O72+1,if(P71=-2,O72+2,if(P71=-3,O72+3,1))))</f>
        <v>1</v>
      </c>
      <c r="Q72" s="256">
        <f t="shared" si="81"/>
        <v>1</v>
      </c>
      <c r="R72" s="256">
        <f t="shared" si="81"/>
        <v>1</v>
      </c>
      <c r="S72" s="256">
        <f t="shared" si="81"/>
        <v>1</v>
      </c>
      <c r="T72" s="256">
        <f t="shared" si="81"/>
        <v>1</v>
      </c>
      <c r="U72" s="256">
        <f t="shared" si="81"/>
        <v>2</v>
      </c>
      <c r="V72" s="256">
        <f t="shared" si="81"/>
        <v>1</v>
      </c>
      <c r="W72" s="256">
        <f t="shared" si="81"/>
        <v>1</v>
      </c>
      <c r="X72" s="257">
        <f t="shared" si="81"/>
        <v>1</v>
      </c>
      <c r="Y72" s="258"/>
      <c r="Z72" s="234">
        <f>if(isblank(Y70),"",if(Y71=-1,X72+1,if(Y71=-2,X72+2,if(Y71=-3,X72+3,1))))</f>
        <v>1</v>
      </c>
      <c r="AA72" s="236"/>
      <c r="AB72" s="1"/>
    </row>
    <row r="73">
      <c r="B73" s="1"/>
      <c r="C73" s="261"/>
      <c r="D73" s="261"/>
      <c r="E73" s="262"/>
      <c r="F73" s="262"/>
      <c r="G73" s="262"/>
      <c r="H73" s="263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3"/>
      <c r="W73" s="262"/>
      <c r="X73" s="262"/>
      <c r="Y73" s="262"/>
      <c r="Z73" s="262"/>
      <c r="AA73" s="236"/>
      <c r="AB73" s="1"/>
    </row>
    <row r="74">
      <c r="B74" s="1"/>
      <c r="C74" s="229" t="str">
        <f>'ROUND 2 - FOURBALL'!F87</f>
        <v>RYAN</v>
      </c>
      <c r="D74" s="230">
        <f>vlookup($C74,HANDICAPS!$B$33:$G$48,4,false)</f>
        <v>27</v>
      </c>
      <c r="E74" s="231">
        <f>if(isblank(E75),"",if(E76=-3,16*D77,if(E76=-2,8*D77,if(E76=-1,4*D77,if(E76=0,2*D77,if(E76=1,0,if(E76&gt;1,-4*D77))))))+D75)</f>
        <v>2</v>
      </c>
      <c r="F74" s="232">
        <f t="shared" ref="F74:M74" si="82">if(isblank(F75),"",if(F76=-3,16*E77+E74,if(F76=-2,8*E77+E74,if(F76=-1,4*E77+E74,if(F76=0,2*E77+E74,if(F76=1,0+E74,if(F76&gt;1,-4*E77+E74)))))))</f>
        <v>2</v>
      </c>
      <c r="G74" s="232">
        <f t="shared" si="82"/>
        <v>4</v>
      </c>
      <c r="H74" s="232">
        <f t="shared" si="82"/>
        <v>6</v>
      </c>
      <c r="I74" s="232">
        <f t="shared" si="82"/>
        <v>8</v>
      </c>
      <c r="J74" s="232">
        <f t="shared" si="82"/>
        <v>8</v>
      </c>
      <c r="K74" s="232">
        <f t="shared" si="82"/>
        <v>4</v>
      </c>
      <c r="L74" s="232">
        <f t="shared" si="82"/>
        <v>4</v>
      </c>
      <c r="M74" s="233">
        <f t="shared" si="82"/>
        <v>8</v>
      </c>
      <c r="N74" s="234">
        <f>M74</f>
        <v>8</v>
      </c>
      <c r="O74" s="235"/>
      <c r="P74" s="231">
        <f>if(isblank(P75),"",if(P76=-3,16*O77+O75+N74,if(P76=-2,8*O77+O75+N74,if(P76=-1,4*O77+O75+N74,if(P76=0,2*O77+O75+N74,if(P76=1,0+N74,if(P76&gt;1,-4*O77+O75+N74)))))))</f>
        <v>8</v>
      </c>
      <c r="Q74" s="232">
        <f t="shared" ref="Q74:X74" si="83">if(isblank(Q75),"",if(Q76=-3,16*P77+P74,if(Q76=-2,8*P77+P74,if(Q76=-1,4*P77+P74,if(Q76=0,2*P77+P74,if(Q76=1,0+P74,if(Q76&gt;1,-4*P77+P74)))))))</f>
        <v>12</v>
      </c>
      <c r="R74" s="232">
        <f t="shared" si="83"/>
        <v>12</v>
      </c>
      <c r="S74" s="232">
        <f t="shared" si="83"/>
        <v>8</v>
      </c>
      <c r="T74" s="232">
        <f t="shared" si="83"/>
        <v>10</v>
      </c>
      <c r="U74" s="232">
        <f t="shared" si="83"/>
        <v>12</v>
      </c>
      <c r="V74" s="232">
        <f t="shared" si="83"/>
        <v>16</v>
      </c>
      <c r="W74" s="232">
        <f t="shared" si="83"/>
        <v>20</v>
      </c>
      <c r="X74" s="233">
        <f t="shared" si="83"/>
        <v>22</v>
      </c>
      <c r="Y74" s="234">
        <f>if(isblank(X75),"",X74-N74)</f>
        <v>14</v>
      </c>
      <c r="Z74" s="234">
        <f>if(isblank(X75),0,X74)</f>
        <v>22</v>
      </c>
      <c r="AA74" s="236">
        <f>X77</f>
        <v>1</v>
      </c>
      <c r="AB74" s="1"/>
    </row>
    <row r="75">
      <c r="B75" s="1"/>
      <c r="C75" s="238" t="s">
        <v>170</v>
      </c>
      <c r="D75" s="239"/>
      <c r="E75" s="240">
        <f>vlookup('ROUND 2 - FOURBALL'!$B88,'ROUND 2 - FOURBALL'!$B:$AC,7,false)</f>
        <v>6</v>
      </c>
      <c r="F75" s="241">
        <f>vlookup('ROUND 2 - FOURBALL'!$B88,'ROUND 2 - FOURBALL'!$B:$AC,8,false)</f>
        <v>6</v>
      </c>
      <c r="G75" s="241">
        <f>vlookup('ROUND 2 - FOURBALL'!$B88,'ROUND 2 - FOURBALL'!$B:$AC,9,false)</f>
        <v>6</v>
      </c>
      <c r="H75" s="241">
        <f>vlookup('ROUND 2 - FOURBALL'!$B88,'ROUND 2 - FOURBALL'!$B:$AC,10,false)</f>
        <v>4</v>
      </c>
      <c r="I75" s="241">
        <f>vlookup('ROUND 2 - FOURBALL'!$B88,'ROUND 2 - FOURBALL'!$B:$AC,11,false)</f>
        <v>5</v>
      </c>
      <c r="J75" s="241">
        <f>vlookup('ROUND 2 - FOURBALL'!$B88,'ROUND 2 - FOURBALL'!$B:$AC,12,false)</f>
        <v>7</v>
      </c>
      <c r="K75" s="241">
        <f>vlookup('ROUND 2 - FOURBALL'!$B88,'ROUND 2 - FOURBALL'!$B:$AC,13,false)</f>
        <v>8</v>
      </c>
      <c r="L75" s="241">
        <f>vlookup('ROUND 2 - FOURBALL'!$B88,'ROUND 2 - FOURBALL'!$B:$AC,14,false)</f>
        <v>5</v>
      </c>
      <c r="M75" s="242">
        <f>vlookup('ROUND 2 - FOURBALL'!$B88,'ROUND 2 - FOURBALL'!$B:$AC,15,false)</f>
        <v>6</v>
      </c>
      <c r="N75" s="243">
        <f>if(isblank(M75),"",sum(E75:M75))</f>
        <v>53</v>
      </c>
      <c r="O75" s="244"/>
      <c r="P75" s="240">
        <f>vlookup('ROUND 2 - FOURBALL'!$B88,'ROUND 2 - FOURBALL'!$B:$AC,18,false)</f>
        <v>6</v>
      </c>
      <c r="Q75" s="241">
        <f>vlookup('ROUND 2 - FOURBALL'!$B88,'ROUND 2 - FOURBALL'!$B:$AC,19,false)</f>
        <v>3</v>
      </c>
      <c r="R75" s="241">
        <f>vlookup('ROUND 2 - FOURBALL'!$B88,'ROUND 2 - FOURBALL'!$B:$AC,20,false)</f>
        <v>8</v>
      </c>
      <c r="S75" s="241">
        <f>vlookup('ROUND 2 - FOURBALL'!$B88,'ROUND 2 - FOURBALL'!$B:$AC,21,false)</f>
        <v>8</v>
      </c>
      <c r="T75" s="241">
        <f>vlookup('ROUND 2 - FOURBALL'!$B88,'ROUND 2 - FOURBALL'!$B:$AC,22,false)</f>
        <v>7</v>
      </c>
      <c r="U75" s="241">
        <f>vlookup('ROUND 2 - FOURBALL'!$B88,'ROUND 2 - FOURBALL'!$B:$AC,23,false)</f>
        <v>5</v>
      </c>
      <c r="V75" s="241">
        <f>vlookup('ROUND 2 - FOURBALL'!$B88,'ROUND 2 - FOURBALL'!$B:$AC,24,false)</f>
        <v>5</v>
      </c>
      <c r="W75" s="241">
        <f>vlookup('ROUND 2 - FOURBALL'!$B88,'ROUND 2 - FOURBALL'!$B:$AC,25,false)</f>
        <v>4</v>
      </c>
      <c r="X75" s="242">
        <f>vlookup('ROUND 2 - FOURBALL'!$B88,'ROUND 2 - FOURBALL'!$B:$AC,26,false)</f>
        <v>6</v>
      </c>
      <c r="Y75" s="243">
        <f>if(isblank(X75),"",sum(P75:X75))</f>
        <v>52</v>
      </c>
      <c r="Z75" s="245">
        <f>if(isblank(X75),"",sum(N75,Y75))</f>
        <v>105</v>
      </c>
      <c r="AA75" s="236"/>
      <c r="AB75" s="1"/>
    </row>
    <row r="76">
      <c r="B76" s="1"/>
      <c r="C76" s="247" t="s">
        <v>171</v>
      </c>
      <c r="D76" s="248"/>
      <c r="E76" s="249">
        <f t="shared" ref="E76:M76" si="84">if(isblank(E75),"",if(and(18-$D74&lt;0,18+E$7&lt;$D74),E75-2-E$6,if(or(E$7&lt;$D74,E$7=$D74),E75-1-E$6,E75-E$6)))</f>
        <v>0</v>
      </c>
      <c r="F76" s="250">
        <f t="shared" si="84"/>
        <v>1</v>
      </c>
      <c r="G76" s="250">
        <f t="shared" si="84"/>
        <v>0</v>
      </c>
      <c r="H76" s="250">
        <f t="shared" si="84"/>
        <v>0</v>
      </c>
      <c r="I76" s="250">
        <f t="shared" si="84"/>
        <v>0</v>
      </c>
      <c r="J76" s="250">
        <f t="shared" si="84"/>
        <v>1</v>
      </c>
      <c r="K76" s="250">
        <f t="shared" si="84"/>
        <v>2</v>
      </c>
      <c r="L76" s="250">
        <f t="shared" si="84"/>
        <v>1</v>
      </c>
      <c r="M76" s="251">
        <f t="shared" si="84"/>
        <v>-1</v>
      </c>
      <c r="N76" s="243">
        <f>if(isblank(M75),"",if(or(N$7&lt;$D74,N$7=$D74),N75-1-N$6,N75-N$6))</f>
        <v>16</v>
      </c>
      <c r="O76" s="244"/>
      <c r="P76" s="249">
        <f t="shared" ref="P76:X76" si="85">if(isblank(P75),"",if(and(18-$D74&lt;0,18+P$7&lt;$D74),P75-2-P$6,if(or(P$7&lt;$D74,P$7=$D74),P75-1-P$6,P75-P$6)))</f>
        <v>1</v>
      </c>
      <c r="Q76" s="250">
        <f t="shared" si="85"/>
        <v>-1</v>
      </c>
      <c r="R76" s="250">
        <f t="shared" si="85"/>
        <v>1</v>
      </c>
      <c r="S76" s="250">
        <f t="shared" si="85"/>
        <v>3</v>
      </c>
      <c r="T76" s="250">
        <f t="shared" si="85"/>
        <v>0</v>
      </c>
      <c r="U76" s="250">
        <f t="shared" si="85"/>
        <v>0</v>
      </c>
      <c r="V76" s="250">
        <f t="shared" si="85"/>
        <v>-1</v>
      </c>
      <c r="W76" s="250">
        <f t="shared" si="85"/>
        <v>0</v>
      </c>
      <c r="X76" s="251">
        <f t="shared" si="85"/>
        <v>0</v>
      </c>
      <c r="Y76" s="243">
        <f>if(isblank(X75),"",if(or(Y$7&lt;$D74,Y$7=$D74),Y75-1-Y$6,Y75-Y$6))</f>
        <v>15</v>
      </c>
      <c r="Z76" s="252">
        <f>if(isblank(X75),"",sum(N76,Y76))</f>
        <v>31</v>
      </c>
      <c r="AA76" s="236"/>
      <c r="AB76" s="1"/>
    </row>
    <row r="77">
      <c r="B77" s="1"/>
      <c r="C77" s="253" t="s">
        <v>172</v>
      </c>
      <c r="D77" s="253">
        <f>vlookup($C74,'TILT Round 1'!$C:$AA,25,false)</f>
        <v>1</v>
      </c>
      <c r="E77" s="255">
        <f t="shared" ref="E77:M77" si="86">if(isblank(E75),"",if(E76=-1,D77+1,if(E76=-2,D77+2,if(E76=-3,D77+3,1))))</f>
        <v>1</v>
      </c>
      <c r="F77" s="256">
        <f t="shared" si="86"/>
        <v>1</v>
      </c>
      <c r="G77" s="256">
        <f t="shared" si="86"/>
        <v>1</v>
      </c>
      <c r="H77" s="256">
        <f t="shared" si="86"/>
        <v>1</v>
      </c>
      <c r="I77" s="256">
        <f t="shared" si="86"/>
        <v>1</v>
      </c>
      <c r="J77" s="256">
        <f t="shared" si="86"/>
        <v>1</v>
      </c>
      <c r="K77" s="256">
        <f t="shared" si="86"/>
        <v>1</v>
      </c>
      <c r="L77" s="256">
        <f t="shared" si="86"/>
        <v>1</v>
      </c>
      <c r="M77" s="257">
        <f t="shared" si="86"/>
        <v>2</v>
      </c>
      <c r="N77" s="258"/>
      <c r="O77" s="259">
        <f>if(isblank(N75),"",if(N76=-1,M77+1,if(N76=-2,M77+2,if(N76=-3,M77+3,1))))</f>
        <v>1</v>
      </c>
      <c r="P77" s="255">
        <f t="shared" ref="P77:X77" si="87">if(isblank(P75),"",if(P76=-1,O77+1,if(P76=-2,O77+2,if(P76=-3,O77+3,1))))</f>
        <v>1</v>
      </c>
      <c r="Q77" s="256">
        <f t="shared" si="87"/>
        <v>2</v>
      </c>
      <c r="R77" s="256">
        <f t="shared" si="87"/>
        <v>1</v>
      </c>
      <c r="S77" s="256">
        <f t="shared" si="87"/>
        <v>1</v>
      </c>
      <c r="T77" s="256">
        <f t="shared" si="87"/>
        <v>1</v>
      </c>
      <c r="U77" s="256">
        <f t="shared" si="87"/>
        <v>1</v>
      </c>
      <c r="V77" s="256">
        <f t="shared" si="87"/>
        <v>2</v>
      </c>
      <c r="W77" s="256">
        <f t="shared" si="87"/>
        <v>1</v>
      </c>
      <c r="X77" s="257">
        <f t="shared" si="87"/>
        <v>1</v>
      </c>
      <c r="Y77" s="258"/>
      <c r="Z77" s="234">
        <f>if(isblank(Y75),"",if(Y76=-1,X77+1,if(Y76=-2,X77+2,if(Y76=-3,X77+3,1))))</f>
        <v>1</v>
      </c>
      <c r="AA77" s="236"/>
      <c r="AB77" s="1"/>
    </row>
    <row r="78">
      <c r="B78" s="1"/>
      <c r="C78" s="1"/>
      <c r="D78" s="1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36"/>
      <c r="AB78" s="1"/>
    </row>
    <row r="79">
      <c r="B79" s="1"/>
      <c r="C79" s="229" t="str">
        <f>'ROUND 2 - FOURBALL'!F93</f>
        <v>SKYLAR</v>
      </c>
      <c r="D79" s="230">
        <f>vlookup($C79,HANDICAPS!$B$33:$G$48,4,false)</f>
        <v>23</v>
      </c>
      <c r="E79" s="231">
        <f>if(isblank(E80),"",if(E81=-3,16*D82,if(E81=-2,8*D82,if(E81=-1,4*D82,if(E81=0,2*D82,if(E81=1,0,if(E81&gt;1,-4*D82))))))+D80)</f>
        <v>0</v>
      </c>
      <c r="F79" s="232">
        <f t="shared" ref="F79:M79" si="88">if(isblank(F80),"",if(F81=-3,16*E82+E79,if(F81=-2,8*E82+E79,if(F81=-1,4*E82+E79,if(F81=0,2*E82+E79,if(F81=1,0+E79,if(F81&gt;1,-4*E82+E79)))))))</f>
        <v>2</v>
      </c>
      <c r="G79" s="232">
        <f t="shared" si="88"/>
        <v>2</v>
      </c>
      <c r="H79" s="232">
        <f t="shared" si="88"/>
        <v>-2</v>
      </c>
      <c r="I79" s="232">
        <f t="shared" si="88"/>
        <v>-2</v>
      </c>
      <c r="J79" s="232">
        <f t="shared" si="88"/>
        <v>-6</v>
      </c>
      <c r="K79" s="232">
        <f t="shared" si="88"/>
        <v>-6</v>
      </c>
      <c r="L79" s="232">
        <f t="shared" si="88"/>
        <v>-2</v>
      </c>
      <c r="M79" s="233">
        <f t="shared" si="88"/>
        <v>6</v>
      </c>
      <c r="N79" s="234">
        <f>M79</f>
        <v>6</v>
      </c>
      <c r="O79" s="235"/>
      <c r="P79" s="231">
        <f>if(isblank(P80),"",if(P81=-3,16*O82+O80+N79,if(P81=-2,8*O82+O80+N79,if(P81=-1,4*O82+O80+N79,if(P81=0,2*O82+O80+N79,if(P81=1,0+N79,if(P81&gt;1,-4*O82+O80+N79)))))))</f>
        <v>2</v>
      </c>
      <c r="Q79" s="232">
        <f t="shared" ref="Q79:X79" si="89">if(isblank(Q80),"",if(Q81=-3,16*P82+P79,if(Q81=-2,8*P82+P79,if(Q81=-1,4*P82+P79,if(Q81=0,2*P82+P79,if(Q81=1,0+P79,if(Q81&gt;1,-4*P82+P79)))))))</f>
        <v>4</v>
      </c>
      <c r="R79" s="232">
        <f t="shared" si="89"/>
        <v>6</v>
      </c>
      <c r="S79" s="232">
        <f t="shared" si="89"/>
        <v>6</v>
      </c>
      <c r="T79" s="232">
        <f t="shared" si="89"/>
        <v>10</v>
      </c>
      <c r="U79" s="232">
        <f t="shared" si="89"/>
        <v>2</v>
      </c>
      <c r="V79" s="232">
        <f t="shared" si="89"/>
        <v>6</v>
      </c>
      <c r="W79" s="232">
        <f t="shared" si="89"/>
        <v>10</v>
      </c>
      <c r="X79" s="233">
        <f t="shared" si="89"/>
        <v>14</v>
      </c>
      <c r="Y79" s="234">
        <f>if(isblank(X80),"",X79-N79)</f>
        <v>8</v>
      </c>
      <c r="Z79" s="234">
        <f>if(isblank(X80),0,X79)</f>
        <v>14</v>
      </c>
      <c r="AA79" s="236">
        <f>X82</f>
        <v>2</v>
      </c>
      <c r="AB79" s="1"/>
    </row>
    <row r="80">
      <c r="A80" s="237"/>
      <c r="B80" s="39"/>
      <c r="C80" s="238" t="s">
        <v>170</v>
      </c>
      <c r="D80" s="239"/>
      <c r="E80" s="240">
        <f>vlookup('ROUND 2 - FOURBALL'!$B94,'ROUND 2 - FOURBALL'!$B:$AC,7,false)</f>
        <v>6</v>
      </c>
      <c r="F80" s="241">
        <f>vlookup('ROUND 2 - FOURBALL'!$B94,'ROUND 2 - FOURBALL'!$B:$AC,8,false)</f>
        <v>5</v>
      </c>
      <c r="G80" s="241">
        <f>vlookup('ROUND 2 - FOURBALL'!$B94,'ROUND 2 - FOURBALL'!$B:$AC,9,false)</f>
        <v>6</v>
      </c>
      <c r="H80" s="241">
        <f>vlookup('ROUND 2 - FOURBALL'!$B94,'ROUND 2 - FOURBALL'!$B:$AC,10,false)</f>
        <v>6</v>
      </c>
      <c r="I80" s="241">
        <f>vlookup('ROUND 2 - FOURBALL'!$B94,'ROUND 2 - FOURBALL'!$B:$AC,11,false)</f>
        <v>6</v>
      </c>
      <c r="J80" s="241">
        <f>vlookup('ROUND 2 - FOURBALL'!$B94,'ROUND 2 - FOURBALL'!$B:$AC,12,false)</f>
        <v>8</v>
      </c>
      <c r="K80" s="241">
        <f>vlookup('ROUND 2 - FOURBALL'!$B94,'ROUND 2 - FOURBALL'!$B:$AC,13,false)</f>
        <v>7</v>
      </c>
      <c r="L80" s="241">
        <f>vlookup('ROUND 2 - FOURBALL'!$B94,'ROUND 2 - FOURBALL'!$B:$AC,14,false)</f>
        <v>3</v>
      </c>
      <c r="M80" s="242">
        <f>vlookup('ROUND 2 - FOURBALL'!$B94,'ROUND 2 - FOURBALL'!$B:$AC,15,false)</f>
        <v>6</v>
      </c>
      <c r="N80" s="243">
        <f>if(isblank(M80),"",sum(E80:M80))</f>
        <v>53</v>
      </c>
      <c r="O80" s="244"/>
      <c r="P80" s="240">
        <f>vlookup('ROUND 2 - FOURBALL'!$B94,'ROUND 2 - FOURBALL'!$B:$AC,18,false)</f>
        <v>7</v>
      </c>
      <c r="Q80" s="241">
        <f>vlookup('ROUND 2 - FOURBALL'!$B94,'ROUND 2 - FOURBALL'!$B:$AC,19,false)</f>
        <v>4</v>
      </c>
      <c r="R80" s="241">
        <f>vlookup('ROUND 2 - FOURBALL'!$B94,'ROUND 2 - FOURBALL'!$B:$AC,20,false)</f>
        <v>6</v>
      </c>
      <c r="S80" s="241">
        <f>vlookup('ROUND 2 - FOURBALL'!$B94,'ROUND 2 - FOURBALL'!$B:$AC,21,false)</f>
        <v>6</v>
      </c>
      <c r="T80" s="241">
        <f>vlookup('ROUND 2 - FOURBALL'!$B94,'ROUND 2 - FOURBALL'!$B:$AC,22,false)</f>
        <v>6</v>
      </c>
      <c r="U80" s="241">
        <f>vlookup('ROUND 2 - FOURBALL'!$B94,'ROUND 2 - FOURBALL'!$B:$AC,23,false)</f>
        <v>7</v>
      </c>
      <c r="V80" s="241">
        <f>vlookup('ROUND 2 - FOURBALL'!$B94,'ROUND 2 - FOURBALL'!$B:$AC,24,false)</f>
        <v>5</v>
      </c>
      <c r="W80" s="241">
        <f>vlookup('ROUND 2 - FOURBALL'!$B94,'ROUND 2 - FOURBALL'!$B:$AC,25,false)</f>
        <v>4</v>
      </c>
      <c r="X80" s="242">
        <f>vlookup('ROUND 2 - FOURBALL'!$B94,'ROUND 2 - FOURBALL'!$B:$AC,26,false)</f>
        <v>4</v>
      </c>
      <c r="Y80" s="243">
        <f>if(isblank(X80),"",sum(P80:X80))</f>
        <v>49</v>
      </c>
      <c r="Z80" s="245">
        <f>if(isblank(X80),"",sum(N80,Y80))</f>
        <v>102</v>
      </c>
      <c r="AA80" s="42"/>
      <c r="AB80" s="39"/>
    </row>
    <row r="81">
      <c r="A81" s="237"/>
      <c r="B81" s="39"/>
      <c r="C81" s="247" t="s">
        <v>171</v>
      </c>
      <c r="D81" s="248"/>
      <c r="E81" s="249">
        <f t="shared" ref="E81:M81" si="90">if(isblank(E80),"",if(and(18-$D79&lt;0,18+E$7&lt;$D79),E80-2-E$6,if(or(E$7&lt;$D79,E$7=$D79),E80-1-E$6,E80-E$6)))</f>
        <v>1</v>
      </c>
      <c r="F81" s="250">
        <f t="shared" si="90"/>
        <v>0</v>
      </c>
      <c r="G81" s="250">
        <f t="shared" si="90"/>
        <v>1</v>
      </c>
      <c r="H81" s="250">
        <f t="shared" si="90"/>
        <v>2</v>
      </c>
      <c r="I81" s="250">
        <f t="shared" si="90"/>
        <v>1</v>
      </c>
      <c r="J81" s="250">
        <f t="shared" si="90"/>
        <v>2</v>
      </c>
      <c r="K81" s="250">
        <f t="shared" si="90"/>
        <v>1</v>
      </c>
      <c r="L81" s="250">
        <f t="shared" si="90"/>
        <v>-1</v>
      </c>
      <c r="M81" s="251">
        <f t="shared" si="90"/>
        <v>-1</v>
      </c>
      <c r="N81" s="243">
        <f>if(isblank(M80),"",if(or(N$7&lt;$D79,N$7=$D79),N80-1-N$6,N80-N$6))</f>
        <v>16</v>
      </c>
      <c r="O81" s="244"/>
      <c r="P81" s="249">
        <f t="shared" ref="P81:X81" si="91">if(isblank(P80),"",if(and(18-$D79&lt;0,18+P$7&lt;$D79),P80-2-P$6,if(or(P$7&lt;$D79,P$7=$D79),P80-1-P$6,P80-P$6)))</f>
        <v>2</v>
      </c>
      <c r="Q81" s="250">
        <f t="shared" si="91"/>
        <v>0</v>
      </c>
      <c r="R81" s="250">
        <f t="shared" si="91"/>
        <v>0</v>
      </c>
      <c r="S81" s="250">
        <f t="shared" si="91"/>
        <v>1</v>
      </c>
      <c r="T81" s="250">
        <f t="shared" si="91"/>
        <v>-1</v>
      </c>
      <c r="U81" s="250">
        <f t="shared" si="91"/>
        <v>2</v>
      </c>
      <c r="V81" s="250">
        <f t="shared" si="91"/>
        <v>-1</v>
      </c>
      <c r="W81" s="250">
        <f t="shared" si="91"/>
        <v>0</v>
      </c>
      <c r="X81" s="251">
        <f t="shared" si="91"/>
        <v>-1</v>
      </c>
      <c r="Y81" s="243">
        <f>if(isblank(X80),"",if(or(Y$7&lt;$D79,Y$7=$D79),Y80-1-Y$6,Y80-Y$6))</f>
        <v>12</v>
      </c>
      <c r="Z81" s="252">
        <f>if(isblank(X80),"",sum(N81,Y81))</f>
        <v>28</v>
      </c>
      <c r="AA81" s="42"/>
      <c r="AB81" s="39"/>
    </row>
    <row r="82">
      <c r="B82" s="1"/>
      <c r="C82" s="253" t="s">
        <v>172</v>
      </c>
      <c r="D82" s="253">
        <f>vlookup($C79,'TILT Round 1'!$C:$AA,25,false)</f>
        <v>1</v>
      </c>
      <c r="E82" s="255">
        <f t="shared" ref="E82:M82" si="92">if(isblank(E80),"",if(E81=-1,D82+1,if(E81=-2,D82+2,if(E81=-3,D82+3,1))))</f>
        <v>1</v>
      </c>
      <c r="F82" s="256">
        <f t="shared" si="92"/>
        <v>1</v>
      </c>
      <c r="G82" s="256">
        <f t="shared" si="92"/>
        <v>1</v>
      </c>
      <c r="H82" s="256">
        <f t="shared" si="92"/>
        <v>1</v>
      </c>
      <c r="I82" s="256">
        <f t="shared" si="92"/>
        <v>1</v>
      </c>
      <c r="J82" s="256">
        <f t="shared" si="92"/>
        <v>1</v>
      </c>
      <c r="K82" s="256">
        <f t="shared" si="92"/>
        <v>1</v>
      </c>
      <c r="L82" s="256">
        <f t="shared" si="92"/>
        <v>2</v>
      </c>
      <c r="M82" s="257">
        <f t="shared" si="92"/>
        <v>3</v>
      </c>
      <c r="N82" s="258"/>
      <c r="O82" s="259">
        <f>if(isblank(N80),"",if(N81=-1,M82+1,if(N81=-2,M82+2,if(N81=-3,M82+3,1))))</f>
        <v>1</v>
      </c>
      <c r="P82" s="255">
        <f t="shared" ref="P82:X82" si="93">if(isblank(P80),"",if(P81=-1,O82+1,if(P81=-2,O82+2,if(P81=-3,O82+3,1))))</f>
        <v>1</v>
      </c>
      <c r="Q82" s="256">
        <f t="shared" si="93"/>
        <v>1</v>
      </c>
      <c r="R82" s="256">
        <f t="shared" si="93"/>
        <v>1</v>
      </c>
      <c r="S82" s="256">
        <f t="shared" si="93"/>
        <v>1</v>
      </c>
      <c r="T82" s="256">
        <f t="shared" si="93"/>
        <v>2</v>
      </c>
      <c r="U82" s="256">
        <f t="shared" si="93"/>
        <v>1</v>
      </c>
      <c r="V82" s="256">
        <f t="shared" si="93"/>
        <v>2</v>
      </c>
      <c r="W82" s="256">
        <f t="shared" si="93"/>
        <v>1</v>
      </c>
      <c r="X82" s="257">
        <f t="shared" si="93"/>
        <v>2</v>
      </c>
      <c r="Y82" s="258"/>
      <c r="Z82" s="234">
        <f>if(isblank(Y80),"",if(Y81=-1,X82+1,if(Y81=-2,X82+2,if(Y81=-3,X82+3,1))))</f>
        <v>1</v>
      </c>
      <c r="AA82" s="236"/>
      <c r="AB82" s="1"/>
    </row>
    <row r="83">
      <c r="B83" s="1"/>
      <c r="C83" s="261"/>
      <c r="D83" s="261"/>
      <c r="E83" s="262"/>
      <c r="F83" s="262"/>
      <c r="G83" s="262"/>
      <c r="H83" s="263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3"/>
      <c r="W83" s="262"/>
      <c r="X83" s="262"/>
      <c r="Y83" s="262"/>
      <c r="Z83" s="262"/>
      <c r="AA83" s="236"/>
      <c r="AB83" s="1"/>
    </row>
    <row r="84">
      <c r="B84" s="1"/>
      <c r="C84" s="229" t="str">
        <f>'ROUND 2 - FOURBALL'!F95</f>
        <v>SHEPP</v>
      </c>
      <c r="D84" s="230">
        <f>vlookup($C84,HANDICAPS!$B$33:$G$48,4,false)</f>
        <v>23</v>
      </c>
      <c r="E84" s="231">
        <f>if(isblank(E85),"",if(E86=-3,16*D87,if(E86=-2,8*D87,if(E86=-1,4*D87,if(E86=0,2*D87,if(E86=1,0,if(E86&gt;1,-4*D87))))))+D85)</f>
        <v>2</v>
      </c>
      <c r="F84" s="232">
        <f t="shared" ref="F84:M84" si="94">if(isblank(F85),"",if(F86=-3,16*E87+E84,if(F86=-2,8*E87+E84,if(F86=-1,4*E87+E84,if(F86=0,2*E87+E84,if(F86=1,0+E84,if(F86&gt;1,-4*E87+E84)))))))</f>
        <v>6</v>
      </c>
      <c r="G84" s="232">
        <f t="shared" si="94"/>
        <v>-2</v>
      </c>
      <c r="H84" s="232">
        <f t="shared" si="94"/>
        <v>2</v>
      </c>
      <c r="I84" s="232">
        <f t="shared" si="94"/>
        <v>2</v>
      </c>
      <c r="J84" s="232">
        <f t="shared" si="94"/>
        <v>-2</v>
      </c>
      <c r="K84" s="232">
        <f t="shared" si="94"/>
        <v>-6</v>
      </c>
      <c r="L84" s="232">
        <f t="shared" si="94"/>
        <v>-6</v>
      </c>
      <c r="M84" s="233">
        <f t="shared" si="94"/>
        <v>-6</v>
      </c>
      <c r="N84" s="234">
        <f>M84</f>
        <v>-6</v>
      </c>
      <c r="O84" s="235"/>
      <c r="P84" s="231">
        <f>if(isblank(P85),"",if(P86=-3,16*O87+O85+N84,if(P86=-2,8*O87+O85+N84,if(P86=-1,4*O87+O85+N84,if(P86=0,2*O87+O85+N84,if(P86=1,0+N84,if(P86&gt;1,-4*O87+O85+N84)))))))</f>
        <v>-10</v>
      </c>
      <c r="Q84" s="232">
        <f t="shared" ref="Q84:X84" si="95">if(isblank(Q85),"",if(Q86=-3,16*P87+P84,if(Q86=-2,8*P87+P84,if(Q86=-1,4*P87+P84,if(Q86=0,2*P87+P84,if(Q86=1,0+P84,if(Q86&gt;1,-4*P87+P84)))))))</f>
        <v>-10</v>
      </c>
      <c r="R84" s="232">
        <f t="shared" si="95"/>
        <v>-8</v>
      </c>
      <c r="S84" s="232">
        <f t="shared" si="95"/>
        <v>-8</v>
      </c>
      <c r="T84" s="232">
        <f t="shared" si="95"/>
        <v>-6</v>
      </c>
      <c r="U84" s="232">
        <f t="shared" si="95"/>
        <v>-2</v>
      </c>
      <c r="V84" s="232">
        <f t="shared" si="95"/>
        <v>-2</v>
      </c>
      <c r="W84" s="232">
        <f t="shared" si="95"/>
        <v>2</v>
      </c>
      <c r="X84" s="233">
        <f t="shared" si="95"/>
        <v>-6</v>
      </c>
      <c r="Y84" s="234">
        <f>if(isblank(X85),"",X84-N84)</f>
        <v>0</v>
      </c>
      <c r="Z84" s="234">
        <f>if(isblank(X85),0,X84)</f>
        <v>-6</v>
      </c>
      <c r="AA84" s="236">
        <f>X87</f>
        <v>1</v>
      </c>
      <c r="AB84" s="1"/>
    </row>
    <row r="85">
      <c r="B85" s="1"/>
      <c r="C85" s="238" t="s">
        <v>170</v>
      </c>
      <c r="D85" s="239"/>
      <c r="E85" s="240">
        <f>vlookup('ROUND 2 - FOURBALL'!$B96,'ROUND 2 - FOURBALL'!$B:$AC,7,false)</f>
        <v>5</v>
      </c>
      <c r="F85" s="241">
        <f>vlookup('ROUND 2 - FOURBALL'!$B96,'ROUND 2 - FOURBALL'!$B:$AC,8,false)</f>
        <v>4</v>
      </c>
      <c r="G85" s="241">
        <f>vlookup('ROUND 2 - FOURBALL'!$B96,'ROUND 2 - FOURBALL'!$B:$AC,9,false)</f>
        <v>8</v>
      </c>
      <c r="H85" s="241">
        <f>vlookup('ROUND 2 - FOURBALL'!$B96,'ROUND 2 - FOURBALL'!$B:$AC,10,false)</f>
        <v>3</v>
      </c>
      <c r="I85" s="241">
        <f>vlookup('ROUND 2 - FOURBALL'!$B96,'ROUND 2 - FOURBALL'!$B:$AC,11,false)</f>
        <v>6</v>
      </c>
      <c r="J85" s="241">
        <f>vlookup('ROUND 2 - FOURBALL'!$B96,'ROUND 2 - FOURBALL'!$B:$AC,12,false)</f>
        <v>8</v>
      </c>
      <c r="K85" s="241">
        <f>vlookup('ROUND 2 - FOURBALL'!$B96,'ROUND 2 - FOURBALL'!$B:$AC,13,false)</f>
        <v>8</v>
      </c>
      <c r="L85" s="241">
        <f>vlookup('ROUND 2 - FOURBALL'!$B96,'ROUND 2 - FOURBALL'!$B:$AC,14,false)</f>
        <v>5</v>
      </c>
      <c r="M85" s="242">
        <f>vlookup('ROUND 2 - FOURBALL'!$B96,'ROUND 2 - FOURBALL'!$B:$AC,15,false)</f>
        <v>8</v>
      </c>
      <c r="N85" s="243">
        <f>if(isblank(M85),"",sum(E85:M85))</f>
        <v>55</v>
      </c>
      <c r="O85" s="244"/>
      <c r="P85" s="240">
        <f>vlookup('ROUND 2 - FOURBALL'!$B96,'ROUND 2 - FOURBALL'!$B:$AC,18,false)</f>
        <v>7</v>
      </c>
      <c r="Q85" s="241">
        <f>vlookup('ROUND 2 - FOURBALL'!$B96,'ROUND 2 - FOURBALL'!$B:$AC,19,false)</f>
        <v>5</v>
      </c>
      <c r="R85" s="241">
        <f>vlookup('ROUND 2 - FOURBALL'!$B96,'ROUND 2 - FOURBALL'!$B:$AC,20,false)</f>
        <v>6</v>
      </c>
      <c r="S85" s="241">
        <f>vlookup('ROUND 2 - FOURBALL'!$B96,'ROUND 2 - FOURBALL'!$B:$AC,21,false)</f>
        <v>6</v>
      </c>
      <c r="T85" s="241">
        <f>vlookup('ROUND 2 - FOURBALL'!$B96,'ROUND 2 - FOURBALL'!$B:$AC,22,false)</f>
        <v>7</v>
      </c>
      <c r="U85" s="241">
        <f>vlookup('ROUND 2 - FOURBALL'!$B96,'ROUND 2 - FOURBALL'!$B:$AC,23,false)</f>
        <v>4</v>
      </c>
      <c r="V85" s="241">
        <f>vlookup('ROUND 2 - FOURBALL'!$B96,'ROUND 2 - FOURBALL'!$B:$AC,24,false)</f>
        <v>7</v>
      </c>
      <c r="W85" s="241">
        <f>vlookup('ROUND 2 - FOURBALL'!$B96,'ROUND 2 - FOURBALL'!$B:$AC,25,false)</f>
        <v>3</v>
      </c>
      <c r="X85" s="242">
        <f>vlookup('ROUND 2 - FOURBALL'!$B96,'ROUND 2 - FOURBALL'!$B:$AC,26,false)</f>
        <v>7</v>
      </c>
      <c r="Y85" s="243">
        <f>if(isblank(X85),"",sum(P85:X85))</f>
        <v>52</v>
      </c>
      <c r="Z85" s="245">
        <f>if(isblank(X85),"",sum(N85,Y85))</f>
        <v>107</v>
      </c>
      <c r="AA85" s="236"/>
      <c r="AB85" s="1"/>
    </row>
    <row r="86">
      <c r="B86" s="1"/>
      <c r="C86" s="247" t="s">
        <v>171</v>
      </c>
      <c r="D86" s="248"/>
      <c r="E86" s="249">
        <f t="shared" ref="E86:M86" si="96">if(isblank(E85),"",if(and(18-$D84&lt;0,18+E$7&lt;$D84),E85-2-E$6,if(or(E$7&lt;$D84,E$7=$D84),E85-1-E$6,E85-E$6)))</f>
        <v>0</v>
      </c>
      <c r="F86" s="250">
        <f t="shared" si="96"/>
        <v>-1</v>
      </c>
      <c r="G86" s="250">
        <f t="shared" si="96"/>
        <v>3</v>
      </c>
      <c r="H86" s="250">
        <f t="shared" si="96"/>
        <v>-1</v>
      </c>
      <c r="I86" s="250">
        <f t="shared" si="96"/>
        <v>1</v>
      </c>
      <c r="J86" s="250">
        <f t="shared" si="96"/>
        <v>2</v>
      </c>
      <c r="K86" s="250">
        <f t="shared" si="96"/>
        <v>2</v>
      </c>
      <c r="L86" s="250">
        <f t="shared" si="96"/>
        <v>1</v>
      </c>
      <c r="M86" s="251">
        <f t="shared" si="96"/>
        <v>1</v>
      </c>
      <c r="N86" s="243">
        <f>if(isblank(M85),"",if(or(N$7&lt;$D84,N$7=$D84),N85-1-N$6,N85-N$6))</f>
        <v>18</v>
      </c>
      <c r="O86" s="244"/>
      <c r="P86" s="249">
        <f t="shared" ref="P86:X86" si="97">if(isblank(P85),"",if(and(18-$D84&lt;0,18+P$7&lt;$D84),P85-2-P$6,if(or(P$7&lt;$D84,P$7=$D84),P85-1-P$6,P85-P$6)))</f>
        <v>2</v>
      </c>
      <c r="Q86" s="250">
        <f t="shared" si="97"/>
        <v>1</v>
      </c>
      <c r="R86" s="250">
        <f t="shared" si="97"/>
        <v>0</v>
      </c>
      <c r="S86" s="250">
        <f t="shared" si="97"/>
        <v>1</v>
      </c>
      <c r="T86" s="250">
        <f t="shared" si="97"/>
        <v>0</v>
      </c>
      <c r="U86" s="250">
        <f t="shared" si="97"/>
        <v>-1</v>
      </c>
      <c r="V86" s="250">
        <f t="shared" si="97"/>
        <v>1</v>
      </c>
      <c r="W86" s="250">
        <f t="shared" si="97"/>
        <v>-1</v>
      </c>
      <c r="X86" s="251">
        <f t="shared" si="97"/>
        <v>2</v>
      </c>
      <c r="Y86" s="243">
        <f>if(isblank(X85),"",if(or(Y$7&lt;$D84,Y$7=$D84),Y85-1-Y$6,Y85-Y$6))</f>
        <v>15</v>
      </c>
      <c r="Z86" s="252">
        <f>if(isblank(X85),"",sum(N86,Y86))</f>
        <v>33</v>
      </c>
      <c r="AA86" s="236"/>
      <c r="AB86" s="1"/>
    </row>
    <row r="87">
      <c r="B87" s="1"/>
      <c r="C87" s="253" t="s">
        <v>172</v>
      </c>
      <c r="D87" s="253">
        <f>vlookup($C84,'TILT Round 1'!$C:$AA,25,false)</f>
        <v>1</v>
      </c>
      <c r="E87" s="255">
        <f t="shared" ref="E87:M87" si="98">if(isblank(E85),"",if(E86=-1,D87+1,if(E86=-2,D87+2,if(E86=-3,D87+3,1))))</f>
        <v>1</v>
      </c>
      <c r="F87" s="256">
        <f t="shared" si="98"/>
        <v>2</v>
      </c>
      <c r="G87" s="256">
        <f t="shared" si="98"/>
        <v>1</v>
      </c>
      <c r="H87" s="256">
        <f t="shared" si="98"/>
        <v>2</v>
      </c>
      <c r="I87" s="256">
        <f t="shared" si="98"/>
        <v>1</v>
      </c>
      <c r="J87" s="256">
        <f t="shared" si="98"/>
        <v>1</v>
      </c>
      <c r="K87" s="256">
        <f t="shared" si="98"/>
        <v>1</v>
      </c>
      <c r="L87" s="256">
        <f t="shared" si="98"/>
        <v>1</v>
      </c>
      <c r="M87" s="257">
        <f t="shared" si="98"/>
        <v>1</v>
      </c>
      <c r="N87" s="258"/>
      <c r="O87" s="259">
        <f>if(isblank(N85),"",if(N86=-1,M87+1,if(N86=-2,M87+2,if(N86=-3,M87+3,1))))</f>
        <v>1</v>
      </c>
      <c r="P87" s="255">
        <f t="shared" ref="P87:X87" si="99">if(isblank(P85),"",if(P86=-1,O87+1,if(P86=-2,O87+2,if(P86=-3,O87+3,1))))</f>
        <v>1</v>
      </c>
      <c r="Q87" s="256">
        <f t="shared" si="99"/>
        <v>1</v>
      </c>
      <c r="R87" s="256">
        <f t="shared" si="99"/>
        <v>1</v>
      </c>
      <c r="S87" s="256">
        <f t="shared" si="99"/>
        <v>1</v>
      </c>
      <c r="T87" s="256">
        <f t="shared" si="99"/>
        <v>1</v>
      </c>
      <c r="U87" s="256">
        <f t="shared" si="99"/>
        <v>2</v>
      </c>
      <c r="V87" s="256">
        <f t="shared" si="99"/>
        <v>1</v>
      </c>
      <c r="W87" s="256">
        <f t="shared" si="99"/>
        <v>2</v>
      </c>
      <c r="X87" s="257">
        <f t="shared" si="99"/>
        <v>1</v>
      </c>
      <c r="Y87" s="258"/>
      <c r="Z87" s="234">
        <f>if(isblank(Y85),"",if(Y86=-1,X87+1,if(Y86=-2,X87+2,if(Y86=-3,X87+3,1))))</f>
        <v>1</v>
      </c>
      <c r="AA87" s="236"/>
      <c r="AB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B147" s="66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>
      <c r="B148" s="7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B149" s="17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B150" s="173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B151" s="173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B152" s="173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B153" s="173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B154" s="173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B155" s="173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B156" s="173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B157" s="173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B158" s="173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B159" s="173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B160" s="173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B161" s="173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B162" s="173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B163" s="17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</sheetData>
  <mergeCells count="6">
    <mergeCell ref="AA1:AB1"/>
    <mergeCell ref="C2:Z2"/>
    <mergeCell ref="AA2:AB2"/>
    <mergeCell ref="G3:K3"/>
    <mergeCell ref="S3:W3"/>
    <mergeCell ref="C4:C7"/>
  </mergeCells>
  <conditionalFormatting sqref="D12:Z12 D17:Z17 D22:Z22 D27:Z27 D32:Z32 D37:Z37 D42:Z42 D47:Z47 D52:Z52 D57:Z57 D62:Z62 D67:Z67 D72:Z72 D77:Z77 D82:Z82 D87:Z87">
    <cfRule type="cellIs" dxfId="2" priority="1" operator="equal">
      <formula>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2" width="12.63"/>
    <col customWidth="1" min="3" max="3" width="4.0"/>
    <col customWidth="1" hidden="1" min="4" max="4" width="3.38"/>
    <col customWidth="1" min="5" max="5" width="0.75"/>
    <col customWidth="1" min="6" max="6" width="32.75"/>
    <col customWidth="1" min="7" max="7" width="9.88"/>
    <col customWidth="1" min="8" max="17" width="5.88"/>
    <col customWidth="1" min="18" max="18" width="1.5"/>
    <col customWidth="1" min="19" max="28" width="5.88"/>
    <col customWidth="1" min="29" max="29" width="7.13"/>
    <col customWidth="1" min="30" max="30" width="1.13"/>
    <col customWidth="1" min="31" max="32" width="20.63"/>
  </cols>
  <sheetData>
    <row r="1" ht="60.0" hidden="1" customHeight="1">
      <c r="A1" s="60"/>
      <c r="B1" s="6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6.75" customHeight="1">
      <c r="A2" s="60"/>
      <c r="B2" s="60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  <c r="AA2" s="4"/>
      <c r="AB2" s="4"/>
      <c r="AC2" s="4"/>
      <c r="AD2" s="5"/>
      <c r="AE2" s="1"/>
      <c r="AF2" s="1"/>
    </row>
    <row r="3">
      <c r="A3" s="60"/>
      <c r="B3" s="60"/>
      <c r="C3" s="1"/>
      <c r="D3" s="6">
        <v>5.0</v>
      </c>
      <c r="E3" s="7"/>
      <c r="F3" s="140" t="s">
        <v>181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2"/>
      <c r="AD3" s="12"/>
      <c r="AE3" s="1"/>
      <c r="AF3" s="1"/>
    </row>
    <row r="4" ht="18.75" customHeight="1">
      <c r="A4" s="60"/>
      <c r="B4" s="60"/>
      <c r="C4" s="1"/>
      <c r="D4" s="1"/>
      <c r="E4" s="7"/>
      <c r="F4" s="1"/>
      <c r="G4" s="1"/>
      <c r="H4" s="1"/>
      <c r="I4" s="1"/>
      <c r="J4" s="13" t="s">
        <v>135</v>
      </c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3" t="s">
        <v>136</v>
      </c>
      <c r="W4" s="14"/>
      <c r="X4" s="14"/>
      <c r="Y4" s="14"/>
      <c r="Z4" s="14"/>
      <c r="AA4" s="1"/>
      <c r="AB4" s="1"/>
      <c r="AC4" s="1"/>
      <c r="AD4" s="12"/>
      <c r="AE4" s="1"/>
      <c r="AF4" s="1"/>
    </row>
    <row r="5" ht="15.0" customHeight="1">
      <c r="A5" s="60"/>
      <c r="B5" s="60"/>
      <c r="C5" s="1"/>
      <c r="D5" s="1"/>
      <c r="E5" s="7"/>
      <c r="F5" s="1"/>
      <c r="G5" s="143" t="s">
        <v>137</v>
      </c>
      <c r="H5" s="143">
        <v>1.0</v>
      </c>
      <c r="I5" s="143">
        <v>2.0</v>
      </c>
      <c r="J5" s="143">
        <v>3.0</v>
      </c>
      <c r="K5" s="143">
        <v>4.0</v>
      </c>
      <c r="L5" s="143">
        <v>5.0</v>
      </c>
      <c r="M5" s="143">
        <v>6.0</v>
      </c>
      <c r="N5" s="143">
        <v>7.0</v>
      </c>
      <c r="O5" s="143">
        <v>8.0</v>
      </c>
      <c r="P5" s="143">
        <v>9.0</v>
      </c>
      <c r="Q5" s="143" t="s">
        <v>138</v>
      </c>
      <c r="R5" s="16"/>
      <c r="S5" s="143">
        <v>10.0</v>
      </c>
      <c r="T5" s="143">
        <v>11.0</v>
      </c>
      <c r="U5" s="143">
        <v>12.0</v>
      </c>
      <c r="V5" s="143">
        <v>13.0</v>
      </c>
      <c r="W5" s="143">
        <v>14.0</v>
      </c>
      <c r="X5" s="143">
        <v>15.0</v>
      </c>
      <c r="Y5" s="143">
        <v>16.0</v>
      </c>
      <c r="Z5" s="143">
        <v>17.0</v>
      </c>
      <c r="AA5" s="143">
        <v>18.0</v>
      </c>
      <c r="AB5" s="143" t="s">
        <v>139</v>
      </c>
      <c r="AC5" s="143" t="s">
        <v>31</v>
      </c>
      <c r="AD5" s="12"/>
      <c r="AE5" s="1"/>
      <c r="AF5" s="1"/>
    </row>
    <row r="6" ht="15.0" customHeight="1">
      <c r="A6" s="60"/>
      <c r="B6" s="60"/>
      <c r="C6" s="1"/>
      <c r="D6" s="1"/>
      <c r="E6" s="7"/>
      <c r="F6" s="144" t="s">
        <v>154</v>
      </c>
      <c r="G6" s="182" t="s">
        <v>104</v>
      </c>
      <c r="H6" s="182">
        <v>355.0</v>
      </c>
      <c r="I6" s="182">
        <v>311.0</v>
      </c>
      <c r="J6" s="182">
        <v>494.0</v>
      </c>
      <c r="K6" s="182">
        <v>367.0</v>
      </c>
      <c r="L6" s="182">
        <v>417.0</v>
      </c>
      <c r="M6" s="182">
        <v>487.0</v>
      </c>
      <c r="N6" s="182">
        <v>136.0</v>
      </c>
      <c r="O6" s="182">
        <v>361.0</v>
      </c>
      <c r="P6" s="182">
        <v>166.0</v>
      </c>
      <c r="Q6" s="182">
        <f t="shared" ref="Q6:Q7" si="1">SUM(H6:P6)</f>
        <v>3094</v>
      </c>
      <c r="R6" s="17"/>
      <c r="S6" s="182">
        <v>285.0</v>
      </c>
      <c r="T6" s="182">
        <v>531.0</v>
      </c>
      <c r="U6" s="182">
        <v>331.0</v>
      </c>
      <c r="V6" s="182">
        <v>516.0</v>
      </c>
      <c r="W6" s="182">
        <v>160.0</v>
      </c>
      <c r="X6" s="182">
        <v>401.0</v>
      </c>
      <c r="Y6" s="182">
        <v>151.0</v>
      </c>
      <c r="Z6" s="182">
        <v>385.0</v>
      </c>
      <c r="AA6" s="182">
        <v>498.0</v>
      </c>
      <c r="AB6" s="182">
        <f t="shared" ref="AB6:AB7" si="2">SUM(S6:AA6)</f>
        <v>3258</v>
      </c>
      <c r="AC6" s="182">
        <f t="shared" ref="AC6:AC7" si="3">AB6+Q6</f>
        <v>6352</v>
      </c>
      <c r="AD6" s="12"/>
      <c r="AE6" s="1"/>
      <c r="AF6" s="1"/>
    </row>
    <row r="7" ht="15.0" customHeight="1">
      <c r="A7" s="60"/>
      <c r="B7" s="60"/>
      <c r="C7" s="1"/>
      <c r="D7" s="1"/>
      <c r="E7" s="7"/>
      <c r="F7" s="146"/>
      <c r="G7" s="147" t="s">
        <v>113</v>
      </c>
      <c r="H7" s="147">
        <v>4.0</v>
      </c>
      <c r="I7" s="147">
        <v>4.0</v>
      </c>
      <c r="J7" s="147">
        <v>5.0</v>
      </c>
      <c r="K7" s="147">
        <v>4.0</v>
      </c>
      <c r="L7" s="147">
        <v>4.0</v>
      </c>
      <c r="M7" s="147">
        <v>5.0</v>
      </c>
      <c r="N7" s="147">
        <v>3.0</v>
      </c>
      <c r="O7" s="147">
        <v>4.0</v>
      </c>
      <c r="P7" s="147">
        <v>3.0</v>
      </c>
      <c r="Q7" s="147">
        <f t="shared" si="1"/>
        <v>36</v>
      </c>
      <c r="R7" s="17"/>
      <c r="S7" s="147">
        <v>4.0</v>
      </c>
      <c r="T7" s="147">
        <v>5.0</v>
      </c>
      <c r="U7" s="147">
        <v>4.0</v>
      </c>
      <c r="V7" s="147">
        <v>5.0</v>
      </c>
      <c r="W7" s="147">
        <v>3.0</v>
      </c>
      <c r="X7" s="147">
        <v>4.0</v>
      </c>
      <c r="Y7" s="147">
        <v>3.0</v>
      </c>
      <c r="Z7" s="147">
        <v>4.0</v>
      </c>
      <c r="AA7" s="147">
        <v>5.0</v>
      </c>
      <c r="AB7" s="147">
        <f t="shared" si="2"/>
        <v>37</v>
      </c>
      <c r="AC7" s="147">
        <f t="shared" si="3"/>
        <v>73</v>
      </c>
      <c r="AD7" s="12"/>
      <c r="AE7" s="1"/>
      <c r="AF7" s="1"/>
    </row>
    <row r="8" ht="15.0" customHeight="1">
      <c r="A8" s="60"/>
      <c r="B8" s="60"/>
      <c r="C8" s="1"/>
      <c r="D8" s="1"/>
      <c r="E8" s="7"/>
      <c r="F8" s="1"/>
      <c r="G8" s="148" t="s">
        <v>142</v>
      </c>
      <c r="H8" s="148">
        <v>9.0</v>
      </c>
      <c r="I8" s="148">
        <v>17.0</v>
      </c>
      <c r="J8" s="148">
        <v>5.0</v>
      </c>
      <c r="K8" s="148">
        <v>7.0</v>
      </c>
      <c r="L8" s="148">
        <v>1.0</v>
      </c>
      <c r="M8" s="148">
        <v>13.0</v>
      </c>
      <c r="N8" s="148">
        <v>15.0</v>
      </c>
      <c r="O8" s="148">
        <v>3.0</v>
      </c>
      <c r="P8" s="148">
        <v>11.0</v>
      </c>
      <c r="Q8" s="148"/>
      <c r="R8" s="17"/>
      <c r="S8" s="148">
        <v>18.0</v>
      </c>
      <c r="T8" s="148">
        <v>4.0</v>
      </c>
      <c r="U8" s="148">
        <v>8.0</v>
      </c>
      <c r="V8" s="148">
        <v>14.0</v>
      </c>
      <c r="W8" s="148">
        <v>12.0</v>
      </c>
      <c r="X8" s="148">
        <v>2.0</v>
      </c>
      <c r="Y8" s="148">
        <v>16.0</v>
      </c>
      <c r="Z8" s="148">
        <v>6.0</v>
      </c>
      <c r="AA8" s="148">
        <v>10.0</v>
      </c>
      <c r="AB8" s="148"/>
      <c r="AC8" s="148"/>
      <c r="AD8" s="12"/>
      <c r="AE8" s="1"/>
      <c r="AF8" s="1"/>
    </row>
    <row r="9" ht="6.75" customHeight="1">
      <c r="A9" s="60"/>
      <c r="B9" s="60"/>
      <c r="C9" s="1"/>
      <c r="D9" s="1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2"/>
      <c r="AE9" s="1"/>
      <c r="AF9" s="1"/>
    </row>
    <row r="10" ht="11.25" customHeight="1">
      <c r="A10" s="60"/>
      <c r="B10" s="60"/>
      <c r="C10" s="1"/>
      <c r="D10" s="1"/>
      <c r="E10" s="7"/>
      <c r="F10" s="183" t="s">
        <v>129</v>
      </c>
      <c r="G10" s="150">
        <f>IFERROR(VLOOKUP(F10,HANDICAPS!$B$8:$G$23,$D$3,FALSE),"")</f>
        <v>12</v>
      </c>
      <c r="H10" s="151" t="str">
        <f t="shared" ref="H10:P10" si="4">IFERROR(IF($G10&gt;18,IF(($G10-18)&gt;H$33,"**","*"),IF($G10&gt;=H$8,"*","")),"")</f>
        <v>*</v>
      </c>
      <c r="I10" s="151" t="str">
        <f t="shared" si="4"/>
        <v/>
      </c>
      <c r="J10" s="151" t="str">
        <f t="shared" si="4"/>
        <v>*</v>
      </c>
      <c r="K10" s="151" t="str">
        <f t="shared" si="4"/>
        <v>*</v>
      </c>
      <c r="L10" s="151" t="str">
        <f t="shared" si="4"/>
        <v>*</v>
      </c>
      <c r="M10" s="151" t="str">
        <f t="shared" si="4"/>
        <v/>
      </c>
      <c r="N10" s="152" t="str">
        <f t="shared" si="4"/>
        <v/>
      </c>
      <c r="O10" s="151" t="str">
        <f t="shared" si="4"/>
        <v>*</v>
      </c>
      <c r="P10" s="151" t="str">
        <f t="shared" si="4"/>
        <v>*</v>
      </c>
      <c r="Q10" s="151"/>
      <c r="R10" s="153"/>
      <c r="S10" s="151" t="str">
        <f t="shared" ref="S10:AA10" si="5">IFERROR(IF($G10&gt;18,IF(($G10-18)&gt;S$33,"**","*"),IF($G10&gt;=S$8,"*","")),"")</f>
        <v/>
      </c>
      <c r="T10" s="151" t="str">
        <f t="shared" si="5"/>
        <v>*</v>
      </c>
      <c r="U10" s="151" t="str">
        <f t="shared" si="5"/>
        <v>*</v>
      </c>
      <c r="V10" s="151" t="str">
        <f t="shared" si="5"/>
        <v/>
      </c>
      <c r="W10" s="151" t="str">
        <f t="shared" si="5"/>
        <v>*</v>
      </c>
      <c r="X10" s="151" t="str">
        <f t="shared" si="5"/>
        <v>*</v>
      </c>
      <c r="Y10" s="151" t="str">
        <f t="shared" si="5"/>
        <v/>
      </c>
      <c r="Z10" s="151" t="str">
        <f t="shared" si="5"/>
        <v>*</v>
      </c>
      <c r="AA10" s="152" t="str">
        <f t="shared" si="5"/>
        <v>*</v>
      </c>
      <c r="AB10" s="151"/>
      <c r="AC10" s="151" t="str">
        <f>IF(AB10="","",SUM(Q10,AB10))</f>
        <v/>
      </c>
      <c r="AD10" s="12"/>
      <c r="AE10" s="1"/>
      <c r="AF10" s="1"/>
    </row>
    <row r="11" ht="18.75" customHeight="1">
      <c r="A11" s="60"/>
      <c r="B11" s="60" t="str">
        <f>F10</f>
        <v>ERIC</v>
      </c>
      <c r="C11" s="1"/>
      <c r="D11" s="1"/>
      <c r="E11" s="7"/>
      <c r="F11" s="154"/>
      <c r="G11" s="155"/>
      <c r="H11" s="186">
        <v>7.0</v>
      </c>
      <c r="I11" s="186">
        <v>5.0</v>
      </c>
      <c r="J11" s="186">
        <v>7.0</v>
      </c>
      <c r="K11" s="186">
        <v>4.0</v>
      </c>
      <c r="L11" s="186">
        <v>5.0</v>
      </c>
      <c r="M11" s="186">
        <v>6.0</v>
      </c>
      <c r="N11" s="187">
        <v>4.0</v>
      </c>
      <c r="O11" s="186">
        <v>5.0</v>
      </c>
      <c r="P11" s="186">
        <v>5.0</v>
      </c>
      <c r="Q11" s="156">
        <f>IF(H11="","",SUM(H11:P11))</f>
        <v>48</v>
      </c>
      <c r="R11" s="153"/>
      <c r="S11" s="186">
        <v>7.0</v>
      </c>
      <c r="T11" s="186">
        <v>8.0</v>
      </c>
      <c r="U11" s="186">
        <v>5.0</v>
      </c>
      <c r="V11" s="186">
        <v>5.0</v>
      </c>
      <c r="W11" s="186">
        <v>4.0</v>
      </c>
      <c r="X11" s="186">
        <v>4.0</v>
      </c>
      <c r="Y11" s="186">
        <v>5.0</v>
      </c>
      <c r="Z11" s="186">
        <v>7.0</v>
      </c>
      <c r="AA11" s="187">
        <v>6.0</v>
      </c>
      <c r="AB11" s="156">
        <f>IF(S11="","",SUM(S11:AA11))</f>
        <v>51</v>
      </c>
      <c r="AC11" s="156">
        <f>IFERROR(Q11+AB11,"")</f>
        <v>99</v>
      </c>
      <c r="AD11" s="12"/>
      <c r="AE11" s="1"/>
      <c r="AF11" s="1"/>
    </row>
    <row r="12" ht="11.25" customHeight="1">
      <c r="A12" s="60"/>
      <c r="B12" s="60"/>
      <c r="C12" s="1"/>
      <c r="D12" s="1"/>
      <c r="E12" s="7"/>
      <c r="F12" s="183" t="s">
        <v>86</v>
      </c>
      <c r="G12" s="150">
        <f>IFERROR(VLOOKUP(F12,HANDICAPS!$B$8:$G$23,$D$3,FALSE),"")</f>
        <v>21</v>
      </c>
      <c r="H12" s="158" t="str">
        <f t="shared" ref="H12:P12" si="6">IFERROR(IF($G12&gt;18,IF(($G12-18)&gt;H$33,"**","*"),IF($G12&gt;=H$8,"*","")),"")</f>
        <v>*</v>
      </c>
      <c r="I12" s="158" t="str">
        <f t="shared" si="6"/>
        <v>*</v>
      </c>
      <c r="J12" s="158" t="str">
        <f t="shared" si="6"/>
        <v>*</v>
      </c>
      <c r="K12" s="158" t="str">
        <f t="shared" si="6"/>
        <v>*</v>
      </c>
      <c r="L12" s="158" t="str">
        <f t="shared" si="6"/>
        <v>**</v>
      </c>
      <c r="M12" s="158" t="str">
        <f t="shared" si="6"/>
        <v>*</v>
      </c>
      <c r="N12" s="159" t="str">
        <f t="shared" si="6"/>
        <v>*</v>
      </c>
      <c r="O12" s="158" t="str">
        <f t="shared" si="6"/>
        <v>*</v>
      </c>
      <c r="P12" s="158" t="str">
        <f t="shared" si="6"/>
        <v>*</v>
      </c>
      <c r="Q12" s="158"/>
      <c r="R12" s="158"/>
      <c r="S12" s="158" t="str">
        <f t="shared" ref="S12:AA12" si="7">IFERROR(IF($G12&gt;18,IF(($G12-18)&gt;S$33,"**","*"),IF($G12&gt;=S$8,"*","")),"")</f>
        <v>*</v>
      </c>
      <c r="T12" s="158" t="str">
        <f t="shared" si="7"/>
        <v>*</v>
      </c>
      <c r="U12" s="158" t="str">
        <f t="shared" si="7"/>
        <v>*</v>
      </c>
      <c r="V12" s="158" t="str">
        <f t="shared" si="7"/>
        <v>*</v>
      </c>
      <c r="W12" s="158" t="str">
        <f t="shared" si="7"/>
        <v>*</v>
      </c>
      <c r="X12" s="158" t="str">
        <f t="shared" si="7"/>
        <v>**</v>
      </c>
      <c r="Y12" s="158" t="str">
        <f t="shared" si="7"/>
        <v>*</v>
      </c>
      <c r="Z12" s="158" t="str">
        <f t="shared" si="7"/>
        <v>*</v>
      </c>
      <c r="AA12" s="159" t="str">
        <f t="shared" si="7"/>
        <v>*</v>
      </c>
      <c r="AB12" s="151"/>
      <c r="AC12" s="151" t="str">
        <f>IF(AB12="","",SUM(Q12,AB12))</f>
        <v/>
      </c>
      <c r="AD12" s="12"/>
      <c r="AE12" s="1"/>
      <c r="AF12" s="1"/>
    </row>
    <row r="13" ht="18.75" customHeight="1">
      <c r="A13" s="60"/>
      <c r="B13" s="60" t="str">
        <f>F12</f>
        <v>RYAN</v>
      </c>
      <c r="C13" s="1"/>
      <c r="D13" s="1"/>
      <c r="E13" s="7"/>
      <c r="F13" s="154"/>
      <c r="G13" s="155"/>
      <c r="H13" s="186">
        <v>7.0</v>
      </c>
      <c r="I13" s="186">
        <v>6.0</v>
      </c>
      <c r="J13" s="186">
        <v>7.0</v>
      </c>
      <c r="K13" s="186">
        <v>7.0</v>
      </c>
      <c r="L13" s="186">
        <v>7.0</v>
      </c>
      <c r="M13" s="186">
        <v>7.0</v>
      </c>
      <c r="N13" s="187">
        <v>3.0</v>
      </c>
      <c r="O13" s="186">
        <v>6.0</v>
      </c>
      <c r="P13" s="186">
        <v>4.0</v>
      </c>
      <c r="Q13" s="156">
        <f>IF(H13="","",SUM(H13:P13))</f>
        <v>54</v>
      </c>
      <c r="R13" s="160"/>
      <c r="S13" s="186">
        <v>6.0</v>
      </c>
      <c r="T13" s="186">
        <v>7.0</v>
      </c>
      <c r="U13" s="186">
        <v>7.0</v>
      </c>
      <c r="V13" s="186">
        <v>6.0</v>
      </c>
      <c r="W13" s="186">
        <v>5.0</v>
      </c>
      <c r="X13" s="186">
        <v>6.0</v>
      </c>
      <c r="Y13" s="186">
        <v>6.0</v>
      </c>
      <c r="Z13" s="186">
        <v>7.0</v>
      </c>
      <c r="AA13" s="187">
        <v>5.0</v>
      </c>
      <c r="AB13" s="156">
        <f>IF(S13="","",SUM(S13:AA13))</f>
        <v>55</v>
      </c>
      <c r="AC13" s="156">
        <f>IFERROR(Q13+AB13,"")</f>
        <v>109</v>
      </c>
      <c r="AD13" s="12"/>
      <c r="AE13" s="1"/>
      <c r="AF13" s="1"/>
    </row>
    <row r="14" ht="6.75" customHeight="1">
      <c r="A14" s="60"/>
      <c r="B14" s="60"/>
      <c r="C14" s="1"/>
      <c r="D14" s="1"/>
      <c r="E14" s="7"/>
      <c r="F14" s="16"/>
      <c r="G14" s="1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12"/>
      <c r="AE14" s="1"/>
      <c r="AF14" s="1"/>
    </row>
    <row r="15" ht="27.75" customHeight="1">
      <c r="A15" s="60"/>
      <c r="B15" s="60"/>
      <c r="C15" s="1"/>
      <c r="D15" s="1"/>
      <c r="E15" s="7"/>
      <c r="F15" s="161" t="s">
        <v>143</v>
      </c>
      <c r="G15" s="142"/>
      <c r="H15" s="162">
        <f t="shared" ref="H15:P15" si="8">IF(H11="","",MIN(IF(H10="**",H11-2,IF(H10="*",H11-1,H11)),(IF(H12="**",H13-2,IF(H12="*",H13-1,H13)))))</f>
        <v>6</v>
      </c>
      <c r="I15" s="162">
        <f t="shared" si="8"/>
        <v>5</v>
      </c>
      <c r="J15" s="162">
        <f t="shared" si="8"/>
        <v>6</v>
      </c>
      <c r="K15" s="162">
        <f t="shared" si="8"/>
        <v>3</v>
      </c>
      <c r="L15" s="162">
        <f t="shared" si="8"/>
        <v>4</v>
      </c>
      <c r="M15" s="162">
        <f t="shared" si="8"/>
        <v>6</v>
      </c>
      <c r="N15" s="163">
        <f t="shared" si="8"/>
        <v>2</v>
      </c>
      <c r="O15" s="162">
        <f t="shared" si="8"/>
        <v>4</v>
      </c>
      <c r="P15" s="162">
        <f t="shared" si="8"/>
        <v>3</v>
      </c>
      <c r="Q15" s="162">
        <f t="shared" ref="Q15:Q16" si="11">IF(H15="","",SUM(H15:P15))</f>
        <v>39</v>
      </c>
      <c r="R15" s="23"/>
      <c r="S15" s="162">
        <f t="shared" ref="S15:AA15" si="9">IF(S11="","",MIN(IF(S10="**",S11-2,IF(S10="*",S11-1,S11)),(IF(S12="**",S13-2,IF(S12="*",S13-1,S13)))))</f>
        <v>5</v>
      </c>
      <c r="T15" s="162">
        <f t="shared" si="9"/>
        <v>6</v>
      </c>
      <c r="U15" s="162">
        <f t="shared" si="9"/>
        <v>4</v>
      </c>
      <c r="V15" s="162">
        <f t="shared" si="9"/>
        <v>5</v>
      </c>
      <c r="W15" s="162">
        <f t="shared" si="9"/>
        <v>3</v>
      </c>
      <c r="X15" s="162">
        <f t="shared" si="9"/>
        <v>3</v>
      </c>
      <c r="Y15" s="162">
        <f t="shared" si="9"/>
        <v>5</v>
      </c>
      <c r="Z15" s="162">
        <f t="shared" si="9"/>
        <v>6</v>
      </c>
      <c r="AA15" s="163">
        <f t="shared" si="9"/>
        <v>4</v>
      </c>
      <c r="AB15" s="162">
        <f t="shared" ref="AB15:AB16" si="13">IF(S15="","",SUM(S15:AA15))</f>
        <v>41</v>
      </c>
      <c r="AC15" s="162">
        <f t="shared" ref="AC15:AC16" si="14">IF(AB15="","",AB15+Q15)</f>
        <v>80</v>
      </c>
      <c r="AD15" s="12"/>
      <c r="AE15" s="1"/>
      <c r="AF15" s="1"/>
    </row>
    <row r="16" ht="27.75" customHeight="1">
      <c r="A16" s="60"/>
      <c r="B16" s="60"/>
      <c r="C16" s="1"/>
      <c r="D16" s="1"/>
      <c r="E16" s="7"/>
      <c r="F16" s="161" t="s">
        <v>144</v>
      </c>
      <c r="G16" s="142"/>
      <c r="H16" s="164">
        <f t="shared" ref="H16:P16" si="10">IF(H15="","",IF(H15=H23,0.5,IF(H15&lt;H23,1,0)))</f>
        <v>0</v>
      </c>
      <c r="I16" s="164">
        <f t="shared" si="10"/>
        <v>0</v>
      </c>
      <c r="J16" s="164">
        <f t="shared" si="10"/>
        <v>0</v>
      </c>
      <c r="K16" s="164">
        <f t="shared" si="10"/>
        <v>1</v>
      </c>
      <c r="L16" s="164">
        <f t="shared" si="10"/>
        <v>0.5</v>
      </c>
      <c r="M16" s="164">
        <f t="shared" si="10"/>
        <v>0</v>
      </c>
      <c r="N16" s="165">
        <f t="shared" si="10"/>
        <v>1</v>
      </c>
      <c r="O16" s="164">
        <f t="shared" si="10"/>
        <v>0</v>
      </c>
      <c r="P16" s="164">
        <f t="shared" si="10"/>
        <v>1</v>
      </c>
      <c r="Q16" s="164">
        <f t="shared" si="11"/>
        <v>3.5</v>
      </c>
      <c r="R16" s="23"/>
      <c r="S16" s="164">
        <f t="shared" ref="S16:AA16" si="12">IF(S15="","",IF(S15=S23,0.5,IF(S15&lt;S23,1,0)))</f>
        <v>0</v>
      </c>
      <c r="T16" s="164">
        <f t="shared" si="12"/>
        <v>0.5</v>
      </c>
      <c r="U16" s="164">
        <f t="shared" si="12"/>
        <v>0</v>
      </c>
      <c r="V16" s="164">
        <f t="shared" si="12"/>
        <v>1</v>
      </c>
      <c r="W16" s="164">
        <f t="shared" si="12"/>
        <v>0.5</v>
      </c>
      <c r="X16" s="164">
        <f t="shared" si="12"/>
        <v>1</v>
      </c>
      <c r="Y16" s="164">
        <f t="shared" si="12"/>
        <v>0</v>
      </c>
      <c r="Z16" s="164">
        <f t="shared" si="12"/>
        <v>0</v>
      </c>
      <c r="AA16" s="165">
        <f t="shared" si="12"/>
        <v>1</v>
      </c>
      <c r="AB16" s="164">
        <f t="shared" si="13"/>
        <v>4</v>
      </c>
      <c r="AC16" s="164">
        <f t="shared" si="14"/>
        <v>7.5</v>
      </c>
      <c r="AD16" s="12"/>
      <c r="AE16" s="1"/>
      <c r="AF16" s="1"/>
    </row>
    <row r="17" ht="6.75" customHeight="1">
      <c r="A17" s="60"/>
      <c r="B17" s="60"/>
      <c r="C17" s="1"/>
      <c r="D17" s="1"/>
      <c r="E17" s="7"/>
      <c r="F17" s="16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12"/>
      <c r="AE17" s="1"/>
      <c r="AF17" s="1"/>
    </row>
    <row r="18" ht="11.25" customHeight="1">
      <c r="A18" s="60"/>
      <c r="B18" s="60"/>
      <c r="C18" s="1"/>
      <c r="D18" s="1"/>
      <c r="E18" s="7"/>
      <c r="F18" s="183" t="s">
        <v>97</v>
      </c>
      <c r="G18" s="150">
        <f>IFERROR(VLOOKUP(F18,HANDICAPS!$B$8:$G$23,$D$3,FALSE),"")</f>
        <v>11</v>
      </c>
      <c r="H18" s="151" t="str">
        <f t="shared" ref="H18:P18" si="15">IFERROR(IF($G18&gt;18,IF(($G18-18)&gt;H$33,"**","*"),IF($G18&gt;=H$8,"*","")),"")</f>
        <v>*</v>
      </c>
      <c r="I18" s="151" t="str">
        <f t="shared" si="15"/>
        <v/>
      </c>
      <c r="J18" s="151" t="str">
        <f t="shared" si="15"/>
        <v>*</v>
      </c>
      <c r="K18" s="151" t="str">
        <f t="shared" si="15"/>
        <v>*</v>
      </c>
      <c r="L18" s="151" t="str">
        <f t="shared" si="15"/>
        <v>*</v>
      </c>
      <c r="M18" s="151" t="str">
        <f t="shared" si="15"/>
        <v/>
      </c>
      <c r="N18" s="152" t="str">
        <f t="shared" si="15"/>
        <v/>
      </c>
      <c r="O18" s="151" t="str">
        <f t="shared" si="15"/>
        <v>*</v>
      </c>
      <c r="P18" s="151" t="str">
        <f t="shared" si="15"/>
        <v>*</v>
      </c>
      <c r="Q18" s="151"/>
      <c r="R18" s="153"/>
      <c r="S18" s="151" t="str">
        <f t="shared" ref="S18:AA18" si="16">IFERROR(IF($G18&gt;18,IF(($G18-18)&gt;S$33,"**","*"),IF($G18&gt;=S$8,"*","")),"")</f>
        <v/>
      </c>
      <c r="T18" s="151" t="str">
        <f t="shared" si="16"/>
        <v>*</v>
      </c>
      <c r="U18" s="151" t="str">
        <f t="shared" si="16"/>
        <v>*</v>
      </c>
      <c r="V18" s="151" t="str">
        <f t="shared" si="16"/>
        <v/>
      </c>
      <c r="W18" s="151" t="str">
        <f t="shared" si="16"/>
        <v/>
      </c>
      <c r="X18" s="151" t="str">
        <f t="shared" si="16"/>
        <v>*</v>
      </c>
      <c r="Y18" s="151" t="str">
        <f t="shared" si="16"/>
        <v/>
      </c>
      <c r="Z18" s="151" t="str">
        <f t="shared" si="16"/>
        <v>*</v>
      </c>
      <c r="AA18" s="152" t="str">
        <f t="shared" si="16"/>
        <v>*</v>
      </c>
      <c r="AB18" s="151"/>
      <c r="AC18" s="151" t="str">
        <f>IF(AB18="","",SUM(Q18,AB18))</f>
        <v/>
      </c>
      <c r="AD18" s="12"/>
      <c r="AE18" s="1"/>
      <c r="AF18" s="1"/>
    </row>
    <row r="19" ht="18.75" customHeight="1">
      <c r="A19" s="60"/>
      <c r="B19" s="60" t="str">
        <f>F18</f>
        <v>TOM</v>
      </c>
      <c r="C19" s="1"/>
      <c r="D19" s="1"/>
      <c r="E19" s="7"/>
      <c r="F19" s="154"/>
      <c r="G19" s="155"/>
      <c r="H19" s="186">
        <v>4.0</v>
      </c>
      <c r="I19" s="186">
        <v>4.0</v>
      </c>
      <c r="J19" s="186">
        <v>6.0</v>
      </c>
      <c r="K19" s="186">
        <v>5.0</v>
      </c>
      <c r="L19" s="186">
        <v>5.0</v>
      </c>
      <c r="M19" s="186">
        <v>5.0</v>
      </c>
      <c r="N19" s="187">
        <v>5.0</v>
      </c>
      <c r="O19" s="186">
        <v>4.0</v>
      </c>
      <c r="P19" s="186">
        <v>6.0</v>
      </c>
      <c r="Q19" s="156">
        <f>IF(H19="","",SUM(H19:P19))</f>
        <v>44</v>
      </c>
      <c r="R19" s="153"/>
      <c r="S19" s="186">
        <v>6.0</v>
      </c>
      <c r="T19" s="186">
        <v>7.0</v>
      </c>
      <c r="U19" s="186">
        <v>4.0</v>
      </c>
      <c r="V19" s="186">
        <v>7.0</v>
      </c>
      <c r="W19" s="186">
        <v>3.0</v>
      </c>
      <c r="X19" s="186">
        <v>5.0</v>
      </c>
      <c r="Y19" s="186">
        <v>4.0</v>
      </c>
      <c r="Z19" s="186">
        <v>4.0</v>
      </c>
      <c r="AA19" s="187">
        <v>6.0</v>
      </c>
      <c r="AB19" s="156">
        <f>IF(S19="","",SUM(S19:AA19))</f>
        <v>46</v>
      </c>
      <c r="AC19" s="156">
        <f>IFERROR(Q19+AB19,"")</f>
        <v>90</v>
      </c>
      <c r="AD19" s="12"/>
      <c r="AE19" s="1"/>
      <c r="AF19" s="1"/>
    </row>
    <row r="20" ht="11.25" customHeight="1">
      <c r="A20" s="60"/>
      <c r="B20" s="60"/>
      <c r="C20" s="1"/>
      <c r="D20" s="1"/>
      <c r="E20" s="7"/>
      <c r="F20" s="183" t="s">
        <v>131</v>
      </c>
      <c r="G20" s="150">
        <f>IFERROR(VLOOKUP(F20,HANDICAPS!$B$8:$G$23,$D$3,FALSE),"")</f>
        <v>18</v>
      </c>
      <c r="H20" s="158" t="str">
        <f t="shared" ref="H20:P20" si="17">IFERROR(IF($G20&gt;18,IF(($G20-18)&gt;H$33,"**","*"),IF($G20&gt;=H$8,"*","")),"")</f>
        <v>*</v>
      </c>
      <c r="I20" s="158" t="str">
        <f t="shared" si="17"/>
        <v>*</v>
      </c>
      <c r="J20" s="158" t="str">
        <f t="shared" si="17"/>
        <v>*</v>
      </c>
      <c r="K20" s="158" t="str">
        <f t="shared" si="17"/>
        <v>*</v>
      </c>
      <c r="L20" s="158" t="str">
        <f t="shared" si="17"/>
        <v>*</v>
      </c>
      <c r="M20" s="158" t="str">
        <f t="shared" si="17"/>
        <v>*</v>
      </c>
      <c r="N20" s="159" t="str">
        <f t="shared" si="17"/>
        <v>*</v>
      </c>
      <c r="O20" s="158" t="str">
        <f t="shared" si="17"/>
        <v>*</v>
      </c>
      <c r="P20" s="158" t="str">
        <f t="shared" si="17"/>
        <v>*</v>
      </c>
      <c r="Q20" s="158"/>
      <c r="R20" s="158"/>
      <c r="S20" s="158" t="str">
        <f t="shared" ref="S20:AA20" si="18">IFERROR(IF($G20&gt;18,IF(($G20-18)&gt;S$33,"**","*"),IF($G20&gt;=S$8,"*","")),"")</f>
        <v>*</v>
      </c>
      <c r="T20" s="158" t="str">
        <f t="shared" si="18"/>
        <v>*</v>
      </c>
      <c r="U20" s="158" t="str">
        <f t="shared" si="18"/>
        <v>*</v>
      </c>
      <c r="V20" s="158" t="str">
        <f t="shared" si="18"/>
        <v>*</v>
      </c>
      <c r="W20" s="158" t="str">
        <f t="shared" si="18"/>
        <v>*</v>
      </c>
      <c r="X20" s="158" t="str">
        <f t="shared" si="18"/>
        <v>*</v>
      </c>
      <c r="Y20" s="158" t="str">
        <f t="shared" si="18"/>
        <v>*</v>
      </c>
      <c r="Z20" s="158" t="str">
        <f t="shared" si="18"/>
        <v>*</v>
      </c>
      <c r="AA20" s="159" t="str">
        <f t="shared" si="18"/>
        <v>*</v>
      </c>
      <c r="AB20" s="151"/>
      <c r="AC20" s="151" t="str">
        <f>IF(AB20="","",SUM(Q20,AB20))</f>
        <v/>
      </c>
      <c r="AD20" s="12"/>
      <c r="AE20" s="1"/>
      <c r="AF20" s="1"/>
    </row>
    <row r="21" ht="18.75" customHeight="1">
      <c r="A21" s="60"/>
      <c r="B21" s="60" t="str">
        <f>F20</f>
        <v>SKYLAR</v>
      </c>
      <c r="C21" s="1"/>
      <c r="D21" s="1"/>
      <c r="E21" s="7"/>
      <c r="F21" s="154"/>
      <c r="G21" s="155"/>
      <c r="H21" s="186">
        <v>7.0</v>
      </c>
      <c r="I21" s="186">
        <v>5.0</v>
      </c>
      <c r="J21" s="186">
        <v>8.0</v>
      </c>
      <c r="K21" s="186">
        <v>5.0</v>
      </c>
      <c r="L21" s="186">
        <v>6.0</v>
      </c>
      <c r="M21" s="186">
        <v>5.0</v>
      </c>
      <c r="N21" s="187">
        <v>5.0</v>
      </c>
      <c r="O21" s="186">
        <v>4.0</v>
      </c>
      <c r="P21" s="186">
        <v>6.0</v>
      </c>
      <c r="Q21" s="156">
        <f>IF(H21="","",SUM(H21:P21))</f>
        <v>51</v>
      </c>
      <c r="R21" s="160"/>
      <c r="S21" s="186">
        <v>5.0</v>
      </c>
      <c r="T21" s="186">
        <v>10.0</v>
      </c>
      <c r="U21" s="186">
        <v>6.0</v>
      </c>
      <c r="V21" s="186">
        <v>8.0</v>
      </c>
      <c r="W21" s="186">
        <v>5.0</v>
      </c>
      <c r="X21" s="186">
        <v>6.0</v>
      </c>
      <c r="Y21" s="186">
        <v>4.0</v>
      </c>
      <c r="Z21" s="186">
        <v>5.0</v>
      </c>
      <c r="AA21" s="187">
        <v>6.0</v>
      </c>
      <c r="AB21" s="156">
        <f>IF(S21="","",SUM(S21:AA21))</f>
        <v>55</v>
      </c>
      <c r="AC21" s="156">
        <f>IFERROR(Q21+AB21,"")</f>
        <v>106</v>
      </c>
      <c r="AD21" s="12"/>
      <c r="AE21" s="1"/>
      <c r="AF21" s="1"/>
    </row>
    <row r="22" ht="6.75" customHeight="1">
      <c r="A22" s="60"/>
      <c r="B22" s="60"/>
      <c r="C22" s="1"/>
      <c r="D22" s="1"/>
      <c r="E22" s="7"/>
      <c r="F22" s="16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2"/>
      <c r="AE22" s="1"/>
      <c r="AF22" s="1"/>
    </row>
    <row r="23" ht="27.75" customHeight="1">
      <c r="A23" s="60"/>
      <c r="B23" s="60"/>
      <c r="C23" s="1"/>
      <c r="D23" s="1"/>
      <c r="E23" s="7"/>
      <c r="F23" s="161" t="s">
        <v>143</v>
      </c>
      <c r="G23" s="142"/>
      <c r="H23" s="162">
        <f t="shared" ref="H23:P23" si="19">IF(H19="","",MIN(IF(H18="**",H19-2,IF(H18="*",H19-1,H19)),(IF(H20="**",H21-2,IF(H20="*",H21-1,H21)))))</f>
        <v>3</v>
      </c>
      <c r="I23" s="162">
        <f t="shared" si="19"/>
        <v>4</v>
      </c>
      <c r="J23" s="162">
        <f t="shared" si="19"/>
        <v>5</v>
      </c>
      <c r="K23" s="162">
        <f t="shared" si="19"/>
        <v>4</v>
      </c>
      <c r="L23" s="162">
        <f t="shared" si="19"/>
        <v>4</v>
      </c>
      <c r="M23" s="162">
        <f t="shared" si="19"/>
        <v>4</v>
      </c>
      <c r="N23" s="163">
        <f t="shared" si="19"/>
        <v>4</v>
      </c>
      <c r="O23" s="162">
        <f t="shared" si="19"/>
        <v>3</v>
      </c>
      <c r="P23" s="162">
        <f t="shared" si="19"/>
        <v>5</v>
      </c>
      <c r="Q23" s="162">
        <f t="shared" ref="Q23:Q24" si="22">IF(H23="","",SUM(H23:P23))</f>
        <v>36</v>
      </c>
      <c r="R23" s="23"/>
      <c r="S23" s="162">
        <f t="shared" ref="S23:AA23" si="20">IF(S19="","",MIN(IF(S18="**",S19-2,IF(S18="*",S19-1,S19)),(IF(S20="**",S21-2,IF(S20="*",S21-1,S21)))))</f>
        <v>4</v>
      </c>
      <c r="T23" s="162">
        <f t="shared" si="20"/>
        <v>6</v>
      </c>
      <c r="U23" s="162">
        <f t="shared" si="20"/>
        <v>3</v>
      </c>
      <c r="V23" s="162">
        <f t="shared" si="20"/>
        <v>7</v>
      </c>
      <c r="W23" s="162">
        <f t="shared" si="20"/>
        <v>3</v>
      </c>
      <c r="X23" s="162">
        <f t="shared" si="20"/>
        <v>4</v>
      </c>
      <c r="Y23" s="162">
        <f t="shared" si="20"/>
        <v>3</v>
      </c>
      <c r="Z23" s="162">
        <f t="shared" si="20"/>
        <v>3</v>
      </c>
      <c r="AA23" s="163">
        <f t="shared" si="20"/>
        <v>5</v>
      </c>
      <c r="AB23" s="162">
        <f t="shared" ref="AB23:AB24" si="24">IF(S23="","",SUM(S23:AA23))</f>
        <v>38</v>
      </c>
      <c r="AC23" s="162">
        <f t="shared" ref="AC23:AC24" si="25">IF(AB23="","",AB23+Q23)</f>
        <v>74</v>
      </c>
      <c r="AD23" s="12"/>
      <c r="AE23" s="1"/>
      <c r="AF23" s="1"/>
    </row>
    <row r="24" ht="27.75" customHeight="1">
      <c r="A24" s="60"/>
      <c r="B24" s="60"/>
      <c r="C24" s="1"/>
      <c r="D24" s="1"/>
      <c r="E24" s="7"/>
      <c r="F24" s="161" t="s">
        <v>144</v>
      </c>
      <c r="G24" s="142"/>
      <c r="H24" s="164">
        <f t="shared" ref="H24:P24" si="21">IF(H23="","",IF(H23=H15,0.5,IF(H23&lt;H15,1,0)))</f>
        <v>1</v>
      </c>
      <c r="I24" s="164">
        <f t="shared" si="21"/>
        <v>1</v>
      </c>
      <c r="J24" s="164">
        <f t="shared" si="21"/>
        <v>1</v>
      </c>
      <c r="K24" s="164">
        <f t="shared" si="21"/>
        <v>0</v>
      </c>
      <c r="L24" s="164">
        <f t="shared" si="21"/>
        <v>0.5</v>
      </c>
      <c r="M24" s="164">
        <f t="shared" si="21"/>
        <v>1</v>
      </c>
      <c r="N24" s="165">
        <f t="shared" si="21"/>
        <v>0</v>
      </c>
      <c r="O24" s="164">
        <f t="shared" si="21"/>
        <v>1</v>
      </c>
      <c r="P24" s="164">
        <f t="shared" si="21"/>
        <v>0</v>
      </c>
      <c r="Q24" s="164">
        <f t="shared" si="22"/>
        <v>5.5</v>
      </c>
      <c r="R24" s="23"/>
      <c r="S24" s="164">
        <f t="shared" ref="S24:AA24" si="23">IF(S23="","",IF(S23=S15,0.5,IF(S23&lt;S15,1,0)))</f>
        <v>1</v>
      </c>
      <c r="T24" s="164">
        <f t="shared" si="23"/>
        <v>0.5</v>
      </c>
      <c r="U24" s="164">
        <f t="shared" si="23"/>
        <v>1</v>
      </c>
      <c r="V24" s="164">
        <f t="shared" si="23"/>
        <v>0</v>
      </c>
      <c r="W24" s="164">
        <f t="shared" si="23"/>
        <v>0.5</v>
      </c>
      <c r="X24" s="164">
        <f t="shared" si="23"/>
        <v>0</v>
      </c>
      <c r="Y24" s="164">
        <f t="shared" si="23"/>
        <v>1</v>
      </c>
      <c r="Z24" s="164">
        <f t="shared" si="23"/>
        <v>1</v>
      </c>
      <c r="AA24" s="165">
        <f t="shared" si="23"/>
        <v>0</v>
      </c>
      <c r="AB24" s="164">
        <f t="shared" si="24"/>
        <v>5</v>
      </c>
      <c r="AC24" s="164">
        <f t="shared" si="25"/>
        <v>10.5</v>
      </c>
      <c r="AD24" s="12"/>
      <c r="AE24" s="1"/>
      <c r="AF24" s="1"/>
    </row>
    <row r="25" ht="6.75" customHeight="1">
      <c r="A25" s="60"/>
      <c r="B25" s="60"/>
      <c r="C25" s="1"/>
      <c r="D25" s="1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7"/>
      <c r="AE25" s="1"/>
      <c r="AF25" s="1"/>
    </row>
    <row r="26" ht="60.0" customHeight="1">
      <c r="A26" s="60"/>
      <c r="B26" s="6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6.75" customHeight="1">
      <c r="A27" s="60"/>
      <c r="B27" s="60"/>
      <c r="C27" s="1"/>
      <c r="D27" s="1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  <c r="AA27" s="4"/>
      <c r="AB27" s="4"/>
      <c r="AC27" s="4"/>
      <c r="AD27" s="5"/>
      <c r="AE27" s="1"/>
      <c r="AF27" s="1"/>
    </row>
    <row r="28" ht="15.75" customHeight="1">
      <c r="A28" s="60"/>
      <c r="B28" s="60"/>
      <c r="C28" s="1"/>
      <c r="D28" s="1"/>
      <c r="E28" s="7"/>
      <c r="F28" s="140" t="str">
        <f>F3</f>
        <v>MICHIGAN OPEN 2022 - ROUND 3 - ARTHUR HILLS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2"/>
      <c r="AD28" s="12"/>
      <c r="AE28" s="1"/>
      <c r="AF28" s="1"/>
    </row>
    <row r="29" ht="18.75" customHeight="1">
      <c r="A29" s="60"/>
      <c r="B29" s="60"/>
      <c r="C29" s="1"/>
      <c r="D29" s="1"/>
      <c r="E29" s="7"/>
      <c r="F29" s="1"/>
      <c r="G29" s="1"/>
      <c r="H29" s="1"/>
      <c r="I29" s="1"/>
      <c r="J29" s="13" t="str">
        <f>J4</f>
        <v>FRONT</v>
      </c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3" t="str">
        <f>V4</f>
        <v>BACK</v>
      </c>
      <c r="W29" s="14"/>
      <c r="X29" s="14"/>
      <c r="Y29" s="14"/>
      <c r="Z29" s="14"/>
      <c r="AA29" s="1"/>
      <c r="AB29" s="1"/>
      <c r="AC29" s="1"/>
      <c r="AD29" s="12"/>
      <c r="AE29" s="1"/>
      <c r="AF29" s="1"/>
    </row>
    <row r="30" ht="15.0" customHeight="1">
      <c r="A30" s="60"/>
      <c r="B30" s="60"/>
      <c r="C30" s="1"/>
      <c r="D30" s="1"/>
      <c r="E30" s="7"/>
      <c r="F30" s="1"/>
      <c r="G30" s="143" t="str">
        <f t="shared" ref="G30:Q30" si="26">G5</f>
        <v>HOLE</v>
      </c>
      <c r="H30" s="143">
        <f t="shared" si="26"/>
        <v>1</v>
      </c>
      <c r="I30" s="143">
        <f t="shared" si="26"/>
        <v>2</v>
      </c>
      <c r="J30" s="143">
        <f t="shared" si="26"/>
        <v>3</v>
      </c>
      <c r="K30" s="143">
        <f t="shared" si="26"/>
        <v>4</v>
      </c>
      <c r="L30" s="143">
        <f t="shared" si="26"/>
        <v>5</v>
      </c>
      <c r="M30" s="143">
        <f t="shared" si="26"/>
        <v>6</v>
      </c>
      <c r="N30" s="143">
        <f t="shared" si="26"/>
        <v>7</v>
      </c>
      <c r="O30" s="143">
        <f t="shared" si="26"/>
        <v>8</v>
      </c>
      <c r="P30" s="143">
        <f t="shared" si="26"/>
        <v>9</v>
      </c>
      <c r="Q30" s="143" t="str">
        <f t="shared" si="26"/>
        <v>OUT</v>
      </c>
      <c r="R30" s="16"/>
      <c r="S30" s="143">
        <f t="shared" ref="S30:AC30" si="27">S5</f>
        <v>10</v>
      </c>
      <c r="T30" s="143">
        <f t="shared" si="27"/>
        <v>11</v>
      </c>
      <c r="U30" s="143">
        <f t="shared" si="27"/>
        <v>12</v>
      </c>
      <c r="V30" s="143">
        <f t="shared" si="27"/>
        <v>13</v>
      </c>
      <c r="W30" s="143">
        <f t="shared" si="27"/>
        <v>14</v>
      </c>
      <c r="X30" s="143">
        <f t="shared" si="27"/>
        <v>15</v>
      </c>
      <c r="Y30" s="143">
        <f t="shared" si="27"/>
        <v>16</v>
      </c>
      <c r="Z30" s="143">
        <f t="shared" si="27"/>
        <v>17</v>
      </c>
      <c r="AA30" s="143">
        <f t="shared" si="27"/>
        <v>18</v>
      </c>
      <c r="AB30" s="143" t="str">
        <f t="shared" si="27"/>
        <v>IN</v>
      </c>
      <c r="AC30" s="143" t="str">
        <f t="shared" si="27"/>
        <v>TOTAL</v>
      </c>
      <c r="AD30" s="12"/>
      <c r="AE30" s="1"/>
      <c r="AF30" s="1"/>
    </row>
    <row r="31" ht="15.0" customHeight="1">
      <c r="A31" s="60"/>
      <c r="B31" s="60"/>
      <c r="C31" s="1"/>
      <c r="D31" s="1"/>
      <c r="E31" s="7"/>
      <c r="F31" s="144" t="s">
        <v>154</v>
      </c>
      <c r="G31" s="182" t="str">
        <f t="shared" ref="G31:Q31" si="28">G6</f>
        <v>ORANGE</v>
      </c>
      <c r="H31" s="182">
        <f t="shared" si="28"/>
        <v>355</v>
      </c>
      <c r="I31" s="182">
        <f t="shared" si="28"/>
        <v>311</v>
      </c>
      <c r="J31" s="182">
        <f t="shared" si="28"/>
        <v>494</v>
      </c>
      <c r="K31" s="182">
        <f t="shared" si="28"/>
        <v>367</v>
      </c>
      <c r="L31" s="182">
        <f t="shared" si="28"/>
        <v>417</v>
      </c>
      <c r="M31" s="182">
        <f t="shared" si="28"/>
        <v>487</v>
      </c>
      <c r="N31" s="182">
        <f t="shared" si="28"/>
        <v>136</v>
      </c>
      <c r="O31" s="182">
        <f t="shared" si="28"/>
        <v>361</v>
      </c>
      <c r="P31" s="182">
        <f t="shared" si="28"/>
        <v>166</v>
      </c>
      <c r="Q31" s="182">
        <f t="shared" si="28"/>
        <v>3094</v>
      </c>
      <c r="R31" s="17"/>
      <c r="S31" s="182">
        <f t="shared" ref="S31:AB31" si="29">S6</f>
        <v>285</v>
      </c>
      <c r="T31" s="182">
        <f t="shared" si="29"/>
        <v>531</v>
      </c>
      <c r="U31" s="182">
        <f t="shared" si="29"/>
        <v>331</v>
      </c>
      <c r="V31" s="182">
        <f t="shared" si="29"/>
        <v>516</v>
      </c>
      <c r="W31" s="182">
        <f t="shared" si="29"/>
        <v>160</v>
      </c>
      <c r="X31" s="182">
        <f t="shared" si="29"/>
        <v>401</v>
      </c>
      <c r="Y31" s="182">
        <f t="shared" si="29"/>
        <v>151</v>
      </c>
      <c r="Z31" s="182">
        <f t="shared" si="29"/>
        <v>385</v>
      </c>
      <c r="AA31" s="182">
        <f t="shared" si="29"/>
        <v>498</v>
      </c>
      <c r="AB31" s="182">
        <f t="shared" si="29"/>
        <v>3258</v>
      </c>
      <c r="AC31" s="182">
        <f t="shared" ref="AC31:AC32" si="32">AB31+Q31</f>
        <v>6352</v>
      </c>
      <c r="AD31" s="12"/>
      <c r="AE31" s="1"/>
      <c r="AF31" s="1"/>
    </row>
    <row r="32" ht="15.0" customHeight="1">
      <c r="A32" s="60"/>
      <c r="B32" s="60"/>
      <c r="C32" s="1"/>
      <c r="D32" s="1"/>
      <c r="E32" s="7"/>
      <c r="F32" s="146"/>
      <c r="G32" s="147" t="str">
        <f t="shared" ref="G32:Q32" si="30">G7</f>
        <v>PAR</v>
      </c>
      <c r="H32" s="147">
        <f t="shared" si="30"/>
        <v>4</v>
      </c>
      <c r="I32" s="147">
        <f t="shared" si="30"/>
        <v>4</v>
      </c>
      <c r="J32" s="147">
        <f t="shared" si="30"/>
        <v>5</v>
      </c>
      <c r="K32" s="147">
        <f t="shared" si="30"/>
        <v>4</v>
      </c>
      <c r="L32" s="147">
        <f t="shared" si="30"/>
        <v>4</v>
      </c>
      <c r="M32" s="147">
        <f t="shared" si="30"/>
        <v>5</v>
      </c>
      <c r="N32" s="147">
        <f t="shared" si="30"/>
        <v>3</v>
      </c>
      <c r="O32" s="147">
        <f t="shared" si="30"/>
        <v>4</v>
      </c>
      <c r="P32" s="147">
        <f t="shared" si="30"/>
        <v>3</v>
      </c>
      <c r="Q32" s="147">
        <f t="shared" si="30"/>
        <v>36</v>
      </c>
      <c r="R32" s="17"/>
      <c r="S32" s="147">
        <f t="shared" ref="S32:AB32" si="31">S7</f>
        <v>4</v>
      </c>
      <c r="T32" s="147">
        <f t="shared" si="31"/>
        <v>5</v>
      </c>
      <c r="U32" s="147">
        <f t="shared" si="31"/>
        <v>4</v>
      </c>
      <c r="V32" s="147">
        <f t="shared" si="31"/>
        <v>5</v>
      </c>
      <c r="W32" s="147">
        <f t="shared" si="31"/>
        <v>3</v>
      </c>
      <c r="X32" s="147">
        <f t="shared" si="31"/>
        <v>4</v>
      </c>
      <c r="Y32" s="147">
        <f t="shared" si="31"/>
        <v>3</v>
      </c>
      <c r="Z32" s="147">
        <f t="shared" si="31"/>
        <v>4</v>
      </c>
      <c r="AA32" s="147">
        <f t="shared" si="31"/>
        <v>5</v>
      </c>
      <c r="AB32" s="147">
        <f t="shared" si="31"/>
        <v>37</v>
      </c>
      <c r="AC32" s="147">
        <f t="shared" si="32"/>
        <v>73</v>
      </c>
      <c r="AD32" s="12"/>
      <c r="AE32" s="1"/>
      <c r="AF32" s="1"/>
    </row>
    <row r="33" ht="15.0" customHeight="1">
      <c r="A33" s="60"/>
      <c r="B33" s="60"/>
      <c r="C33" s="1"/>
      <c r="D33" s="1"/>
      <c r="E33" s="7"/>
      <c r="F33" s="1"/>
      <c r="G33" s="148" t="str">
        <f t="shared" ref="G33:P33" si="33">G8</f>
        <v>HDCP</v>
      </c>
      <c r="H33" s="148">
        <f t="shared" si="33"/>
        <v>9</v>
      </c>
      <c r="I33" s="148">
        <f t="shared" si="33"/>
        <v>17</v>
      </c>
      <c r="J33" s="148">
        <f t="shared" si="33"/>
        <v>5</v>
      </c>
      <c r="K33" s="148">
        <f t="shared" si="33"/>
        <v>7</v>
      </c>
      <c r="L33" s="148">
        <f t="shared" si="33"/>
        <v>1</v>
      </c>
      <c r="M33" s="148">
        <f t="shared" si="33"/>
        <v>13</v>
      </c>
      <c r="N33" s="148">
        <f t="shared" si="33"/>
        <v>15</v>
      </c>
      <c r="O33" s="148">
        <f t="shared" si="33"/>
        <v>3</v>
      </c>
      <c r="P33" s="148">
        <f t="shared" si="33"/>
        <v>11</v>
      </c>
      <c r="Q33" s="148"/>
      <c r="R33" s="17"/>
      <c r="S33" s="148">
        <f t="shared" ref="S33:AA33" si="34">S8</f>
        <v>18</v>
      </c>
      <c r="T33" s="148">
        <f t="shared" si="34"/>
        <v>4</v>
      </c>
      <c r="U33" s="148">
        <f t="shared" si="34"/>
        <v>8</v>
      </c>
      <c r="V33" s="148">
        <f t="shared" si="34"/>
        <v>14</v>
      </c>
      <c r="W33" s="148">
        <f t="shared" si="34"/>
        <v>12</v>
      </c>
      <c r="X33" s="148">
        <f t="shared" si="34"/>
        <v>2</v>
      </c>
      <c r="Y33" s="148">
        <f t="shared" si="34"/>
        <v>16</v>
      </c>
      <c r="Z33" s="148">
        <f t="shared" si="34"/>
        <v>6</v>
      </c>
      <c r="AA33" s="148">
        <f t="shared" si="34"/>
        <v>10</v>
      </c>
      <c r="AB33" s="148"/>
      <c r="AC33" s="148"/>
      <c r="AD33" s="12"/>
      <c r="AE33" s="1"/>
      <c r="AF33" s="1"/>
    </row>
    <row r="34" ht="6.75" customHeight="1">
      <c r="A34" s="60"/>
      <c r="B34" s="60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2"/>
      <c r="AE34" s="1"/>
      <c r="AF34" s="1"/>
    </row>
    <row r="35" ht="11.25" customHeight="1">
      <c r="A35" s="60"/>
      <c r="B35" s="60"/>
      <c r="C35" s="1"/>
      <c r="D35" s="1"/>
      <c r="E35" s="7"/>
      <c r="F35" s="149" t="s">
        <v>121</v>
      </c>
      <c r="G35" s="150">
        <f>IFERROR(VLOOKUP(F35,HANDICAPS!$B$8:$G$23,$D$3,FALSE),"")</f>
        <v>-2</v>
      </c>
      <c r="H35" s="151" t="str">
        <f t="shared" ref="H35:P35" si="35">IFERROR(IF($G35&gt;18,IF(($G35-18)&gt;H$33,"**","*"),IF($G35&gt;=H$8,"*","")),"")</f>
        <v/>
      </c>
      <c r="I35" s="151" t="str">
        <f t="shared" si="35"/>
        <v/>
      </c>
      <c r="J35" s="151" t="str">
        <f t="shared" si="35"/>
        <v/>
      </c>
      <c r="K35" s="151" t="str">
        <f t="shared" si="35"/>
        <v/>
      </c>
      <c r="L35" s="151" t="str">
        <f t="shared" si="35"/>
        <v/>
      </c>
      <c r="M35" s="151" t="str">
        <f t="shared" si="35"/>
        <v/>
      </c>
      <c r="N35" s="152" t="str">
        <f t="shared" si="35"/>
        <v/>
      </c>
      <c r="O35" s="151" t="str">
        <f t="shared" si="35"/>
        <v/>
      </c>
      <c r="P35" s="151" t="str">
        <f t="shared" si="35"/>
        <v/>
      </c>
      <c r="Q35" s="151"/>
      <c r="R35" s="153"/>
      <c r="S35" s="151" t="str">
        <f t="shared" ref="S35:AA35" si="36">IFERROR(IF($G35&gt;18,IF(($G35-18)&gt;S$33,"**","*"),IF($G35&gt;=S$8,"*","")),"")</f>
        <v/>
      </c>
      <c r="T35" s="151" t="str">
        <f t="shared" si="36"/>
        <v/>
      </c>
      <c r="U35" s="151" t="str">
        <f t="shared" si="36"/>
        <v/>
      </c>
      <c r="V35" s="151" t="str">
        <f t="shared" si="36"/>
        <v/>
      </c>
      <c r="W35" s="151" t="str">
        <f t="shared" si="36"/>
        <v/>
      </c>
      <c r="X35" s="151" t="str">
        <f t="shared" si="36"/>
        <v/>
      </c>
      <c r="Y35" s="151" t="str">
        <f t="shared" si="36"/>
        <v/>
      </c>
      <c r="Z35" s="151" t="str">
        <f t="shared" si="36"/>
        <v/>
      </c>
      <c r="AA35" s="152" t="str">
        <f t="shared" si="36"/>
        <v/>
      </c>
      <c r="AB35" s="151"/>
      <c r="AC35" s="151" t="str">
        <f>IF(AB35="","",SUM(Q35,AB35))</f>
        <v/>
      </c>
      <c r="AD35" s="12"/>
      <c r="AE35" s="1"/>
      <c r="AF35" s="1"/>
    </row>
    <row r="36" ht="18.75" customHeight="1">
      <c r="A36" s="60"/>
      <c r="B36" s="60" t="str">
        <f>F35</f>
        <v>DEREK</v>
      </c>
      <c r="C36" s="1"/>
      <c r="D36" s="1"/>
      <c r="E36" s="7"/>
      <c r="F36" s="154"/>
      <c r="G36" s="155"/>
      <c r="H36" s="186">
        <v>4.0</v>
      </c>
      <c r="I36" s="186">
        <v>5.0</v>
      </c>
      <c r="J36" s="186">
        <v>5.0</v>
      </c>
      <c r="K36" s="186">
        <v>4.0</v>
      </c>
      <c r="L36" s="186">
        <v>4.0</v>
      </c>
      <c r="M36" s="186">
        <v>4.0</v>
      </c>
      <c r="N36" s="187">
        <v>3.0</v>
      </c>
      <c r="O36" s="186">
        <v>4.0</v>
      </c>
      <c r="P36" s="186">
        <v>4.0</v>
      </c>
      <c r="Q36" s="156">
        <f>IF(H36="","",SUM(H36:P36))</f>
        <v>37</v>
      </c>
      <c r="R36" s="153"/>
      <c r="S36" s="186">
        <v>5.0</v>
      </c>
      <c r="T36" s="186">
        <v>6.0</v>
      </c>
      <c r="U36" s="186">
        <v>5.0</v>
      </c>
      <c r="V36" s="186">
        <v>5.0</v>
      </c>
      <c r="W36" s="186">
        <v>3.0</v>
      </c>
      <c r="X36" s="186">
        <v>4.0</v>
      </c>
      <c r="Y36" s="186">
        <v>3.0</v>
      </c>
      <c r="Z36" s="186">
        <v>4.0</v>
      </c>
      <c r="AA36" s="187">
        <v>4.0</v>
      </c>
      <c r="AB36" s="156">
        <f>IF(S36="","",SUM(S36:AA36))</f>
        <v>39</v>
      </c>
      <c r="AC36" s="156">
        <f>IFERROR(Q36+AB36,"")</f>
        <v>76</v>
      </c>
      <c r="AD36" s="12"/>
      <c r="AE36" s="1"/>
      <c r="AF36" s="1"/>
    </row>
    <row r="37" ht="11.25" customHeight="1">
      <c r="A37" s="60"/>
      <c r="B37" s="60"/>
      <c r="C37" s="1"/>
      <c r="D37" s="1"/>
      <c r="E37" s="7"/>
      <c r="F37" s="183" t="s">
        <v>123</v>
      </c>
      <c r="G37" s="150">
        <f>IFERROR(VLOOKUP(F37,HANDICAPS!$B$8:$G$23,$D$3,FALSE),"")</f>
        <v>-1</v>
      </c>
      <c r="H37" s="158" t="str">
        <f t="shared" ref="H37:P37" si="37">IFERROR(IF($G37&gt;18,IF(($G37-18)&gt;H$33,"**","*"),IF($G37&gt;=H$8,"*","")),"")</f>
        <v/>
      </c>
      <c r="I37" s="158" t="str">
        <f t="shared" si="37"/>
        <v/>
      </c>
      <c r="J37" s="158" t="str">
        <f t="shared" si="37"/>
        <v/>
      </c>
      <c r="K37" s="158" t="str">
        <f t="shared" si="37"/>
        <v/>
      </c>
      <c r="L37" s="158" t="str">
        <f t="shared" si="37"/>
        <v/>
      </c>
      <c r="M37" s="158" t="str">
        <f t="shared" si="37"/>
        <v/>
      </c>
      <c r="N37" s="159" t="str">
        <f t="shared" si="37"/>
        <v/>
      </c>
      <c r="O37" s="158" t="str">
        <f t="shared" si="37"/>
        <v/>
      </c>
      <c r="P37" s="158" t="str">
        <f t="shared" si="37"/>
        <v/>
      </c>
      <c r="Q37" s="158"/>
      <c r="R37" s="158"/>
      <c r="S37" s="158" t="str">
        <f t="shared" ref="S37:AA37" si="38">IFERROR(IF($G37&gt;18,IF(($G37-18)&gt;S$33,"**","*"),IF($G37&gt;=S$8,"*","")),"")</f>
        <v/>
      </c>
      <c r="T37" s="158" t="str">
        <f t="shared" si="38"/>
        <v/>
      </c>
      <c r="U37" s="158" t="str">
        <f t="shared" si="38"/>
        <v/>
      </c>
      <c r="V37" s="158" t="str">
        <f t="shared" si="38"/>
        <v/>
      </c>
      <c r="W37" s="158" t="str">
        <f t="shared" si="38"/>
        <v/>
      </c>
      <c r="X37" s="158" t="str">
        <f t="shared" si="38"/>
        <v/>
      </c>
      <c r="Y37" s="158" t="str">
        <f t="shared" si="38"/>
        <v/>
      </c>
      <c r="Z37" s="158" t="str">
        <f t="shared" si="38"/>
        <v/>
      </c>
      <c r="AA37" s="159" t="str">
        <f t="shared" si="38"/>
        <v/>
      </c>
      <c r="AB37" s="151"/>
      <c r="AC37" s="151" t="str">
        <f>IF(AB37="","",SUM(Q37,AB37))</f>
        <v/>
      </c>
      <c r="AD37" s="12"/>
      <c r="AE37" s="1"/>
      <c r="AF37" s="1"/>
    </row>
    <row r="38" ht="18.75" customHeight="1">
      <c r="A38" s="60"/>
      <c r="B38" s="60" t="str">
        <f>F37</f>
        <v>SCOTT</v>
      </c>
      <c r="C38" s="1"/>
      <c r="D38" s="1"/>
      <c r="E38" s="7"/>
      <c r="F38" s="154"/>
      <c r="G38" s="155"/>
      <c r="H38" s="186">
        <v>4.0</v>
      </c>
      <c r="I38" s="186">
        <v>4.0</v>
      </c>
      <c r="J38" s="186">
        <v>6.0</v>
      </c>
      <c r="K38" s="186">
        <v>4.0</v>
      </c>
      <c r="L38" s="186">
        <v>4.0</v>
      </c>
      <c r="M38" s="186">
        <v>6.0</v>
      </c>
      <c r="N38" s="187">
        <v>3.0</v>
      </c>
      <c r="O38" s="186">
        <v>4.0</v>
      </c>
      <c r="P38" s="186">
        <v>4.0</v>
      </c>
      <c r="Q38" s="156">
        <f>IF(H38="","",SUM(H38:P38))</f>
        <v>39</v>
      </c>
      <c r="R38" s="160"/>
      <c r="S38" s="186">
        <v>4.0</v>
      </c>
      <c r="T38" s="186">
        <v>5.0</v>
      </c>
      <c r="U38" s="186">
        <v>4.0</v>
      </c>
      <c r="V38" s="186">
        <v>5.0</v>
      </c>
      <c r="W38" s="186">
        <v>3.0</v>
      </c>
      <c r="X38" s="186">
        <v>3.0</v>
      </c>
      <c r="Y38" s="186">
        <v>3.0</v>
      </c>
      <c r="Z38" s="186">
        <v>5.0</v>
      </c>
      <c r="AA38" s="187">
        <v>5.0</v>
      </c>
      <c r="AB38" s="156">
        <f>IF(S38="","",SUM(S38:AA38))</f>
        <v>37</v>
      </c>
      <c r="AC38" s="156">
        <f>IFERROR(Q38+AB38,"")</f>
        <v>76</v>
      </c>
      <c r="AD38" s="12"/>
      <c r="AE38" s="1"/>
      <c r="AF38" s="1"/>
    </row>
    <row r="39" ht="6.75" customHeight="1">
      <c r="A39" s="60"/>
      <c r="B39" s="60"/>
      <c r="C39" s="1"/>
      <c r="D39" s="1"/>
      <c r="E39" s="7"/>
      <c r="F39" s="16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12"/>
      <c r="AE39" s="1"/>
      <c r="AF39" s="1"/>
    </row>
    <row r="40" ht="27.75" customHeight="1">
      <c r="A40" s="60"/>
      <c r="B40" s="60"/>
      <c r="C40" s="1"/>
      <c r="D40" s="1"/>
      <c r="E40" s="7"/>
      <c r="F40" s="161" t="s">
        <v>143</v>
      </c>
      <c r="G40" s="142"/>
      <c r="H40" s="162">
        <f t="shared" ref="H40:P40" si="39">IF(H36="","",MIN(IF(H35="**",H36-2,IF(H35="*",H36-1,H36)),(IF(H37="**",H38-2,IF(H37="*",H38-1,H38)))))</f>
        <v>4</v>
      </c>
      <c r="I40" s="162">
        <f t="shared" si="39"/>
        <v>4</v>
      </c>
      <c r="J40" s="162">
        <f t="shared" si="39"/>
        <v>5</v>
      </c>
      <c r="K40" s="162">
        <f t="shared" si="39"/>
        <v>4</v>
      </c>
      <c r="L40" s="162">
        <f t="shared" si="39"/>
        <v>4</v>
      </c>
      <c r="M40" s="162">
        <f t="shared" si="39"/>
        <v>4</v>
      </c>
      <c r="N40" s="163">
        <f t="shared" si="39"/>
        <v>3</v>
      </c>
      <c r="O40" s="162">
        <f t="shared" si="39"/>
        <v>4</v>
      </c>
      <c r="P40" s="162">
        <f t="shared" si="39"/>
        <v>4</v>
      </c>
      <c r="Q40" s="162">
        <f t="shared" ref="Q40:Q41" si="42">IF(H40="","",SUM(H40:P40))</f>
        <v>36</v>
      </c>
      <c r="R40" s="23"/>
      <c r="S40" s="162">
        <f t="shared" ref="S40:AA40" si="40">IF(S36="","",MIN(IF(S35="**",S36-2,IF(S35="*",S36-1,S36)),(IF(S37="**",S38-2,IF(S37="*",S38-1,S38)))))</f>
        <v>4</v>
      </c>
      <c r="T40" s="162">
        <f t="shared" si="40"/>
        <v>5</v>
      </c>
      <c r="U40" s="162">
        <f t="shared" si="40"/>
        <v>4</v>
      </c>
      <c r="V40" s="162">
        <f t="shared" si="40"/>
        <v>5</v>
      </c>
      <c r="W40" s="162">
        <f t="shared" si="40"/>
        <v>3</v>
      </c>
      <c r="X40" s="162">
        <f t="shared" si="40"/>
        <v>3</v>
      </c>
      <c r="Y40" s="162">
        <f t="shared" si="40"/>
        <v>3</v>
      </c>
      <c r="Z40" s="162">
        <f t="shared" si="40"/>
        <v>4</v>
      </c>
      <c r="AA40" s="163">
        <f t="shared" si="40"/>
        <v>4</v>
      </c>
      <c r="AB40" s="162">
        <f t="shared" ref="AB40:AB41" si="44">IF(S40="","",SUM(S40:AA40))</f>
        <v>35</v>
      </c>
      <c r="AC40" s="162">
        <f t="shared" ref="AC40:AC41" si="45">IF(AB40="","",AB40+Q40)</f>
        <v>71</v>
      </c>
      <c r="AD40" s="12"/>
      <c r="AE40" s="1"/>
      <c r="AF40" s="1"/>
    </row>
    <row r="41" ht="27.75" customHeight="1">
      <c r="A41" s="60"/>
      <c r="B41" s="60"/>
      <c r="C41" s="1"/>
      <c r="D41" s="1"/>
      <c r="E41" s="7"/>
      <c r="F41" s="161" t="s">
        <v>144</v>
      </c>
      <c r="G41" s="142"/>
      <c r="H41" s="164">
        <f t="shared" ref="H41:P41" si="41">IF(H40="","",IF(H40=H48,0.5,IF(H40&lt;H48,1,0)))</f>
        <v>0.5</v>
      </c>
      <c r="I41" s="164">
        <f t="shared" si="41"/>
        <v>1</v>
      </c>
      <c r="J41" s="164">
        <f t="shared" si="41"/>
        <v>0</v>
      </c>
      <c r="K41" s="164">
        <f t="shared" si="41"/>
        <v>1</v>
      </c>
      <c r="L41" s="164">
        <f t="shared" si="41"/>
        <v>0.5</v>
      </c>
      <c r="M41" s="164">
        <f t="shared" si="41"/>
        <v>1</v>
      </c>
      <c r="N41" s="165">
        <f t="shared" si="41"/>
        <v>0.5</v>
      </c>
      <c r="O41" s="164">
        <f t="shared" si="41"/>
        <v>0</v>
      </c>
      <c r="P41" s="164">
        <f t="shared" si="41"/>
        <v>0</v>
      </c>
      <c r="Q41" s="164">
        <f t="shared" si="42"/>
        <v>4.5</v>
      </c>
      <c r="R41" s="23"/>
      <c r="S41" s="164">
        <f t="shared" ref="S41:AA41" si="43">IF(S40="","",IF(S40=S48,0.5,IF(S40&lt;S48,1,0)))</f>
        <v>0.5</v>
      </c>
      <c r="T41" s="164">
        <f t="shared" si="43"/>
        <v>0</v>
      </c>
      <c r="U41" s="164">
        <f t="shared" si="43"/>
        <v>0.5</v>
      </c>
      <c r="V41" s="164">
        <f t="shared" si="43"/>
        <v>0.5</v>
      </c>
      <c r="W41" s="164">
        <f t="shared" si="43"/>
        <v>1</v>
      </c>
      <c r="X41" s="164">
        <f t="shared" si="43"/>
        <v>1</v>
      </c>
      <c r="Y41" s="164">
        <f t="shared" si="43"/>
        <v>0</v>
      </c>
      <c r="Z41" s="164">
        <f t="shared" si="43"/>
        <v>0</v>
      </c>
      <c r="AA41" s="165">
        <f t="shared" si="43"/>
        <v>1</v>
      </c>
      <c r="AB41" s="164">
        <f t="shared" si="44"/>
        <v>4.5</v>
      </c>
      <c r="AC41" s="164">
        <f t="shared" si="45"/>
        <v>9</v>
      </c>
      <c r="AD41" s="12"/>
      <c r="AE41" s="1"/>
      <c r="AF41" s="1"/>
    </row>
    <row r="42" ht="6.75" customHeight="1">
      <c r="A42" s="60"/>
      <c r="B42" s="60"/>
      <c r="C42" s="1"/>
      <c r="D42" s="1"/>
      <c r="E42" s="7"/>
      <c r="F42" s="16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12"/>
      <c r="AE42" s="1"/>
      <c r="AF42" s="1"/>
    </row>
    <row r="43" ht="11.25" customHeight="1">
      <c r="A43" s="60"/>
      <c r="B43" s="60"/>
      <c r="C43" s="1"/>
      <c r="D43" s="1"/>
      <c r="E43" s="7"/>
      <c r="F43" s="183" t="s">
        <v>81</v>
      </c>
      <c r="G43" s="150">
        <f>IFERROR(VLOOKUP(F43,HANDICAPS!$B$8:$G$23,$D$3,FALSE),"")</f>
        <v>5</v>
      </c>
      <c r="H43" s="151" t="str">
        <f t="shared" ref="H43:P43" si="46">IFERROR(IF($G43&gt;18,IF(($G43-18)&gt;H$33,"**","*"),IF($G43&gt;=H$8,"*","")),"")</f>
        <v/>
      </c>
      <c r="I43" s="151" t="str">
        <f t="shared" si="46"/>
        <v/>
      </c>
      <c r="J43" s="151" t="str">
        <f t="shared" si="46"/>
        <v>*</v>
      </c>
      <c r="K43" s="151" t="str">
        <f t="shared" si="46"/>
        <v/>
      </c>
      <c r="L43" s="151" t="str">
        <f t="shared" si="46"/>
        <v>*</v>
      </c>
      <c r="M43" s="151" t="str">
        <f t="shared" si="46"/>
        <v/>
      </c>
      <c r="N43" s="152" t="str">
        <f t="shared" si="46"/>
        <v/>
      </c>
      <c r="O43" s="151" t="str">
        <f t="shared" si="46"/>
        <v>*</v>
      </c>
      <c r="P43" s="151" t="str">
        <f t="shared" si="46"/>
        <v/>
      </c>
      <c r="Q43" s="151"/>
      <c r="R43" s="153"/>
      <c r="S43" s="151" t="str">
        <f t="shared" ref="S43:AA43" si="47">IFERROR(IF($G43&gt;18,IF(($G43-18)&gt;S$33,"**","*"),IF($G43&gt;=S$8,"*","")),"")</f>
        <v/>
      </c>
      <c r="T43" s="151" t="str">
        <f t="shared" si="47"/>
        <v>*</v>
      </c>
      <c r="U43" s="151" t="str">
        <f t="shared" si="47"/>
        <v/>
      </c>
      <c r="V43" s="151" t="str">
        <f t="shared" si="47"/>
        <v/>
      </c>
      <c r="W43" s="151" t="str">
        <f t="shared" si="47"/>
        <v/>
      </c>
      <c r="X43" s="151" t="str">
        <f t="shared" si="47"/>
        <v>*</v>
      </c>
      <c r="Y43" s="151" t="str">
        <f t="shared" si="47"/>
        <v/>
      </c>
      <c r="Z43" s="151" t="str">
        <f t="shared" si="47"/>
        <v/>
      </c>
      <c r="AA43" s="152" t="str">
        <f t="shared" si="47"/>
        <v/>
      </c>
      <c r="AB43" s="151"/>
      <c r="AC43" s="151" t="str">
        <f>IF(AB43="","",SUM(Q43,AB43))</f>
        <v/>
      </c>
      <c r="AD43" s="12"/>
      <c r="AE43" s="1"/>
      <c r="AF43" s="1"/>
    </row>
    <row r="44" ht="18.75" customHeight="1">
      <c r="A44" s="60"/>
      <c r="B44" s="60" t="str">
        <f>F43</f>
        <v>ZACH</v>
      </c>
      <c r="C44" s="1"/>
      <c r="D44" s="1"/>
      <c r="E44" s="7"/>
      <c r="F44" s="154"/>
      <c r="G44" s="155"/>
      <c r="H44" s="186">
        <v>5.0</v>
      </c>
      <c r="I44" s="186">
        <v>5.0</v>
      </c>
      <c r="J44" s="186">
        <v>5.0</v>
      </c>
      <c r="K44" s="186">
        <v>5.0</v>
      </c>
      <c r="L44" s="186">
        <v>5.0</v>
      </c>
      <c r="M44" s="186">
        <v>6.0</v>
      </c>
      <c r="N44" s="187">
        <v>3.0</v>
      </c>
      <c r="O44" s="186">
        <v>5.0</v>
      </c>
      <c r="P44" s="186">
        <v>4.0</v>
      </c>
      <c r="Q44" s="156">
        <f>IF(H44="","",SUM(H44:P44))</f>
        <v>43</v>
      </c>
      <c r="R44" s="153"/>
      <c r="S44" s="186">
        <v>5.0</v>
      </c>
      <c r="T44" s="186">
        <v>6.0</v>
      </c>
      <c r="U44" s="186">
        <v>4.0</v>
      </c>
      <c r="V44" s="186">
        <v>5.0</v>
      </c>
      <c r="W44" s="186">
        <v>5.0</v>
      </c>
      <c r="X44" s="186">
        <v>5.0</v>
      </c>
      <c r="Y44" s="186">
        <v>2.0</v>
      </c>
      <c r="Z44" s="186">
        <v>4.0</v>
      </c>
      <c r="AA44" s="187">
        <v>6.0</v>
      </c>
      <c r="AB44" s="156">
        <f>IF(S44="","",SUM(S44:AA44))</f>
        <v>42</v>
      </c>
      <c r="AC44" s="156">
        <f>IFERROR(Q44+AB44,"")</f>
        <v>85</v>
      </c>
      <c r="AD44" s="12"/>
      <c r="AE44" s="1"/>
      <c r="AF44" s="1"/>
    </row>
    <row r="45" ht="11.25" customHeight="1">
      <c r="A45" s="60"/>
      <c r="B45" s="60"/>
      <c r="C45" s="1"/>
      <c r="D45" s="1"/>
      <c r="E45" s="7"/>
      <c r="F45" s="183" t="s">
        <v>128</v>
      </c>
      <c r="G45" s="150">
        <f>IFERROR(VLOOKUP(F45,HANDICAPS!$B$8:$G$23,$D$3,FALSE),"")</f>
        <v>6</v>
      </c>
      <c r="H45" s="158" t="str">
        <f t="shared" ref="H45:P45" si="48">IFERROR(IF($G45&gt;18,IF(($G45-18)&gt;H$33,"**","*"),IF($G45&gt;=H$8,"*","")),"")</f>
        <v/>
      </c>
      <c r="I45" s="158" t="str">
        <f t="shared" si="48"/>
        <v/>
      </c>
      <c r="J45" s="158" t="str">
        <f t="shared" si="48"/>
        <v>*</v>
      </c>
      <c r="K45" s="158" t="str">
        <f t="shared" si="48"/>
        <v/>
      </c>
      <c r="L45" s="158" t="str">
        <f t="shared" si="48"/>
        <v>*</v>
      </c>
      <c r="M45" s="158" t="str">
        <f t="shared" si="48"/>
        <v/>
      </c>
      <c r="N45" s="159" t="str">
        <f t="shared" si="48"/>
        <v/>
      </c>
      <c r="O45" s="158" t="str">
        <f t="shared" si="48"/>
        <v>*</v>
      </c>
      <c r="P45" s="158" t="str">
        <f t="shared" si="48"/>
        <v/>
      </c>
      <c r="Q45" s="158"/>
      <c r="R45" s="158"/>
      <c r="S45" s="158" t="str">
        <f t="shared" ref="S45:AA45" si="49">IFERROR(IF($G45&gt;18,IF(($G45-18)&gt;S$33,"**","*"),IF($G45&gt;=S$8,"*","")),"")</f>
        <v/>
      </c>
      <c r="T45" s="158" t="str">
        <f t="shared" si="49"/>
        <v>*</v>
      </c>
      <c r="U45" s="158" t="str">
        <f t="shared" si="49"/>
        <v/>
      </c>
      <c r="V45" s="158" t="str">
        <f t="shared" si="49"/>
        <v/>
      </c>
      <c r="W45" s="158" t="str">
        <f t="shared" si="49"/>
        <v/>
      </c>
      <c r="X45" s="158" t="str">
        <f t="shared" si="49"/>
        <v>*</v>
      </c>
      <c r="Y45" s="158" t="str">
        <f t="shared" si="49"/>
        <v/>
      </c>
      <c r="Z45" s="158" t="str">
        <f t="shared" si="49"/>
        <v>*</v>
      </c>
      <c r="AA45" s="159" t="str">
        <f t="shared" si="49"/>
        <v/>
      </c>
      <c r="AB45" s="151"/>
      <c r="AC45" s="151" t="str">
        <f>IF(AB45="","",SUM(Q45,AB45))</f>
        <v/>
      </c>
      <c r="AD45" s="12"/>
      <c r="AE45" s="1"/>
      <c r="AF45" s="1"/>
    </row>
    <row r="46" ht="18.75" customHeight="1">
      <c r="A46" s="60"/>
      <c r="B46" s="60" t="str">
        <f>F45</f>
        <v>SLICK</v>
      </c>
      <c r="C46" s="1"/>
      <c r="D46" s="1"/>
      <c r="E46" s="7"/>
      <c r="F46" s="154"/>
      <c r="G46" s="155"/>
      <c r="H46" s="186">
        <v>4.0</v>
      </c>
      <c r="I46" s="186">
        <v>6.0</v>
      </c>
      <c r="J46" s="186">
        <v>5.0</v>
      </c>
      <c r="K46" s="186">
        <v>6.0</v>
      </c>
      <c r="L46" s="186">
        <v>5.0</v>
      </c>
      <c r="M46" s="186">
        <v>6.0</v>
      </c>
      <c r="N46" s="187">
        <v>4.0</v>
      </c>
      <c r="O46" s="186">
        <v>4.0</v>
      </c>
      <c r="P46" s="186">
        <v>3.0</v>
      </c>
      <c r="Q46" s="156">
        <f>IF(H46="","",SUM(H46:P46))</f>
        <v>43</v>
      </c>
      <c r="R46" s="160"/>
      <c r="S46" s="186">
        <v>4.0</v>
      </c>
      <c r="T46" s="186">
        <v>5.0</v>
      </c>
      <c r="U46" s="186">
        <v>4.0</v>
      </c>
      <c r="V46" s="186">
        <v>5.0</v>
      </c>
      <c r="W46" s="186">
        <v>4.0</v>
      </c>
      <c r="X46" s="186">
        <v>6.0</v>
      </c>
      <c r="Y46" s="186">
        <v>4.0</v>
      </c>
      <c r="Z46" s="186">
        <v>4.0</v>
      </c>
      <c r="AA46" s="187">
        <v>6.0</v>
      </c>
      <c r="AB46" s="156">
        <f>IF(S46="","",SUM(S46:AA46))</f>
        <v>42</v>
      </c>
      <c r="AC46" s="156">
        <f>IFERROR(Q46+AB46,"")</f>
        <v>85</v>
      </c>
      <c r="AD46" s="12"/>
      <c r="AE46" s="1"/>
      <c r="AF46" s="1"/>
    </row>
    <row r="47" ht="6.75" customHeight="1">
      <c r="A47" s="60"/>
      <c r="B47" s="60"/>
      <c r="C47" s="1"/>
      <c r="D47" s="1"/>
      <c r="E47" s="7"/>
      <c r="F47" s="16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12"/>
      <c r="AE47" s="1"/>
      <c r="AF47" s="1"/>
    </row>
    <row r="48" ht="27.75" customHeight="1">
      <c r="A48" s="60"/>
      <c r="B48" s="60"/>
      <c r="C48" s="1"/>
      <c r="D48" s="1"/>
      <c r="E48" s="7"/>
      <c r="F48" s="161" t="s">
        <v>143</v>
      </c>
      <c r="G48" s="142"/>
      <c r="H48" s="162">
        <f t="shared" ref="H48:P48" si="50">IF(H44="","",MIN(IF(H43="**",H44-2,IF(H43="*",H44-1,H44)),(IF(H45="**",H46-2,IF(H45="*",H46-1,H46)))))</f>
        <v>4</v>
      </c>
      <c r="I48" s="162">
        <f t="shared" si="50"/>
        <v>5</v>
      </c>
      <c r="J48" s="162">
        <f t="shared" si="50"/>
        <v>4</v>
      </c>
      <c r="K48" s="162">
        <f t="shared" si="50"/>
        <v>5</v>
      </c>
      <c r="L48" s="162">
        <f t="shared" si="50"/>
        <v>4</v>
      </c>
      <c r="M48" s="162">
        <f t="shared" si="50"/>
        <v>6</v>
      </c>
      <c r="N48" s="163">
        <f t="shared" si="50"/>
        <v>3</v>
      </c>
      <c r="O48" s="162">
        <f t="shared" si="50"/>
        <v>3</v>
      </c>
      <c r="P48" s="162">
        <f t="shared" si="50"/>
        <v>3</v>
      </c>
      <c r="Q48" s="162">
        <f t="shared" ref="Q48:Q49" si="53">IF(H48="","",SUM(H48:P48))</f>
        <v>37</v>
      </c>
      <c r="R48" s="23"/>
      <c r="S48" s="162">
        <f t="shared" ref="S48:AA48" si="51">IF(S44="","",MIN(IF(S43="**",S44-2,IF(S43="*",S44-1,S44)),(IF(S45="**",S46-2,IF(S45="*",S46-1,S46)))))</f>
        <v>4</v>
      </c>
      <c r="T48" s="162">
        <f t="shared" si="51"/>
        <v>4</v>
      </c>
      <c r="U48" s="162">
        <f t="shared" si="51"/>
        <v>4</v>
      </c>
      <c r="V48" s="162">
        <f t="shared" si="51"/>
        <v>5</v>
      </c>
      <c r="W48" s="162">
        <f t="shared" si="51"/>
        <v>4</v>
      </c>
      <c r="X48" s="162">
        <f t="shared" si="51"/>
        <v>4</v>
      </c>
      <c r="Y48" s="162">
        <f t="shared" si="51"/>
        <v>2</v>
      </c>
      <c r="Z48" s="162">
        <f t="shared" si="51"/>
        <v>3</v>
      </c>
      <c r="AA48" s="163">
        <f t="shared" si="51"/>
        <v>6</v>
      </c>
      <c r="AB48" s="162">
        <f t="shared" ref="AB48:AB49" si="55">IF(S48="","",SUM(S48:AA48))</f>
        <v>36</v>
      </c>
      <c r="AC48" s="162">
        <f t="shared" ref="AC48:AC49" si="56">IF(AB48="","",AB48+Q48)</f>
        <v>73</v>
      </c>
      <c r="AD48" s="12"/>
      <c r="AE48" s="1"/>
      <c r="AF48" s="1"/>
    </row>
    <row r="49" ht="27.75" customHeight="1">
      <c r="A49" s="60"/>
      <c r="B49" s="60"/>
      <c r="C49" s="1"/>
      <c r="D49" s="1"/>
      <c r="E49" s="7"/>
      <c r="F49" s="161" t="s">
        <v>144</v>
      </c>
      <c r="G49" s="142"/>
      <c r="H49" s="164">
        <f t="shared" ref="H49:P49" si="52">IF(H48="","",IF(H48=H40,0.5,IF(H48&lt;H40,1,0)))</f>
        <v>0.5</v>
      </c>
      <c r="I49" s="164">
        <f t="shared" si="52"/>
        <v>0</v>
      </c>
      <c r="J49" s="164">
        <f t="shared" si="52"/>
        <v>1</v>
      </c>
      <c r="K49" s="164">
        <f t="shared" si="52"/>
        <v>0</v>
      </c>
      <c r="L49" s="164">
        <f t="shared" si="52"/>
        <v>0.5</v>
      </c>
      <c r="M49" s="164">
        <f t="shared" si="52"/>
        <v>0</v>
      </c>
      <c r="N49" s="165">
        <f t="shared" si="52"/>
        <v>0.5</v>
      </c>
      <c r="O49" s="164">
        <f t="shared" si="52"/>
        <v>1</v>
      </c>
      <c r="P49" s="164">
        <f t="shared" si="52"/>
        <v>1</v>
      </c>
      <c r="Q49" s="164">
        <f t="shared" si="53"/>
        <v>4.5</v>
      </c>
      <c r="R49" s="23"/>
      <c r="S49" s="164">
        <f t="shared" ref="S49:AA49" si="54">IF(S48="","",IF(S48=S40,0.5,IF(S48&lt;S40,1,0)))</f>
        <v>0.5</v>
      </c>
      <c r="T49" s="164">
        <f t="shared" si="54"/>
        <v>1</v>
      </c>
      <c r="U49" s="164">
        <f t="shared" si="54"/>
        <v>0.5</v>
      </c>
      <c r="V49" s="164">
        <f t="shared" si="54"/>
        <v>0.5</v>
      </c>
      <c r="W49" s="164">
        <f t="shared" si="54"/>
        <v>0</v>
      </c>
      <c r="X49" s="164">
        <f t="shared" si="54"/>
        <v>0</v>
      </c>
      <c r="Y49" s="164">
        <f t="shared" si="54"/>
        <v>1</v>
      </c>
      <c r="Z49" s="164">
        <f t="shared" si="54"/>
        <v>1</v>
      </c>
      <c r="AA49" s="165">
        <f t="shared" si="54"/>
        <v>0</v>
      </c>
      <c r="AB49" s="164">
        <f t="shared" si="55"/>
        <v>4.5</v>
      </c>
      <c r="AC49" s="164">
        <f t="shared" si="56"/>
        <v>9</v>
      </c>
      <c r="AD49" s="12"/>
      <c r="AE49" s="1"/>
      <c r="AF49" s="1"/>
    </row>
    <row r="50" ht="6.75" customHeight="1">
      <c r="A50" s="60"/>
      <c r="B50" s="60"/>
      <c r="C50" s="1"/>
      <c r="D50" s="1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1"/>
      <c r="AF50" s="1"/>
    </row>
    <row r="51" ht="67.5" hidden="1" customHeight="1">
      <c r="A51" s="60"/>
      <c r="B51" s="60"/>
      <c r="C51" s="1"/>
      <c r="D51" s="1"/>
      <c r="E51" s="3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6.75" customHeight="1">
      <c r="A52" s="60"/>
      <c r="B52" s="60"/>
      <c r="C52" s="1"/>
      <c r="D52" s="1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  <c r="AA52" s="4"/>
      <c r="AB52" s="4"/>
      <c r="AC52" s="4"/>
      <c r="AD52" s="5"/>
      <c r="AE52" s="1"/>
      <c r="AF52" s="1"/>
    </row>
    <row r="53" ht="15.75" customHeight="1">
      <c r="A53" s="60"/>
      <c r="B53" s="60"/>
      <c r="C53" s="1"/>
      <c r="D53" s="1"/>
      <c r="E53" s="7"/>
      <c r="F53" s="140" t="str">
        <f>F28</f>
        <v>MICHIGAN OPEN 2022 - ROUND 3 - ARTHUR HILLS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2"/>
      <c r="AD53" s="12"/>
      <c r="AE53" s="1"/>
      <c r="AF53" s="1"/>
    </row>
    <row r="54" ht="18.75" customHeight="1">
      <c r="A54" s="60"/>
      <c r="B54" s="60"/>
      <c r="C54" s="1"/>
      <c r="D54" s="1"/>
      <c r="E54" s="7"/>
      <c r="F54" s="1"/>
      <c r="G54" s="1"/>
      <c r="H54" s="1"/>
      <c r="I54" s="1"/>
      <c r="J54" s="13" t="str">
        <f>J29</f>
        <v>FRONT</v>
      </c>
      <c r="K54" s="14"/>
      <c r="L54" s="14"/>
      <c r="M54" s="14"/>
      <c r="N54" s="14"/>
      <c r="O54" s="1"/>
      <c r="P54" s="1"/>
      <c r="Q54" s="1"/>
      <c r="R54" s="1"/>
      <c r="S54" s="1"/>
      <c r="T54" s="1"/>
      <c r="U54" s="1"/>
      <c r="V54" s="13" t="str">
        <f>V29</f>
        <v>BACK</v>
      </c>
      <c r="W54" s="14"/>
      <c r="X54" s="14"/>
      <c r="Y54" s="14"/>
      <c r="Z54" s="14"/>
      <c r="AA54" s="1"/>
      <c r="AB54" s="1"/>
      <c r="AC54" s="1"/>
      <c r="AD54" s="12"/>
      <c r="AE54" s="1"/>
      <c r="AF54" s="1"/>
    </row>
    <row r="55" ht="15.0" customHeight="1">
      <c r="A55" s="60"/>
      <c r="B55" s="60"/>
      <c r="C55" s="1"/>
      <c r="D55" s="1"/>
      <c r="E55" s="7"/>
      <c r="F55" s="1"/>
      <c r="G55" s="143" t="str">
        <f t="shared" ref="G55:Q55" si="57">G30</f>
        <v>HOLE</v>
      </c>
      <c r="H55" s="143">
        <f t="shared" si="57"/>
        <v>1</v>
      </c>
      <c r="I55" s="143">
        <f t="shared" si="57"/>
        <v>2</v>
      </c>
      <c r="J55" s="143">
        <f t="shared" si="57"/>
        <v>3</v>
      </c>
      <c r="K55" s="143">
        <f t="shared" si="57"/>
        <v>4</v>
      </c>
      <c r="L55" s="143">
        <f t="shared" si="57"/>
        <v>5</v>
      </c>
      <c r="M55" s="143">
        <f t="shared" si="57"/>
        <v>6</v>
      </c>
      <c r="N55" s="143">
        <f t="shared" si="57"/>
        <v>7</v>
      </c>
      <c r="O55" s="143">
        <f t="shared" si="57"/>
        <v>8</v>
      </c>
      <c r="P55" s="143">
        <f t="shared" si="57"/>
        <v>9</v>
      </c>
      <c r="Q55" s="143" t="str">
        <f t="shared" si="57"/>
        <v>OUT</v>
      </c>
      <c r="R55" s="16"/>
      <c r="S55" s="143">
        <f t="shared" ref="S55:AC55" si="58">S30</f>
        <v>10</v>
      </c>
      <c r="T55" s="143">
        <f t="shared" si="58"/>
        <v>11</v>
      </c>
      <c r="U55" s="143">
        <f t="shared" si="58"/>
        <v>12</v>
      </c>
      <c r="V55" s="143">
        <f t="shared" si="58"/>
        <v>13</v>
      </c>
      <c r="W55" s="143">
        <f t="shared" si="58"/>
        <v>14</v>
      </c>
      <c r="X55" s="143">
        <f t="shared" si="58"/>
        <v>15</v>
      </c>
      <c r="Y55" s="143">
        <f t="shared" si="58"/>
        <v>16</v>
      </c>
      <c r="Z55" s="143">
        <f t="shared" si="58"/>
        <v>17</v>
      </c>
      <c r="AA55" s="143">
        <f t="shared" si="58"/>
        <v>18</v>
      </c>
      <c r="AB55" s="143" t="str">
        <f t="shared" si="58"/>
        <v>IN</v>
      </c>
      <c r="AC55" s="143" t="str">
        <f t="shared" si="58"/>
        <v>TOTAL</v>
      </c>
      <c r="AD55" s="12"/>
      <c r="AE55" s="1"/>
      <c r="AF55" s="1"/>
    </row>
    <row r="56" ht="15.0" customHeight="1">
      <c r="A56" s="60"/>
      <c r="B56" s="60"/>
      <c r="C56" s="1"/>
      <c r="D56" s="1"/>
      <c r="E56" s="7"/>
      <c r="F56" s="144" t="s">
        <v>154</v>
      </c>
      <c r="G56" s="182" t="str">
        <f t="shared" ref="G56:Q56" si="59">G31</f>
        <v>ORANGE</v>
      </c>
      <c r="H56" s="182">
        <f t="shared" si="59"/>
        <v>355</v>
      </c>
      <c r="I56" s="182">
        <f t="shared" si="59"/>
        <v>311</v>
      </c>
      <c r="J56" s="182">
        <f t="shared" si="59"/>
        <v>494</v>
      </c>
      <c r="K56" s="182">
        <f t="shared" si="59"/>
        <v>367</v>
      </c>
      <c r="L56" s="182">
        <f t="shared" si="59"/>
        <v>417</v>
      </c>
      <c r="M56" s="182">
        <f t="shared" si="59"/>
        <v>487</v>
      </c>
      <c r="N56" s="182">
        <f t="shared" si="59"/>
        <v>136</v>
      </c>
      <c r="O56" s="182">
        <f t="shared" si="59"/>
        <v>361</v>
      </c>
      <c r="P56" s="182">
        <f t="shared" si="59"/>
        <v>166</v>
      </c>
      <c r="Q56" s="182">
        <f t="shared" si="59"/>
        <v>3094</v>
      </c>
      <c r="R56" s="17"/>
      <c r="S56" s="182">
        <f t="shared" ref="S56:AB56" si="60">S31</f>
        <v>285</v>
      </c>
      <c r="T56" s="182">
        <f t="shared" si="60"/>
        <v>531</v>
      </c>
      <c r="U56" s="182">
        <f t="shared" si="60"/>
        <v>331</v>
      </c>
      <c r="V56" s="182">
        <f t="shared" si="60"/>
        <v>516</v>
      </c>
      <c r="W56" s="182">
        <f t="shared" si="60"/>
        <v>160</v>
      </c>
      <c r="X56" s="182">
        <f t="shared" si="60"/>
        <v>401</v>
      </c>
      <c r="Y56" s="182">
        <f t="shared" si="60"/>
        <v>151</v>
      </c>
      <c r="Z56" s="182">
        <f t="shared" si="60"/>
        <v>385</v>
      </c>
      <c r="AA56" s="182">
        <f t="shared" si="60"/>
        <v>498</v>
      </c>
      <c r="AB56" s="182">
        <f t="shared" si="60"/>
        <v>3258</v>
      </c>
      <c r="AC56" s="182">
        <f t="shared" ref="AC56:AC57" si="63">AB56+Q56</f>
        <v>6352</v>
      </c>
      <c r="AD56" s="12"/>
      <c r="AE56" s="1"/>
      <c r="AF56" s="1"/>
    </row>
    <row r="57" ht="15.0" customHeight="1">
      <c r="A57" s="60"/>
      <c r="B57" s="60"/>
      <c r="C57" s="1"/>
      <c r="D57" s="1"/>
      <c r="E57" s="7"/>
      <c r="F57" s="146"/>
      <c r="G57" s="147" t="str">
        <f t="shared" ref="G57:Q57" si="61">G32</f>
        <v>PAR</v>
      </c>
      <c r="H57" s="147">
        <f t="shared" si="61"/>
        <v>4</v>
      </c>
      <c r="I57" s="147">
        <f t="shared" si="61"/>
        <v>4</v>
      </c>
      <c r="J57" s="147">
        <f t="shared" si="61"/>
        <v>5</v>
      </c>
      <c r="K57" s="147">
        <f t="shared" si="61"/>
        <v>4</v>
      </c>
      <c r="L57" s="147">
        <f t="shared" si="61"/>
        <v>4</v>
      </c>
      <c r="M57" s="147">
        <f t="shared" si="61"/>
        <v>5</v>
      </c>
      <c r="N57" s="147">
        <f t="shared" si="61"/>
        <v>3</v>
      </c>
      <c r="O57" s="147">
        <f t="shared" si="61"/>
        <v>4</v>
      </c>
      <c r="P57" s="147">
        <f t="shared" si="61"/>
        <v>3</v>
      </c>
      <c r="Q57" s="147">
        <f t="shared" si="61"/>
        <v>36</v>
      </c>
      <c r="R57" s="17"/>
      <c r="S57" s="147">
        <f t="shared" ref="S57:AB57" si="62">S32</f>
        <v>4</v>
      </c>
      <c r="T57" s="147">
        <f t="shared" si="62"/>
        <v>5</v>
      </c>
      <c r="U57" s="147">
        <f t="shared" si="62"/>
        <v>4</v>
      </c>
      <c r="V57" s="147">
        <f t="shared" si="62"/>
        <v>5</v>
      </c>
      <c r="W57" s="147">
        <f t="shared" si="62"/>
        <v>3</v>
      </c>
      <c r="X57" s="147">
        <f t="shared" si="62"/>
        <v>4</v>
      </c>
      <c r="Y57" s="147">
        <f t="shared" si="62"/>
        <v>3</v>
      </c>
      <c r="Z57" s="147">
        <f t="shared" si="62"/>
        <v>4</v>
      </c>
      <c r="AA57" s="147">
        <f t="shared" si="62"/>
        <v>5</v>
      </c>
      <c r="AB57" s="147">
        <f t="shared" si="62"/>
        <v>37</v>
      </c>
      <c r="AC57" s="147">
        <f t="shared" si="63"/>
        <v>73</v>
      </c>
      <c r="AD57" s="12"/>
      <c r="AE57" s="1"/>
      <c r="AF57" s="1"/>
    </row>
    <row r="58" ht="15.0" customHeight="1">
      <c r="A58" s="60"/>
      <c r="B58" s="60"/>
      <c r="C58" s="1"/>
      <c r="D58" s="1"/>
      <c r="E58" s="7"/>
      <c r="F58" s="1"/>
      <c r="G58" s="148" t="str">
        <f t="shared" ref="G58:P58" si="64">G33</f>
        <v>HDCP</v>
      </c>
      <c r="H58" s="148">
        <f t="shared" si="64"/>
        <v>9</v>
      </c>
      <c r="I58" s="148">
        <f t="shared" si="64"/>
        <v>17</v>
      </c>
      <c r="J58" s="148">
        <f t="shared" si="64"/>
        <v>5</v>
      </c>
      <c r="K58" s="148">
        <f t="shared" si="64"/>
        <v>7</v>
      </c>
      <c r="L58" s="148">
        <f t="shared" si="64"/>
        <v>1</v>
      </c>
      <c r="M58" s="148">
        <f t="shared" si="64"/>
        <v>13</v>
      </c>
      <c r="N58" s="148">
        <f t="shared" si="64"/>
        <v>15</v>
      </c>
      <c r="O58" s="148">
        <f t="shared" si="64"/>
        <v>3</v>
      </c>
      <c r="P58" s="148">
        <f t="shared" si="64"/>
        <v>11</v>
      </c>
      <c r="Q58" s="148"/>
      <c r="R58" s="17"/>
      <c r="S58" s="148">
        <f t="shared" ref="S58:AA58" si="65">S33</f>
        <v>18</v>
      </c>
      <c r="T58" s="148">
        <f t="shared" si="65"/>
        <v>4</v>
      </c>
      <c r="U58" s="148">
        <f t="shared" si="65"/>
        <v>8</v>
      </c>
      <c r="V58" s="148">
        <f t="shared" si="65"/>
        <v>14</v>
      </c>
      <c r="W58" s="148">
        <f t="shared" si="65"/>
        <v>12</v>
      </c>
      <c r="X58" s="148">
        <f t="shared" si="65"/>
        <v>2</v>
      </c>
      <c r="Y58" s="148">
        <f t="shared" si="65"/>
        <v>16</v>
      </c>
      <c r="Z58" s="148">
        <f t="shared" si="65"/>
        <v>6</v>
      </c>
      <c r="AA58" s="148">
        <f t="shared" si="65"/>
        <v>10</v>
      </c>
      <c r="AB58" s="148"/>
      <c r="AC58" s="148"/>
      <c r="AD58" s="12"/>
      <c r="AE58" s="1"/>
      <c r="AF58" s="1"/>
    </row>
    <row r="59" ht="6.75" customHeight="1">
      <c r="A59" s="60"/>
      <c r="B59" s="60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2"/>
      <c r="AE59" s="1"/>
      <c r="AF59" s="1"/>
    </row>
    <row r="60" ht="11.25" customHeight="1">
      <c r="A60" s="60"/>
      <c r="B60" s="60"/>
      <c r="C60" s="1"/>
      <c r="D60" s="1"/>
      <c r="E60" s="7"/>
      <c r="F60" s="183" t="s">
        <v>84</v>
      </c>
      <c r="G60" s="150">
        <f>IFERROR(VLOOKUP(F60,HANDICAPS!$B$8:$G$23,$D$3,FALSE),"")</f>
        <v>8</v>
      </c>
      <c r="H60" s="151" t="str">
        <f t="shared" ref="H60:P60" si="66">IFERROR(IF($G60&gt;18,IF(($G60-18)&gt;H$33,"**","*"),IF($G60&gt;=H$8,"*","")),"")</f>
        <v/>
      </c>
      <c r="I60" s="151" t="str">
        <f t="shared" si="66"/>
        <v/>
      </c>
      <c r="J60" s="151" t="str">
        <f t="shared" si="66"/>
        <v>*</v>
      </c>
      <c r="K60" s="151" t="str">
        <f t="shared" si="66"/>
        <v>*</v>
      </c>
      <c r="L60" s="151" t="str">
        <f t="shared" si="66"/>
        <v>*</v>
      </c>
      <c r="M60" s="151" t="str">
        <f t="shared" si="66"/>
        <v/>
      </c>
      <c r="N60" s="152" t="str">
        <f t="shared" si="66"/>
        <v/>
      </c>
      <c r="O60" s="151" t="str">
        <f t="shared" si="66"/>
        <v>*</v>
      </c>
      <c r="P60" s="151" t="str">
        <f t="shared" si="66"/>
        <v/>
      </c>
      <c r="Q60" s="151"/>
      <c r="R60" s="153"/>
      <c r="S60" s="151" t="str">
        <f t="shared" ref="S60:AA60" si="67">IFERROR(IF($G60&gt;18,IF(($G60-18)&gt;S$33,"**","*"),IF($G60&gt;=S$8,"*","")),"")</f>
        <v/>
      </c>
      <c r="T60" s="151" t="str">
        <f t="shared" si="67"/>
        <v>*</v>
      </c>
      <c r="U60" s="151" t="str">
        <f t="shared" si="67"/>
        <v>*</v>
      </c>
      <c r="V60" s="151" t="str">
        <f t="shared" si="67"/>
        <v/>
      </c>
      <c r="W60" s="151" t="str">
        <f t="shared" si="67"/>
        <v/>
      </c>
      <c r="X60" s="151" t="str">
        <f t="shared" si="67"/>
        <v>*</v>
      </c>
      <c r="Y60" s="151" t="str">
        <f t="shared" si="67"/>
        <v/>
      </c>
      <c r="Z60" s="151" t="str">
        <f t="shared" si="67"/>
        <v>*</v>
      </c>
      <c r="AA60" s="152" t="str">
        <f t="shared" si="67"/>
        <v/>
      </c>
      <c r="AB60" s="151"/>
      <c r="AC60" s="151" t="str">
        <f>IF(AB60="","",SUM(Q60,AB60))</f>
        <v/>
      </c>
      <c r="AD60" s="12"/>
      <c r="AE60" s="1"/>
      <c r="AF60" s="1"/>
    </row>
    <row r="61" ht="18.75" customHeight="1">
      <c r="A61" s="60"/>
      <c r="B61" s="60" t="str">
        <f>F60</f>
        <v>PAXTON</v>
      </c>
      <c r="C61" s="1"/>
      <c r="D61" s="1"/>
      <c r="E61" s="7"/>
      <c r="F61" s="154"/>
      <c r="G61" s="155"/>
      <c r="H61" s="186">
        <v>6.0</v>
      </c>
      <c r="I61" s="186">
        <v>7.0</v>
      </c>
      <c r="J61" s="186">
        <v>8.0</v>
      </c>
      <c r="K61" s="186">
        <v>4.0</v>
      </c>
      <c r="L61" s="186">
        <v>5.0</v>
      </c>
      <c r="M61" s="186">
        <v>5.0</v>
      </c>
      <c r="N61" s="187">
        <v>4.0</v>
      </c>
      <c r="O61" s="186">
        <v>4.0</v>
      </c>
      <c r="P61" s="186">
        <v>4.0</v>
      </c>
      <c r="Q61" s="156">
        <f>IF(H61="","",SUM(H61:P61))</f>
        <v>47</v>
      </c>
      <c r="R61" s="153"/>
      <c r="S61" s="186">
        <v>5.0</v>
      </c>
      <c r="T61" s="186">
        <v>5.0</v>
      </c>
      <c r="U61" s="186">
        <v>6.0</v>
      </c>
      <c r="V61" s="186">
        <v>6.0</v>
      </c>
      <c r="W61" s="186">
        <v>2.0</v>
      </c>
      <c r="X61" s="186">
        <v>5.0</v>
      </c>
      <c r="Y61" s="186">
        <v>4.0</v>
      </c>
      <c r="Z61" s="186">
        <v>5.0</v>
      </c>
      <c r="AA61" s="187">
        <v>5.0</v>
      </c>
      <c r="AB61" s="156">
        <f>IF(S61="","",SUM(S61:AA61))</f>
        <v>43</v>
      </c>
      <c r="AC61" s="156">
        <f>IFERROR(Q61+AB61,"")</f>
        <v>90</v>
      </c>
      <c r="AD61" s="12"/>
      <c r="AE61" s="1"/>
      <c r="AF61" s="1"/>
    </row>
    <row r="62" ht="11.25" customHeight="1">
      <c r="A62" s="60"/>
      <c r="B62" s="60"/>
      <c r="C62" s="1"/>
      <c r="D62" s="1"/>
      <c r="E62" s="7"/>
      <c r="F62" s="183" t="s">
        <v>91</v>
      </c>
      <c r="G62" s="150">
        <f>IFERROR(VLOOKUP(F62,HANDICAPS!$B$8:$G$23,$D$3,FALSE),"")</f>
        <v>17</v>
      </c>
      <c r="H62" s="158" t="str">
        <f t="shared" ref="H62:P62" si="68">IFERROR(IF($G62&gt;18,IF(($G62-18)&gt;H$33,"**","*"),IF($G62&gt;=H$8,"*","")),"")</f>
        <v>*</v>
      </c>
      <c r="I62" s="158" t="str">
        <f t="shared" si="68"/>
        <v>*</v>
      </c>
      <c r="J62" s="158" t="str">
        <f t="shared" si="68"/>
        <v>*</v>
      </c>
      <c r="K62" s="158" t="str">
        <f t="shared" si="68"/>
        <v>*</v>
      </c>
      <c r="L62" s="158" t="str">
        <f t="shared" si="68"/>
        <v>*</v>
      </c>
      <c r="M62" s="158" t="str">
        <f t="shared" si="68"/>
        <v>*</v>
      </c>
      <c r="N62" s="159" t="str">
        <f t="shared" si="68"/>
        <v>*</v>
      </c>
      <c r="O62" s="158" t="str">
        <f t="shared" si="68"/>
        <v>*</v>
      </c>
      <c r="P62" s="158" t="str">
        <f t="shared" si="68"/>
        <v>*</v>
      </c>
      <c r="Q62" s="158"/>
      <c r="R62" s="158"/>
      <c r="S62" s="158" t="str">
        <f t="shared" ref="S62:AA62" si="69">IFERROR(IF($G62&gt;18,IF(($G62-18)&gt;S$33,"**","*"),IF($G62&gt;=S$8,"*","")),"")</f>
        <v/>
      </c>
      <c r="T62" s="158" t="str">
        <f t="shared" si="69"/>
        <v>*</v>
      </c>
      <c r="U62" s="158" t="str">
        <f t="shared" si="69"/>
        <v>*</v>
      </c>
      <c r="V62" s="158" t="str">
        <f t="shared" si="69"/>
        <v>*</v>
      </c>
      <c r="W62" s="158" t="str">
        <f t="shared" si="69"/>
        <v>*</v>
      </c>
      <c r="X62" s="158" t="str">
        <f t="shared" si="69"/>
        <v>*</v>
      </c>
      <c r="Y62" s="158" t="str">
        <f t="shared" si="69"/>
        <v>*</v>
      </c>
      <c r="Z62" s="158" t="str">
        <f t="shared" si="69"/>
        <v>*</v>
      </c>
      <c r="AA62" s="159" t="str">
        <f t="shared" si="69"/>
        <v>*</v>
      </c>
      <c r="AB62" s="151"/>
      <c r="AC62" s="151" t="str">
        <f>IF(AB62="","",SUM(Q62,AB62))</f>
        <v/>
      </c>
      <c r="AD62" s="12"/>
      <c r="AE62" s="1"/>
      <c r="AF62" s="1"/>
    </row>
    <row r="63" ht="18.75" customHeight="1">
      <c r="A63" s="60"/>
      <c r="B63" s="60" t="str">
        <f>F62</f>
        <v>KIP</v>
      </c>
      <c r="C63" s="1"/>
      <c r="D63" s="1"/>
      <c r="E63" s="7"/>
      <c r="F63" s="154"/>
      <c r="G63" s="155"/>
      <c r="H63" s="186">
        <v>4.0</v>
      </c>
      <c r="I63" s="186">
        <v>6.0</v>
      </c>
      <c r="J63" s="186">
        <v>8.0</v>
      </c>
      <c r="K63" s="186">
        <v>8.0</v>
      </c>
      <c r="L63" s="186">
        <v>7.0</v>
      </c>
      <c r="M63" s="186">
        <v>7.0</v>
      </c>
      <c r="N63" s="187">
        <v>6.0</v>
      </c>
      <c r="O63" s="186">
        <v>8.0</v>
      </c>
      <c r="P63" s="186">
        <v>5.0</v>
      </c>
      <c r="Q63" s="156">
        <f>IF(H63="","",SUM(H63:P63))</f>
        <v>59</v>
      </c>
      <c r="R63" s="160"/>
      <c r="S63" s="186">
        <v>7.0</v>
      </c>
      <c r="T63" s="186">
        <v>7.0</v>
      </c>
      <c r="U63" s="186">
        <v>8.0</v>
      </c>
      <c r="V63" s="186">
        <v>8.0</v>
      </c>
      <c r="W63" s="186">
        <v>4.0</v>
      </c>
      <c r="X63" s="186">
        <v>7.0</v>
      </c>
      <c r="Y63" s="186">
        <v>4.0</v>
      </c>
      <c r="Z63" s="186">
        <v>8.0</v>
      </c>
      <c r="AA63" s="187">
        <v>6.0</v>
      </c>
      <c r="AB63" s="156">
        <f>IF(S63="","",SUM(S63:AA63))</f>
        <v>59</v>
      </c>
      <c r="AC63" s="156">
        <f>IFERROR(Q63+AB63,"")</f>
        <v>118</v>
      </c>
      <c r="AD63" s="12"/>
      <c r="AE63" s="1"/>
      <c r="AF63" s="1"/>
    </row>
    <row r="64" ht="6.75" customHeight="1">
      <c r="A64" s="60"/>
      <c r="B64" s="60"/>
      <c r="C64" s="1"/>
      <c r="D64" s="1"/>
      <c r="E64" s="7"/>
      <c r="F64" s="16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12"/>
      <c r="AE64" s="1"/>
      <c r="AF64" s="1"/>
    </row>
    <row r="65" ht="27.75" customHeight="1">
      <c r="A65" s="60"/>
      <c r="B65" s="60"/>
      <c r="C65" s="1"/>
      <c r="D65" s="1"/>
      <c r="E65" s="7"/>
      <c r="F65" s="161" t="s">
        <v>143</v>
      </c>
      <c r="G65" s="142"/>
      <c r="H65" s="162">
        <f t="shared" ref="H65:P65" si="70">IF(H61="","",MIN(IF(H60="**",H61-2,IF(H60="*",H61-1,H61)),(IF(H62="**",H63-2,IF(H62="*",H63-1,H63)))))</f>
        <v>3</v>
      </c>
      <c r="I65" s="162">
        <f t="shared" si="70"/>
        <v>5</v>
      </c>
      <c r="J65" s="162">
        <f t="shared" si="70"/>
        <v>7</v>
      </c>
      <c r="K65" s="162">
        <f t="shared" si="70"/>
        <v>3</v>
      </c>
      <c r="L65" s="162">
        <f t="shared" si="70"/>
        <v>4</v>
      </c>
      <c r="M65" s="162">
        <f t="shared" si="70"/>
        <v>5</v>
      </c>
      <c r="N65" s="163">
        <f t="shared" si="70"/>
        <v>4</v>
      </c>
      <c r="O65" s="162">
        <f t="shared" si="70"/>
        <v>3</v>
      </c>
      <c r="P65" s="162">
        <f t="shared" si="70"/>
        <v>4</v>
      </c>
      <c r="Q65" s="162">
        <f t="shared" ref="Q65:Q66" si="73">IF(H65="","",SUM(H65:P65))</f>
        <v>38</v>
      </c>
      <c r="R65" s="23"/>
      <c r="S65" s="162">
        <f t="shared" ref="S65:AA65" si="71">IF(S61="","",MIN(IF(S60="**",S61-2,IF(S60="*",S61-1,S61)),(IF(S62="**",S63-2,IF(S62="*",S63-1,S63)))))</f>
        <v>5</v>
      </c>
      <c r="T65" s="162">
        <f t="shared" si="71"/>
        <v>4</v>
      </c>
      <c r="U65" s="162">
        <f t="shared" si="71"/>
        <v>5</v>
      </c>
      <c r="V65" s="162">
        <f t="shared" si="71"/>
        <v>6</v>
      </c>
      <c r="W65" s="162">
        <f t="shared" si="71"/>
        <v>2</v>
      </c>
      <c r="X65" s="162">
        <f t="shared" si="71"/>
        <v>4</v>
      </c>
      <c r="Y65" s="162">
        <f t="shared" si="71"/>
        <v>3</v>
      </c>
      <c r="Z65" s="162">
        <f t="shared" si="71"/>
        <v>4</v>
      </c>
      <c r="AA65" s="163">
        <f t="shared" si="71"/>
        <v>5</v>
      </c>
      <c r="AB65" s="162">
        <f t="shared" ref="AB65:AB66" si="75">IF(S65="","",SUM(S65:AA65))</f>
        <v>38</v>
      </c>
      <c r="AC65" s="162">
        <f t="shared" ref="AC65:AC66" si="76">IF(AB65="","",AB65+Q65)</f>
        <v>76</v>
      </c>
      <c r="AD65" s="12"/>
      <c r="AE65" s="1"/>
      <c r="AF65" s="1"/>
    </row>
    <row r="66" ht="27.75" customHeight="1">
      <c r="A66" s="60"/>
      <c r="B66" s="60"/>
      <c r="C66" s="1"/>
      <c r="D66" s="1"/>
      <c r="E66" s="7"/>
      <c r="F66" s="161" t="s">
        <v>144</v>
      </c>
      <c r="G66" s="142"/>
      <c r="H66" s="164">
        <f t="shared" ref="H66:P66" si="72">IF(H65="","",IF(H65=H73,0.5,IF(H65&lt;H73,1,0)))</f>
        <v>1</v>
      </c>
      <c r="I66" s="164">
        <f t="shared" si="72"/>
        <v>0.5</v>
      </c>
      <c r="J66" s="164">
        <f t="shared" si="72"/>
        <v>0</v>
      </c>
      <c r="K66" s="164">
        <f t="shared" si="72"/>
        <v>1</v>
      </c>
      <c r="L66" s="164">
        <f t="shared" si="72"/>
        <v>0.5</v>
      </c>
      <c r="M66" s="164">
        <f t="shared" si="72"/>
        <v>0</v>
      </c>
      <c r="N66" s="165">
        <f t="shared" si="72"/>
        <v>0</v>
      </c>
      <c r="O66" s="164">
        <f t="shared" si="72"/>
        <v>0.5</v>
      </c>
      <c r="P66" s="164">
        <f t="shared" si="72"/>
        <v>0</v>
      </c>
      <c r="Q66" s="164">
        <f t="shared" si="73"/>
        <v>3.5</v>
      </c>
      <c r="R66" s="23"/>
      <c r="S66" s="164">
        <f t="shared" ref="S66:AA66" si="74">IF(S65="","",IF(S65=S73,0.5,IF(S65&lt;S73,1,0)))</f>
        <v>0</v>
      </c>
      <c r="T66" s="164">
        <f t="shared" si="74"/>
        <v>0.5</v>
      </c>
      <c r="U66" s="164">
        <f t="shared" si="74"/>
        <v>0.5</v>
      </c>
      <c r="V66" s="164">
        <f t="shared" si="74"/>
        <v>0</v>
      </c>
      <c r="W66" s="164">
        <f t="shared" si="74"/>
        <v>1</v>
      </c>
      <c r="X66" s="164">
        <f t="shared" si="74"/>
        <v>0</v>
      </c>
      <c r="Y66" s="164">
        <f t="shared" si="74"/>
        <v>1</v>
      </c>
      <c r="Z66" s="164">
        <f t="shared" si="74"/>
        <v>0.5</v>
      </c>
      <c r="AA66" s="165">
        <f t="shared" si="74"/>
        <v>0</v>
      </c>
      <c r="AB66" s="164">
        <f t="shared" si="75"/>
        <v>3.5</v>
      </c>
      <c r="AC66" s="164">
        <f t="shared" si="76"/>
        <v>7</v>
      </c>
      <c r="AD66" s="12"/>
      <c r="AE66" s="1"/>
      <c r="AF66" s="1"/>
    </row>
    <row r="67" ht="6.75" customHeight="1">
      <c r="A67" s="60"/>
      <c r="B67" s="60"/>
      <c r="C67" s="1"/>
      <c r="D67" s="1"/>
      <c r="E67" s="7"/>
      <c r="F67" s="16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12"/>
      <c r="AE67" s="1"/>
      <c r="AF67" s="1"/>
    </row>
    <row r="68" ht="11.25" customHeight="1">
      <c r="A68" s="60"/>
      <c r="B68" s="60"/>
      <c r="C68" s="1"/>
      <c r="D68" s="1"/>
      <c r="E68" s="7"/>
      <c r="F68" s="183" t="s">
        <v>83</v>
      </c>
      <c r="G68" s="150">
        <f>IFERROR(VLOOKUP(F68,HANDICAPS!$B$8:$G$23,$D$3,FALSE),"")</f>
        <v>5</v>
      </c>
      <c r="H68" s="151" t="str">
        <f t="shared" ref="H68:P68" si="77">IFERROR(IF($G68&gt;18,IF(($G68-18)&gt;H$33,"**","*"),IF($G68&gt;=H$8,"*","")),"")</f>
        <v/>
      </c>
      <c r="I68" s="151" t="str">
        <f t="shared" si="77"/>
        <v/>
      </c>
      <c r="J68" s="151" t="str">
        <f t="shared" si="77"/>
        <v>*</v>
      </c>
      <c r="K68" s="151" t="str">
        <f t="shared" si="77"/>
        <v/>
      </c>
      <c r="L68" s="151" t="str">
        <f t="shared" si="77"/>
        <v>*</v>
      </c>
      <c r="M68" s="151" t="str">
        <f t="shared" si="77"/>
        <v/>
      </c>
      <c r="N68" s="152" t="str">
        <f t="shared" si="77"/>
        <v/>
      </c>
      <c r="O68" s="151" t="str">
        <f t="shared" si="77"/>
        <v>*</v>
      </c>
      <c r="P68" s="151" t="str">
        <f t="shared" si="77"/>
        <v/>
      </c>
      <c r="Q68" s="151"/>
      <c r="R68" s="153"/>
      <c r="S68" s="151" t="str">
        <f t="shared" ref="S68:AA68" si="78">IFERROR(IF($G68&gt;18,IF(($G68-18)&gt;S$33,"**","*"),IF($G68&gt;=S$8,"*","")),"")</f>
        <v/>
      </c>
      <c r="T68" s="151" t="str">
        <f t="shared" si="78"/>
        <v>*</v>
      </c>
      <c r="U68" s="151" t="str">
        <f t="shared" si="78"/>
        <v/>
      </c>
      <c r="V68" s="151" t="str">
        <f t="shared" si="78"/>
        <v/>
      </c>
      <c r="W68" s="151" t="str">
        <f t="shared" si="78"/>
        <v/>
      </c>
      <c r="X68" s="151" t="str">
        <f t="shared" si="78"/>
        <v>*</v>
      </c>
      <c r="Y68" s="151" t="str">
        <f t="shared" si="78"/>
        <v/>
      </c>
      <c r="Z68" s="151" t="str">
        <f t="shared" si="78"/>
        <v/>
      </c>
      <c r="AA68" s="152" t="str">
        <f t="shared" si="78"/>
        <v/>
      </c>
      <c r="AB68" s="151"/>
      <c r="AC68" s="151" t="str">
        <f>IF(AB68="","",SUM(Q68,AB68))</f>
        <v/>
      </c>
      <c r="AD68" s="12"/>
      <c r="AE68" s="1"/>
      <c r="AF68" s="1"/>
    </row>
    <row r="69" ht="18.75" customHeight="1">
      <c r="A69" s="60"/>
      <c r="B69" s="60" t="str">
        <f>F68</f>
        <v>DANNY</v>
      </c>
      <c r="C69" s="1"/>
      <c r="D69" s="1"/>
      <c r="E69" s="7"/>
      <c r="F69" s="154"/>
      <c r="G69" s="155"/>
      <c r="H69" s="186">
        <v>4.0</v>
      </c>
      <c r="I69" s="186">
        <v>5.0</v>
      </c>
      <c r="J69" s="186">
        <v>5.0</v>
      </c>
      <c r="K69" s="186">
        <v>4.0</v>
      </c>
      <c r="L69" s="186">
        <v>5.0</v>
      </c>
      <c r="M69" s="186">
        <v>4.0</v>
      </c>
      <c r="N69" s="187">
        <v>3.0</v>
      </c>
      <c r="O69" s="186">
        <v>4.0</v>
      </c>
      <c r="P69" s="186">
        <v>4.0</v>
      </c>
      <c r="Q69" s="156">
        <f>IF(H69="","",SUM(H69:P69))</f>
        <v>38</v>
      </c>
      <c r="R69" s="153"/>
      <c r="S69" s="186">
        <v>5.0</v>
      </c>
      <c r="T69" s="186">
        <v>6.0</v>
      </c>
      <c r="U69" s="186">
        <v>5.0</v>
      </c>
      <c r="V69" s="186">
        <v>6.0</v>
      </c>
      <c r="W69" s="186">
        <v>4.0</v>
      </c>
      <c r="X69" s="186">
        <v>4.0</v>
      </c>
      <c r="Y69" s="186">
        <v>4.0</v>
      </c>
      <c r="Z69" s="186">
        <v>4.0</v>
      </c>
      <c r="AA69" s="187">
        <v>4.0</v>
      </c>
      <c r="AB69" s="156">
        <f>IF(S69="","",SUM(S69:AA69))</f>
        <v>42</v>
      </c>
      <c r="AC69" s="156">
        <f>IFERROR(Q69+AB69,"")</f>
        <v>80</v>
      </c>
      <c r="AD69" s="12"/>
      <c r="AE69" s="1"/>
      <c r="AF69" s="1"/>
    </row>
    <row r="70" ht="11.25" customHeight="1">
      <c r="A70" s="60"/>
      <c r="B70" s="60"/>
      <c r="C70" s="1"/>
      <c r="D70" s="1"/>
      <c r="E70" s="7"/>
      <c r="F70" s="183" t="s">
        <v>57</v>
      </c>
      <c r="G70" s="150">
        <f>IFERROR(VLOOKUP(F70,HANDICAPS!$B$8:$G$23,$D$3,FALSE),"")</f>
        <v>5</v>
      </c>
      <c r="H70" s="158" t="str">
        <f t="shared" ref="H70:P70" si="79">IFERROR(IF($G70&gt;18,IF(($G70-18)&gt;H$33,"**","*"),IF($G70&gt;=H$8,"*","")),"")</f>
        <v/>
      </c>
      <c r="I70" s="158" t="str">
        <f t="shared" si="79"/>
        <v/>
      </c>
      <c r="J70" s="158" t="str">
        <f t="shared" si="79"/>
        <v>*</v>
      </c>
      <c r="K70" s="158" t="str">
        <f t="shared" si="79"/>
        <v/>
      </c>
      <c r="L70" s="158" t="str">
        <f t="shared" si="79"/>
        <v>*</v>
      </c>
      <c r="M70" s="158" t="str">
        <f t="shared" si="79"/>
        <v/>
      </c>
      <c r="N70" s="159" t="str">
        <f t="shared" si="79"/>
        <v/>
      </c>
      <c r="O70" s="158" t="str">
        <f t="shared" si="79"/>
        <v>*</v>
      </c>
      <c r="P70" s="158" t="str">
        <f t="shared" si="79"/>
        <v/>
      </c>
      <c r="Q70" s="158"/>
      <c r="R70" s="158"/>
      <c r="S70" s="158" t="str">
        <f t="shared" ref="S70:AA70" si="80">IFERROR(IF($G70&gt;18,IF(($G70-18)&gt;S$33,"**","*"),IF($G70&gt;=S$8,"*","")),"")</f>
        <v/>
      </c>
      <c r="T70" s="158" t="str">
        <f t="shared" si="80"/>
        <v>*</v>
      </c>
      <c r="U70" s="158" t="str">
        <f t="shared" si="80"/>
        <v/>
      </c>
      <c r="V70" s="158" t="str">
        <f t="shared" si="80"/>
        <v/>
      </c>
      <c r="W70" s="158" t="str">
        <f t="shared" si="80"/>
        <v/>
      </c>
      <c r="X70" s="158" t="str">
        <f t="shared" si="80"/>
        <v>*</v>
      </c>
      <c r="Y70" s="158" t="str">
        <f t="shared" si="80"/>
        <v/>
      </c>
      <c r="Z70" s="158" t="str">
        <f t="shared" si="80"/>
        <v/>
      </c>
      <c r="AA70" s="159" t="str">
        <f t="shared" si="80"/>
        <v/>
      </c>
      <c r="AB70" s="151"/>
      <c r="AC70" s="151" t="str">
        <f>IF(AB70="","",SUM(Q70,AB70))</f>
        <v/>
      </c>
      <c r="AD70" s="12"/>
      <c r="AE70" s="1"/>
      <c r="AF70" s="1"/>
    </row>
    <row r="71" ht="18.75" customHeight="1">
      <c r="A71" s="60"/>
      <c r="B71" s="60" t="str">
        <f>F70</f>
        <v>WAYS</v>
      </c>
      <c r="C71" s="1"/>
      <c r="D71" s="1"/>
      <c r="E71" s="7"/>
      <c r="F71" s="154"/>
      <c r="G71" s="155"/>
      <c r="H71" s="186">
        <v>5.0</v>
      </c>
      <c r="I71" s="186">
        <v>5.0</v>
      </c>
      <c r="J71" s="186">
        <v>6.0</v>
      </c>
      <c r="K71" s="186">
        <v>4.0</v>
      </c>
      <c r="L71" s="186">
        <v>6.0</v>
      </c>
      <c r="M71" s="186">
        <v>6.0</v>
      </c>
      <c r="N71" s="187">
        <v>4.0</v>
      </c>
      <c r="O71" s="186">
        <v>6.0</v>
      </c>
      <c r="P71" s="186">
        <v>3.0</v>
      </c>
      <c r="Q71" s="156">
        <f>IF(H71="","",SUM(H71:P71))</f>
        <v>45</v>
      </c>
      <c r="R71" s="160"/>
      <c r="S71" s="186">
        <v>4.0</v>
      </c>
      <c r="T71" s="186">
        <v>5.0</v>
      </c>
      <c r="U71" s="186">
        <v>5.0</v>
      </c>
      <c r="V71" s="186">
        <v>5.0</v>
      </c>
      <c r="W71" s="186">
        <v>4.0</v>
      </c>
      <c r="X71" s="186">
        <v>6.0</v>
      </c>
      <c r="Y71" s="186">
        <v>4.0</v>
      </c>
      <c r="Z71" s="186">
        <v>4.0</v>
      </c>
      <c r="AA71" s="187">
        <v>4.0</v>
      </c>
      <c r="AB71" s="156">
        <f>IF(S71="","",SUM(S71:AA71))</f>
        <v>41</v>
      </c>
      <c r="AC71" s="156">
        <f>IFERROR(Q71+AB71,"")</f>
        <v>86</v>
      </c>
      <c r="AD71" s="12"/>
      <c r="AE71" s="1"/>
      <c r="AF71" s="1"/>
    </row>
    <row r="72" ht="6.75" customHeight="1">
      <c r="A72" s="60"/>
      <c r="B72" s="60"/>
      <c r="C72" s="1"/>
      <c r="D72" s="1"/>
      <c r="E72" s="7"/>
      <c r="F72" s="16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12"/>
      <c r="AE72" s="1"/>
      <c r="AF72" s="1"/>
    </row>
    <row r="73" ht="27.75" customHeight="1">
      <c r="A73" s="60"/>
      <c r="B73" s="60"/>
      <c r="C73" s="1"/>
      <c r="D73" s="1"/>
      <c r="E73" s="7"/>
      <c r="F73" s="161" t="s">
        <v>143</v>
      </c>
      <c r="G73" s="142"/>
      <c r="H73" s="162">
        <f t="shared" ref="H73:P73" si="81">IF(H69="","",MIN(IF(H68="**",H69-2,IF(H68="*",H69-1,H69)),(IF(H70="**",H71-2,IF(H70="*",H71-1,H71)))))</f>
        <v>4</v>
      </c>
      <c r="I73" s="162">
        <f t="shared" si="81"/>
        <v>5</v>
      </c>
      <c r="J73" s="162">
        <f t="shared" si="81"/>
        <v>4</v>
      </c>
      <c r="K73" s="162">
        <f t="shared" si="81"/>
        <v>4</v>
      </c>
      <c r="L73" s="162">
        <f t="shared" si="81"/>
        <v>4</v>
      </c>
      <c r="M73" s="162">
        <f t="shared" si="81"/>
        <v>4</v>
      </c>
      <c r="N73" s="163">
        <f t="shared" si="81"/>
        <v>3</v>
      </c>
      <c r="O73" s="162">
        <f t="shared" si="81"/>
        <v>3</v>
      </c>
      <c r="P73" s="162">
        <f t="shared" si="81"/>
        <v>3</v>
      </c>
      <c r="Q73" s="162">
        <f t="shared" ref="Q73:Q74" si="84">IF(H73="","",SUM(H73:P73))</f>
        <v>34</v>
      </c>
      <c r="R73" s="23"/>
      <c r="S73" s="162">
        <f t="shared" ref="S73:AA73" si="82">IF(S69="","",MIN(IF(S68="**",S69-2,IF(S68="*",S69-1,S69)),(IF(S70="**",S71-2,IF(S70="*",S71-1,S71)))))</f>
        <v>4</v>
      </c>
      <c r="T73" s="162">
        <f t="shared" si="82"/>
        <v>4</v>
      </c>
      <c r="U73" s="162">
        <f t="shared" si="82"/>
        <v>5</v>
      </c>
      <c r="V73" s="162">
        <f t="shared" si="82"/>
        <v>5</v>
      </c>
      <c r="W73" s="162">
        <f t="shared" si="82"/>
        <v>4</v>
      </c>
      <c r="X73" s="162">
        <f t="shared" si="82"/>
        <v>3</v>
      </c>
      <c r="Y73" s="162">
        <f t="shared" si="82"/>
        <v>4</v>
      </c>
      <c r="Z73" s="162">
        <f t="shared" si="82"/>
        <v>4</v>
      </c>
      <c r="AA73" s="163">
        <f t="shared" si="82"/>
        <v>4</v>
      </c>
      <c r="AB73" s="162">
        <f t="shared" ref="AB73:AB74" si="86">IF(S73="","",SUM(S73:AA73))</f>
        <v>37</v>
      </c>
      <c r="AC73" s="162">
        <f t="shared" ref="AC73:AC74" si="87">IF(AB73="","",AB73+Q73)</f>
        <v>71</v>
      </c>
      <c r="AD73" s="12"/>
      <c r="AE73" s="1"/>
      <c r="AF73" s="1"/>
    </row>
    <row r="74" ht="27.75" customHeight="1">
      <c r="A74" s="60"/>
      <c r="B74" s="60"/>
      <c r="C74" s="1"/>
      <c r="D74" s="1"/>
      <c r="E74" s="7"/>
      <c r="F74" s="161" t="s">
        <v>144</v>
      </c>
      <c r="G74" s="142"/>
      <c r="H74" s="164">
        <f t="shared" ref="H74:P74" si="83">IF(H73="","",IF(H73=H65,0.5,IF(H73&lt;H65,1,0)))</f>
        <v>0</v>
      </c>
      <c r="I74" s="164">
        <f t="shared" si="83"/>
        <v>0.5</v>
      </c>
      <c r="J74" s="164">
        <f t="shared" si="83"/>
        <v>1</v>
      </c>
      <c r="K74" s="164">
        <f t="shared" si="83"/>
        <v>0</v>
      </c>
      <c r="L74" s="164">
        <f t="shared" si="83"/>
        <v>0.5</v>
      </c>
      <c r="M74" s="164">
        <f t="shared" si="83"/>
        <v>1</v>
      </c>
      <c r="N74" s="165">
        <f t="shared" si="83"/>
        <v>1</v>
      </c>
      <c r="O74" s="164">
        <f t="shared" si="83"/>
        <v>0.5</v>
      </c>
      <c r="P74" s="164">
        <f t="shared" si="83"/>
        <v>1</v>
      </c>
      <c r="Q74" s="164">
        <f t="shared" si="84"/>
        <v>5.5</v>
      </c>
      <c r="R74" s="23"/>
      <c r="S74" s="164">
        <f t="shared" ref="S74:AA74" si="85">IF(S73="","",IF(S73=S65,0.5,IF(S73&lt;S65,1,0)))</f>
        <v>1</v>
      </c>
      <c r="T74" s="164">
        <f t="shared" si="85"/>
        <v>0.5</v>
      </c>
      <c r="U74" s="164">
        <f t="shared" si="85"/>
        <v>0.5</v>
      </c>
      <c r="V74" s="164">
        <f t="shared" si="85"/>
        <v>1</v>
      </c>
      <c r="W74" s="164">
        <f t="shared" si="85"/>
        <v>0</v>
      </c>
      <c r="X74" s="164">
        <f t="shared" si="85"/>
        <v>1</v>
      </c>
      <c r="Y74" s="164">
        <f t="shared" si="85"/>
        <v>0</v>
      </c>
      <c r="Z74" s="164">
        <f t="shared" si="85"/>
        <v>0.5</v>
      </c>
      <c r="AA74" s="165">
        <f t="shared" si="85"/>
        <v>1</v>
      </c>
      <c r="AB74" s="164">
        <f t="shared" si="86"/>
        <v>5.5</v>
      </c>
      <c r="AC74" s="164">
        <f t="shared" si="87"/>
        <v>11</v>
      </c>
      <c r="AD74" s="12"/>
      <c r="AE74" s="1"/>
      <c r="AF74" s="1"/>
    </row>
    <row r="75" ht="6.75" customHeight="1">
      <c r="A75" s="60"/>
      <c r="B75" s="60"/>
      <c r="C75" s="1"/>
      <c r="D75" s="1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7"/>
      <c r="AE75" s="1"/>
      <c r="AF75" s="1"/>
    </row>
    <row r="76" ht="60.0" customHeight="1">
      <c r="A76" s="60"/>
      <c r="B76" s="60"/>
      <c r="C76" s="1"/>
      <c r="D76" s="1"/>
      <c r="E76" s="3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6.75" customHeight="1">
      <c r="A77" s="60"/>
      <c r="B77" s="60"/>
      <c r="C77" s="1"/>
      <c r="D77" s="1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  <c r="AA77" s="4"/>
      <c r="AB77" s="4"/>
      <c r="AC77" s="4"/>
      <c r="AD77" s="5"/>
      <c r="AE77" s="1"/>
      <c r="AF77" s="1"/>
    </row>
    <row r="78" ht="15.75" customHeight="1">
      <c r="A78" s="60"/>
      <c r="B78" s="60"/>
      <c r="C78" s="1"/>
      <c r="D78" s="1"/>
      <c r="E78" s="7"/>
      <c r="F78" s="140" t="str">
        <f>F53</f>
        <v>MICHIGAN OPEN 2022 - ROUND 3 - ARTHUR HILLS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2"/>
      <c r="AD78" s="12"/>
      <c r="AE78" s="1"/>
      <c r="AF78" s="1"/>
    </row>
    <row r="79" ht="18.75" customHeight="1">
      <c r="A79" s="60"/>
      <c r="B79" s="60"/>
      <c r="C79" s="1"/>
      <c r="D79" s="1"/>
      <c r="E79" s="7"/>
      <c r="F79" s="1"/>
      <c r="G79" s="1"/>
      <c r="H79" s="1"/>
      <c r="I79" s="1"/>
      <c r="J79" s="13" t="str">
        <f>J54</f>
        <v>FRONT</v>
      </c>
      <c r="K79" s="14"/>
      <c r="L79" s="14"/>
      <c r="M79" s="14"/>
      <c r="N79" s="14"/>
      <c r="O79" s="1"/>
      <c r="P79" s="1"/>
      <c r="Q79" s="1"/>
      <c r="R79" s="1"/>
      <c r="S79" s="1"/>
      <c r="T79" s="1"/>
      <c r="U79" s="1"/>
      <c r="V79" s="13" t="str">
        <f>V54</f>
        <v>BACK</v>
      </c>
      <c r="W79" s="14"/>
      <c r="X79" s="14"/>
      <c r="Y79" s="14"/>
      <c r="Z79" s="14"/>
      <c r="AA79" s="1"/>
      <c r="AB79" s="1"/>
      <c r="AC79" s="1"/>
      <c r="AD79" s="12"/>
      <c r="AE79" s="1"/>
      <c r="AF79" s="1"/>
    </row>
    <row r="80" ht="15.0" customHeight="1">
      <c r="A80" s="60"/>
      <c r="B80" s="60"/>
      <c r="C80" s="1"/>
      <c r="D80" s="1"/>
      <c r="E80" s="7"/>
      <c r="F80" s="1"/>
      <c r="G80" s="143" t="str">
        <f t="shared" ref="G80:Q80" si="88">G55</f>
        <v>HOLE</v>
      </c>
      <c r="H80" s="143">
        <f t="shared" si="88"/>
        <v>1</v>
      </c>
      <c r="I80" s="143">
        <f t="shared" si="88"/>
        <v>2</v>
      </c>
      <c r="J80" s="143">
        <f t="shared" si="88"/>
        <v>3</v>
      </c>
      <c r="K80" s="143">
        <f t="shared" si="88"/>
        <v>4</v>
      </c>
      <c r="L80" s="143">
        <f t="shared" si="88"/>
        <v>5</v>
      </c>
      <c r="M80" s="143">
        <f t="shared" si="88"/>
        <v>6</v>
      </c>
      <c r="N80" s="143">
        <f t="shared" si="88"/>
        <v>7</v>
      </c>
      <c r="O80" s="143">
        <f t="shared" si="88"/>
        <v>8</v>
      </c>
      <c r="P80" s="143">
        <f t="shared" si="88"/>
        <v>9</v>
      </c>
      <c r="Q80" s="143" t="str">
        <f t="shared" si="88"/>
        <v>OUT</v>
      </c>
      <c r="R80" s="16"/>
      <c r="S80" s="143">
        <f t="shared" ref="S80:AC80" si="89">S55</f>
        <v>10</v>
      </c>
      <c r="T80" s="143">
        <f t="shared" si="89"/>
        <v>11</v>
      </c>
      <c r="U80" s="143">
        <f t="shared" si="89"/>
        <v>12</v>
      </c>
      <c r="V80" s="143">
        <f t="shared" si="89"/>
        <v>13</v>
      </c>
      <c r="W80" s="143">
        <f t="shared" si="89"/>
        <v>14</v>
      </c>
      <c r="X80" s="143">
        <f t="shared" si="89"/>
        <v>15</v>
      </c>
      <c r="Y80" s="143">
        <f t="shared" si="89"/>
        <v>16</v>
      </c>
      <c r="Z80" s="143">
        <f t="shared" si="89"/>
        <v>17</v>
      </c>
      <c r="AA80" s="143">
        <f t="shared" si="89"/>
        <v>18</v>
      </c>
      <c r="AB80" s="143" t="str">
        <f t="shared" si="89"/>
        <v>IN</v>
      </c>
      <c r="AC80" s="143" t="str">
        <f t="shared" si="89"/>
        <v>TOTAL</v>
      </c>
      <c r="AD80" s="12"/>
      <c r="AE80" s="1"/>
      <c r="AF80" s="1"/>
    </row>
    <row r="81" ht="15.0" customHeight="1">
      <c r="A81" s="60"/>
      <c r="B81" s="60"/>
      <c r="C81" s="1"/>
      <c r="D81" s="1"/>
      <c r="E81" s="7"/>
      <c r="F81" s="144" t="s">
        <v>154</v>
      </c>
      <c r="G81" s="182" t="str">
        <f t="shared" ref="G81:Q81" si="90">G56</f>
        <v>ORANGE</v>
      </c>
      <c r="H81" s="182">
        <f t="shared" si="90"/>
        <v>355</v>
      </c>
      <c r="I81" s="182">
        <f t="shared" si="90"/>
        <v>311</v>
      </c>
      <c r="J81" s="182">
        <f t="shared" si="90"/>
        <v>494</v>
      </c>
      <c r="K81" s="182">
        <f t="shared" si="90"/>
        <v>367</v>
      </c>
      <c r="L81" s="182">
        <f t="shared" si="90"/>
        <v>417</v>
      </c>
      <c r="M81" s="182">
        <f t="shared" si="90"/>
        <v>487</v>
      </c>
      <c r="N81" s="182">
        <f t="shared" si="90"/>
        <v>136</v>
      </c>
      <c r="O81" s="182">
        <f t="shared" si="90"/>
        <v>361</v>
      </c>
      <c r="P81" s="182">
        <f t="shared" si="90"/>
        <v>166</v>
      </c>
      <c r="Q81" s="182">
        <f t="shared" si="90"/>
        <v>3094</v>
      </c>
      <c r="R81" s="17"/>
      <c r="S81" s="182">
        <f t="shared" ref="S81:AB81" si="91">S56</f>
        <v>285</v>
      </c>
      <c r="T81" s="182">
        <f t="shared" si="91"/>
        <v>531</v>
      </c>
      <c r="U81" s="182">
        <f t="shared" si="91"/>
        <v>331</v>
      </c>
      <c r="V81" s="182">
        <f t="shared" si="91"/>
        <v>516</v>
      </c>
      <c r="W81" s="182">
        <f t="shared" si="91"/>
        <v>160</v>
      </c>
      <c r="X81" s="182">
        <f t="shared" si="91"/>
        <v>401</v>
      </c>
      <c r="Y81" s="182">
        <f t="shared" si="91"/>
        <v>151</v>
      </c>
      <c r="Z81" s="182">
        <f t="shared" si="91"/>
        <v>385</v>
      </c>
      <c r="AA81" s="182">
        <f t="shared" si="91"/>
        <v>498</v>
      </c>
      <c r="AB81" s="182">
        <f t="shared" si="91"/>
        <v>3258</v>
      </c>
      <c r="AC81" s="182">
        <f t="shared" ref="AC81:AC82" si="94">AB81+Q81</f>
        <v>6352</v>
      </c>
      <c r="AD81" s="12"/>
      <c r="AE81" s="1"/>
      <c r="AF81" s="1"/>
    </row>
    <row r="82" ht="15.0" customHeight="1">
      <c r="A82" s="60"/>
      <c r="B82" s="60"/>
      <c r="C82" s="1"/>
      <c r="D82" s="1"/>
      <c r="E82" s="7"/>
      <c r="F82" s="146"/>
      <c r="G82" s="147" t="str">
        <f t="shared" ref="G82:Q82" si="92">G57</f>
        <v>PAR</v>
      </c>
      <c r="H82" s="147">
        <f t="shared" si="92"/>
        <v>4</v>
      </c>
      <c r="I82" s="147">
        <f t="shared" si="92"/>
        <v>4</v>
      </c>
      <c r="J82" s="147">
        <f t="shared" si="92"/>
        <v>5</v>
      </c>
      <c r="K82" s="147">
        <f t="shared" si="92"/>
        <v>4</v>
      </c>
      <c r="L82" s="147">
        <f t="shared" si="92"/>
        <v>4</v>
      </c>
      <c r="M82" s="147">
        <f t="shared" si="92"/>
        <v>5</v>
      </c>
      <c r="N82" s="147">
        <f t="shared" si="92"/>
        <v>3</v>
      </c>
      <c r="O82" s="147">
        <f t="shared" si="92"/>
        <v>4</v>
      </c>
      <c r="P82" s="147">
        <f t="shared" si="92"/>
        <v>3</v>
      </c>
      <c r="Q82" s="147">
        <f t="shared" si="92"/>
        <v>36</v>
      </c>
      <c r="R82" s="17"/>
      <c r="S82" s="147">
        <f t="shared" ref="S82:AB82" si="93">S57</f>
        <v>4</v>
      </c>
      <c r="T82" s="147">
        <f t="shared" si="93"/>
        <v>5</v>
      </c>
      <c r="U82" s="147">
        <f t="shared" si="93"/>
        <v>4</v>
      </c>
      <c r="V82" s="147">
        <f t="shared" si="93"/>
        <v>5</v>
      </c>
      <c r="W82" s="147">
        <f t="shared" si="93"/>
        <v>3</v>
      </c>
      <c r="X82" s="147">
        <f t="shared" si="93"/>
        <v>4</v>
      </c>
      <c r="Y82" s="147">
        <f t="shared" si="93"/>
        <v>3</v>
      </c>
      <c r="Z82" s="147">
        <f t="shared" si="93"/>
        <v>4</v>
      </c>
      <c r="AA82" s="147">
        <f t="shared" si="93"/>
        <v>5</v>
      </c>
      <c r="AB82" s="147">
        <f t="shared" si="93"/>
        <v>37</v>
      </c>
      <c r="AC82" s="147">
        <f t="shared" si="94"/>
        <v>73</v>
      </c>
      <c r="AD82" s="12"/>
      <c r="AE82" s="1"/>
      <c r="AF82" s="1"/>
    </row>
    <row r="83" ht="15.0" customHeight="1">
      <c r="A83" s="60"/>
      <c r="B83" s="60"/>
      <c r="C83" s="1"/>
      <c r="D83" s="1"/>
      <c r="E83" s="7"/>
      <c r="F83" s="1"/>
      <c r="G83" s="148" t="str">
        <f t="shared" ref="G83:P83" si="95">G58</f>
        <v>HDCP</v>
      </c>
      <c r="H83" s="148">
        <f t="shared" si="95"/>
        <v>9</v>
      </c>
      <c r="I83" s="148">
        <f t="shared" si="95"/>
        <v>17</v>
      </c>
      <c r="J83" s="148">
        <f t="shared" si="95"/>
        <v>5</v>
      </c>
      <c r="K83" s="148">
        <f t="shared" si="95"/>
        <v>7</v>
      </c>
      <c r="L83" s="148">
        <f t="shared" si="95"/>
        <v>1</v>
      </c>
      <c r="M83" s="148">
        <f t="shared" si="95"/>
        <v>13</v>
      </c>
      <c r="N83" s="148">
        <f t="shared" si="95"/>
        <v>15</v>
      </c>
      <c r="O83" s="148">
        <f t="shared" si="95"/>
        <v>3</v>
      </c>
      <c r="P83" s="148">
        <f t="shared" si="95"/>
        <v>11</v>
      </c>
      <c r="Q83" s="148"/>
      <c r="R83" s="17"/>
      <c r="S83" s="148">
        <f t="shared" ref="S83:AA83" si="96">S58</f>
        <v>18</v>
      </c>
      <c r="T83" s="148">
        <f t="shared" si="96"/>
        <v>4</v>
      </c>
      <c r="U83" s="148">
        <f t="shared" si="96"/>
        <v>8</v>
      </c>
      <c r="V83" s="148">
        <f t="shared" si="96"/>
        <v>14</v>
      </c>
      <c r="W83" s="148">
        <f t="shared" si="96"/>
        <v>12</v>
      </c>
      <c r="X83" s="148">
        <f t="shared" si="96"/>
        <v>2</v>
      </c>
      <c r="Y83" s="148">
        <f t="shared" si="96"/>
        <v>16</v>
      </c>
      <c r="Z83" s="148">
        <f t="shared" si="96"/>
        <v>6</v>
      </c>
      <c r="AA83" s="148">
        <f t="shared" si="96"/>
        <v>10</v>
      </c>
      <c r="AB83" s="148"/>
      <c r="AC83" s="148"/>
      <c r="AD83" s="12"/>
      <c r="AE83" s="1"/>
      <c r="AF83" s="1"/>
    </row>
    <row r="84" ht="6.75" customHeight="1">
      <c r="A84" s="60"/>
      <c r="B84" s="60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2"/>
      <c r="AE84" s="1"/>
      <c r="AF84" s="1"/>
    </row>
    <row r="85" ht="11.25" customHeight="1">
      <c r="A85" s="60"/>
      <c r="B85" s="60"/>
      <c r="C85" s="1"/>
      <c r="D85" s="1"/>
      <c r="E85" s="7"/>
      <c r="F85" s="183" t="s">
        <v>79</v>
      </c>
      <c r="G85" s="150">
        <f>IFERROR(VLOOKUP(F85,HANDICAPS!$B$8:$G$23,$D$3,FALSE),"")</f>
        <v>10</v>
      </c>
      <c r="H85" s="151" t="str">
        <f t="shared" ref="H85:P85" si="97">IFERROR(IF($G85&gt;18,IF(($G85-18)&gt;H$33,"**","*"),IF($G85&gt;=H$8,"*","")),"")</f>
        <v>*</v>
      </c>
      <c r="I85" s="151" t="str">
        <f t="shared" si="97"/>
        <v/>
      </c>
      <c r="J85" s="151" t="str">
        <f t="shared" si="97"/>
        <v>*</v>
      </c>
      <c r="K85" s="151" t="str">
        <f t="shared" si="97"/>
        <v>*</v>
      </c>
      <c r="L85" s="151" t="str">
        <f t="shared" si="97"/>
        <v>*</v>
      </c>
      <c r="M85" s="151" t="str">
        <f t="shared" si="97"/>
        <v/>
      </c>
      <c r="N85" s="152" t="str">
        <f t="shared" si="97"/>
        <v/>
      </c>
      <c r="O85" s="151" t="str">
        <f t="shared" si="97"/>
        <v>*</v>
      </c>
      <c r="P85" s="151" t="str">
        <f t="shared" si="97"/>
        <v/>
      </c>
      <c r="Q85" s="151"/>
      <c r="R85" s="153"/>
      <c r="S85" s="151" t="str">
        <f t="shared" ref="S85:AA85" si="98">IFERROR(IF($G85&gt;18,IF(($G85-18)&gt;S$33,"**","*"),IF($G85&gt;=S$8,"*","")),"")</f>
        <v/>
      </c>
      <c r="T85" s="151" t="str">
        <f t="shared" si="98"/>
        <v>*</v>
      </c>
      <c r="U85" s="151" t="str">
        <f t="shared" si="98"/>
        <v>*</v>
      </c>
      <c r="V85" s="151" t="str">
        <f t="shared" si="98"/>
        <v/>
      </c>
      <c r="W85" s="151" t="str">
        <f t="shared" si="98"/>
        <v/>
      </c>
      <c r="X85" s="151" t="str">
        <f t="shared" si="98"/>
        <v>*</v>
      </c>
      <c r="Y85" s="151" t="str">
        <f t="shared" si="98"/>
        <v/>
      </c>
      <c r="Z85" s="151" t="str">
        <f t="shared" si="98"/>
        <v>*</v>
      </c>
      <c r="AA85" s="152" t="str">
        <f t="shared" si="98"/>
        <v>*</v>
      </c>
      <c r="AB85" s="151"/>
      <c r="AC85" s="151" t="str">
        <f>IF(AB85="","",SUM(Q85,AB85))</f>
        <v/>
      </c>
      <c r="AD85" s="12"/>
      <c r="AE85" s="1"/>
      <c r="AF85" s="1"/>
    </row>
    <row r="86" ht="18.75" customHeight="1">
      <c r="A86" s="60"/>
      <c r="B86" s="60" t="str">
        <f>F85</f>
        <v>DYLAN</v>
      </c>
      <c r="C86" s="1"/>
      <c r="D86" s="1"/>
      <c r="E86" s="7"/>
      <c r="F86" s="154"/>
      <c r="G86" s="155"/>
      <c r="H86" s="186">
        <v>4.0</v>
      </c>
      <c r="I86" s="186">
        <v>5.0</v>
      </c>
      <c r="J86" s="186">
        <v>6.0</v>
      </c>
      <c r="K86" s="186">
        <v>7.0</v>
      </c>
      <c r="L86" s="186">
        <v>6.0</v>
      </c>
      <c r="M86" s="186">
        <v>7.0</v>
      </c>
      <c r="N86" s="187">
        <v>4.0</v>
      </c>
      <c r="O86" s="186">
        <v>5.0</v>
      </c>
      <c r="P86" s="186">
        <v>4.0</v>
      </c>
      <c r="Q86" s="156">
        <f>IF(H86="","",SUM(H86:P86))</f>
        <v>48</v>
      </c>
      <c r="R86" s="153"/>
      <c r="S86" s="186">
        <v>5.0</v>
      </c>
      <c r="T86" s="186">
        <v>6.0</v>
      </c>
      <c r="U86" s="186">
        <v>5.0</v>
      </c>
      <c r="V86" s="186">
        <v>5.0</v>
      </c>
      <c r="W86" s="186">
        <v>4.0</v>
      </c>
      <c r="X86" s="186">
        <v>5.0</v>
      </c>
      <c r="Y86" s="186">
        <v>4.0</v>
      </c>
      <c r="Z86" s="186">
        <v>5.0</v>
      </c>
      <c r="AA86" s="187">
        <v>6.0</v>
      </c>
      <c r="AB86" s="156">
        <f>IF(S86="","",SUM(S86:AA86))</f>
        <v>45</v>
      </c>
      <c r="AC86" s="156">
        <f>IFERROR(Q86+AB86,"")</f>
        <v>93</v>
      </c>
      <c r="AD86" s="12"/>
      <c r="AE86" s="1"/>
      <c r="AF86" s="1"/>
    </row>
    <row r="87" ht="11.25" customHeight="1">
      <c r="A87" s="60"/>
      <c r="B87" s="60"/>
      <c r="C87" s="1"/>
      <c r="D87" s="1"/>
      <c r="E87" s="7"/>
      <c r="F87" s="183" t="s">
        <v>100</v>
      </c>
      <c r="G87" s="150">
        <f>IFERROR(VLOOKUP(F87,HANDICAPS!$B$8:$G$23,$D$3,FALSE),"")</f>
        <v>12</v>
      </c>
      <c r="H87" s="158" t="str">
        <f t="shared" ref="H87:P87" si="99">IFERROR(IF($G87&gt;18,IF(($G87-18)&gt;H$33,"**","*"),IF($G87&gt;=H$8,"*","")),"")</f>
        <v>*</v>
      </c>
      <c r="I87" s="158" t="str">
        <f t="shared" si="99"/>
        <v/>
      </c>
      <c r="J87" s="158" t="str">
        <f t="shared" si="99"/>
        <v>*</v>
      </c>
      <c r="K87" s="158" t="str">
        <f t="shared" si="99"/>
        <v>*</v>
      </c>
      <c r="L87" s="158" t="str">
        <f t="shared" si="99"/>
        <v>*</v>
      </c>
      <c r="M87" s="158" t="str">
        <f t="shared" si="99"/>
        <v/>
      </c>
      <c r="N87" s="159" t="str">
        <f t="shared" si="99"/>
        <v/>
      </c>
      <c r="O87" s="158" t="str">
        <f t="shared" si="99"/>
        <v>*</v>
      </c>
      <c r="P87" s="158" t="str">
        <f t="shared" si="99"/>
        <v>*</v>
      </c>
      <c r="Q87" s="158"/>
      <c r="R87" s="158"/>
      <c r="S87" s="158" t="str">
        <f t="shared" ref="S87:AA87" si="100">IFERROR(IF($G87&gt;18,IF(($G87-18)&gt;S$33,"**","*"),IF($G87&gt;=S$8,"*","")),"")</f>
        <v/>
      </c>
      <c r="T87" s="158" t="str">
        <f t="shared" si="100"/>
        <v>*</v>
      </c>
      <c r="U87" s="158" t="str">
        <f t="shared" si="100"/>
        <v>*</v>
      </c>
      <c r="V87" s="158" t="str">
        <f t="shared" si="100"/>
        <v/>
      </c>
      <c r="W87" s="158" t="str">
        <f t="shared" si="100"/>
        <v>*</v>
      </c>
      <c r="X87" s="158" t="str">
        <f t="shared" si="100"/>
        <v>*</v>
      </c>
      <c r="Y87" s="158" t="str">
        <f t="shared" si="100"/>
        <v/>
      </c>
      <c r="Z87" s="158" t="str">
        <f t="shared" si="100"/>
        <v>*</v>
      </c>
      <c r="AA87" s="159" t="str">
        <f t="shared" si="100"/>
        <v>*</v>
      </c>
      <c r="AB87" s="151"/>
      <c r="AC87" s="151" t="str">
        <f>IF(AB87="","",SUM(Q87,AB87))</f>
        <v/>
      </c>
      <c r="AD87" s="12"/>
      <c r="AE87" s="1"/>
      <c r="AF87" s="1"/>
    </row>
    <row r="88" ht="18.75" customHeight="1">
      <c r="A88" s="60"/>
      <c r="B88" s="60" t="str">
        <f>F87</f>
        <v>MAX</v>
      </c>
      <c r="C88" s="1"/>
      <c r="D88" s="1"/>
      <c r="E88" s="7"/>
      <c r="F88" s="154"/>
      <c r="G88" s="155"/>
      <c r="H88" s="186">
        <v>4.0</v>
      </c>
      <c r="I88" s="186">
        <v>4.0</v>
      </c>
      <c r="J88" s="186">
        <v>6.0</v>
      </c>
      <c r="K88" s="186">
        <v>4.0</v>
      </c>
      <c r="L88" s="186">
        <v>5.0</v>
      </c>
      <c r="M88" s="186">
        <v>5.0</v>
      </c>
      <c r="N88" s="187">
        <v>4.0</v>
      </c>
      <c r="O88" s="186">
        <v>5.0</v>
      </c>
      <c r="P88" s="186">
        <v>4.0</v>
      </c>
      <c r="Q88" s="156">
        <f>IF(H88="","",SUM(H88:P88))</f>
        <v>41</v>
      </c>
      <c r="R88" s="160"/>
      <c r="S88" s="186">
        <v>5.0</v>
      </c>
      <c r="T88" s="186">
        <v>6.0</v>
      </c>
      <c r="U88" s="186">
        <v>5.0</v>
      </c>
      <c r="V88" s="186">
        <v>5.0</v>
      </c>
      <c r="W88" s="186">
        <v>5.0</v>
      </c>
      <c r="X88" s="186">
        <v>4.0</v>
      </c>
      <c r="Y88" s="186">
        <v>3.0</v>
      </c>
      <c r="Z88" s="186">
        <v>4.0</v>
      </c>
      <c r="AA88" s="187">
        <v>5.0</v>
      </c>
      <c r="AB88" s="156">
        <f>IF(S88="","",SUM(S88:AA88))</f>
        <v>42</v>
      </c>
      <c r="AC88" s="156">
        <f>IFERROR(Q88+AB88,"")</f>
        <v>83</v>
      </c>
      <c r="AD88" s="12"/>
      <c r="AE88" s="1"/>
      <c r="AF88" s="1"/>
    </row>
    <row r="89" ht="6.75" customHeight="1">
      <c r="A89" s="60"/>
      <c r="B89" s="60"/>
      <c r="C89" s="1"/>
      <c r="D89" s="1"/>
      <c r="E89" s="7"/>
      <c r="F89" s="16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12"/>
      <c r="AE89" s="1"/>
      <c r="AF89" s="1"/>
    </row>
    <row r="90" ht="27.75" customHeight="1">
      <c r="A90" s="60"/>
      <c r="B90" s="60"/>
      <c r="C90" s="1"/>
      <c r="D90" s="1"/>
      <c r="E90" s="7"/>
      <c r="F90" s="161" t="s">
        <v>143</v>
      </c>
      <c r="G90" s="142"/>
      <c r="H90" s="162">
        <f t="shared" ref="H90:P90" si="101">IF(H86="","",MIN(IF(H85="**",H86-2,IF(H85="*",H86-1,H86)),(IF(H87="**",H88-2,IF(H87="*",H88-1,H88)))))</f>
        <v>3</v>
      </c>
      <c r="I90" s="162">
        <f t="shared" si="101"/>
        <v>4</v>
      </c>
      <c r="J90" s="162">
        <f t="shared" si="101"/>
        <v>5</v>
      </c>
      <c r="K90" s="162">
        <f t="shared" si="101"/>
        <v>3</v>
      </c>
      <c r="L90" s="162">
        <f t="shared" si="101"/>
        <v>4</v>
      </c>
      <c r="M90" s="162">
        <f t="shared" si="101"/>
        <v>5</v>
      </c>
      <c r="N90" s="163">
        <f t="shared" si="101"/>
        <v>4</v>
      </c>
      <c r="O90" s="162">
        <f t="shared" si="101"/>
        <v>4</v>
      </c>
      <c r="P90" s="162">
        <f t="shared" si="101"/>
        <v>3</v>
      </c>
      <c r="Q90" s="162">
        <f t="shared" ref="Q90:Q91" si="104">IF(H90="","",SUM(H90:P90))</f>
        <v>35</v>
      </c>
      <c r="R90" s="23"/>
      <c r="S90" s="162">
        <f t="shared" ref="S90:AA90" si="102">IF(S86="","",MIN(IF(S85="**",S86-2,IF(S85="*",S86-1,S86)),(IF(S87="**",S88-2,IF(S87="*",S88-1,S88)))))</f>
        <v>5</v>
      </c>
      <c r="T90" s="162">
        <f t="shared" si="102"/>
        <v>5</v>
      </c>
      <c r="U90" s="162">
        <f t="shared" si="102"/>
        <v>4</v>
      </c>
      <c r="V90" s="162">
        <f t="shared" si="102"/>
        <v>5</v>
      </c>
      <c r="W90" s="162">
        <f t="shared" si="102"/>
        <v>4</v>
      </c>
      <c r="X90" s="162">
        <f t="shared" si="102"/>
        <v>3</v>
      </c>
      <c r="Y90" s="162">
        <f t="shared" si="102"/>
        <v>3</v>
      </c>
      <c r="Z90" s="162">
        <f t="shared" si="102"/>
        <v>3</v>
      </c>
      <c r="AA90" s="163">
        <f t="shared" si="102"/>
        <v>4</v>
      </c>
      <c r="AB90" s="162">
        <f t="shared" ref="AB90:AB91" si="106">IF(S90="","",SUM(S90:AA90))</f>
        <v>36</v>
      </c>
      <c r="AC90" s="162">
        <f t="shared" ref="AC90:AC91" si="107">IF(AB90="","",AB90+Q90)</f>
        <v>71</v>
      </c>
      <c r="AD90" s="12"/>
      <c r="AE90" s="1"/>
      <c r="AF90" s="1"/>
    </row>
    <row r="91" ht="27.75" customHeight="1">
      <c r="A91" s="60"/>
      <c r="B91" s="60"/>
      <c r="C91" s="1"/>
      <c r="D91" s="1"/>
      <c r="E91" s="7"/>
      <c r="F91" s="161" t="s">
        <v>144</v>
      </c>
      <c r="G91" s="142"/>
      <c r="H91" s="164">
        <f t="shared" ref="H91:P91" si="103">IF(H90="","",IF(H90=H98,0.5,IF(H90&lt;H98,1,0)))</f>
        <v>1</v>
      </c>
      <c r="I91" s="164">
        <f t="shared" si="103"/>
        <v>0.5</v>
      </c>
      <c r="J91" s="164">
        <f t="shared" si="103"/>
        <v>0</v>
      </c>
      <c r="K91" s="164">
        <f t="shared" si="103"/>
        <v>0.5</v>
      </c>
      <c r="L91" s="164">
        <f t="shared" si="103"/>
        <v>0.5</v>
      </c>
      <c r="M91" s="164">
        <f t="shared" si="103"/>
        <v>1</v>
      </c>
      <c r="N91" s="165">
        <f t="shared" si="103"/>
        <v>0</v>
      </c>
      <c r="O91" s="164">
        <f t="shared" si="103"/>
        <v>0</v>
      </c>
      <c r="P91" s="164">
        <f t="shared" si="103"/>
        <v>0.5</v>
      </c>
      <c r="Q91" s="164">
        <f t="shared" si="104"/>
        <v>4</v>
      </c>
      <c r="R91" s="23"/>
      <c r="S91" s="164">
        <f t="shared" ref="S91:AA91" si="105">IF(S90="","",IF(S90=S98,0.5,IF(S90&lt;S98,1,0)))</f>
        <v>1</v>
      </c>
      <c r="T91" s="164">
        <f t="shared" si="105"/>
        <v>0</v>
      </c>
      <c r="U91" s="164">
        <f t="shared" si="105"/>
        <v>0.5</v>
      </c>
      <c r="V91" s="164">
        <f t="shared" si="105"/>
        <v>0</v>
      </c>
      <c r="W91" s="164">
        <f t="shared" si="105"/>
        <v>0.5</v>
      </c>
      <c r="X91" s="164">
        <f t="shared" si="105"/>
        <v>1</v>
      </c>
      <c r="Y91" s="164">
        <f t="shared" si="105"/>
        <v>0.5</v>
      </c>
      <c r="Z91" s="164">
        <f t="shared" si="105"/>
        <v>1</v>
      </c>
      <c r="AA91" s="165">
        <f t="shared" si="105"/>
        <v>1</v>
      </c>
      <c r="AB91" s="164">
        <f t="shared" si="106"/>
        <v>5.5</v>
      </c>
      <c r="AC91" s="164">
        <f t="shared" si="107"/>
        <v>9.5</v>
      </c>
      <c r="AD91" s="12"/>
      <c r="AE91" s="1"/>
      <c r="AF91" s="1"/>
    </row>
    <row r="92" ht="6.75" customHeight="1">
      <c r="A92" s="60"/>
      <c r="B92" s="60"/>
      <c r="C92" s="1"/>
      <c r="D92" s="1"/>
      <c r="E92" s="7"/>
      <c r="F92" s="16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12"/>
      <c r="AE92" s="1"/>
      <c r="AF92" s="1"/>
    </row>
    <row r="93" ht="11.25" customHeight="1">
      <c r="A93" s="60"/>
      <c r="B93" s="60"/>
      <c r="C93" s="1"/>
      <c r="D93" s="1"/>
      <c r="E93" s="7"/>
      <c r="F93" s="183" t="s">
        <v>126</v>
      </c>
      <c r="G93" s="150">
        <f>IFERROR(VLOOKUP(F93,HANDICAPS!$B$8:$G$23,$D$3,FALSE),"")</f>
        <v>5</v>
      </c>
      <c r="H93" s="151" t="str">
        <f t="shared" ref="H93:P93" si="108">IFERROR(IF($G93&gt;18,IF(($G93-18)&gt;H$33,"**","*"),IF($G93&gt;=H$8,"*","")),"")</f>
        <v/>
      </c>
      <c r="I93" s="151" t="str">
        <f t="shared" si="108"/>
        <v/>
      </c>
      <c r="J93" s="151" t="str">
        <f t="shared" si="108"/>
        <v>*</v>
      </c>
      <c r="K93" s="151" t="str">
        <f t="shared" si="108"/>
        <v/>
      </c>
      <c r="L93" s="151" t="str">
        <f t="shared" si="108"/>
        <v>*</v>
      </c>
      <c r="M93" s="151" t="str">
        <f t="shared" si="108"/>
        <v/>
      </c>
      <c r="N93" s="152" t="str">
        <f t="shared" si="108"/>
        <v/>
      </c>
      <c r="O93" s="151" t="str">
        <f t="shared" si="108"/>
        <v>*</v>
      </c>
      <c r="P93" s="151" t="str">
        <f t="shared" si="108"/>
        <v/>
      </c>
      <c r="Q93" s="151"/>
      <c r="R93" s="153"/>
      <c r="S93" s="151" t="str">
        <f t="shared" ref="S93:AA93" si="109">IFERROR(IF($G93&gt;18,IF(($G93-18)&gt;S$33,"**","*"),IF($G93&gt;=S$8,"*","")),"")</f>
        <v/>
      </c>
      <c r="T93" s="151" t="str">
        <f t="shared" si="109"/>
        <v>*</v>
      </c>
      <c r="U93" s="151" t="str">
        <f t="shared" si="109"/>
        <v/>
      </c>
      <c r="V93" s="151" t="str">
        <f t="shared" si="109"/>
        <v/>
      </c>
      <c r="W93" s="151" t="str">
        <f t="shared" si="109"/>
        <v/>
      </c>
      <c r="X93" s="151" t="str">
        <f t="shared" si="109"/>
        <v>*</v>
      </c>
      <c r="Y93" s="151" t="str">
        <f t="shared" si="109"/>
        <v/>
      </c>
      <c r="Z93" s="151" t="str">
        <f t="shared" si="109"/>
        <v/>
      </c>
      <c r="AA93" s="152" t="str">
        <f t="shared" si="109"/>
        <v/>
      </c>
      <c r="AB93" s="151"/>
      <c r="AC93" s="151" t="str">
        <f>IF(AB93="","",SUM(Q93,AB93))</f>
        <v/>
      </c>
      <c r="AD93" s="12"/>
      <c r="AE93" s="1"/>
      <c r="AF93" s="1"/>
    </row>
    <row r="94" ht="18.75" customHeight="1">
      <c r="A94" s="60"/>
      <c r="B94" s="60" t="str">
        <f>F93</f>
        <v>BEN</v>
      </c>
      <c r="C94" s="1"/>
      <c r="D94" s="1"/>
      <c r="E94" s="7"/>
      <c r="F94" s="154"/>
      <c r="G94" s="155"/>
      <c r="H94" s="186">
        <v>4.0</v>
      </c>
      <c r="I94" s="186">
        <v>5.0</v>
      </c>
      <c r="J94" s="186">
        <v>5.0</v>
      </c>
      <c r="K94" s="186">
        <v>3.0</v>
      </c>
      <c r="L94" s="186">
        <v>5.0</v>
      </c>
      <c r="M94" s="186">
        <v>7.0</v>
      </c>
      <c r="N94" s="187">
        <v>3.0</v>
      </c>
      <c r="O94" s="186">
        <v>4.0</v>
      </c>
      <c r="P94" s="186">
        <v>4.0</v>
      </c>
      <c r="Q94" s="156">
        <f>IF(H94="","",SUM(H94:P94))</f>
        <v>40</v>
      </c>
      <c r="R94" s="153"/>
      <c r="S94" s="186">
        <v>6.0</v>
      </c>
      <c r="T94" s="186">
        <v>5.0</v>
      </c>
      <c r="U94" s="186">
        <v>4.0</v>
      </c>
      <c r="V94" s="186">
        <v>4.0</v>
      </c>
      <c r="W94" s="186">
        <v>4.0</v>
      </c>
      <c r="X94" s="186">
        <v>5.0</v>
      </c>
      <c r="Y94" s="186">
        <v>4.0</v>
      </c>
      <c r="Z94" s="186">
        <v>4.0</v>
      </c>
      <c r="AA94" s="187">
        <v>5.0</v>
      </c>
      <c r="AB94" s="156">
        <f>IF(S94="","",SUM(S94:AA94))</f>
        <v>41</v>
      </c>
      <c r="AC94" s="156">
        <f>IFERROR(Q94+AB94,"")</f>
        <v>81</v>
      </c>
      <c r="AD94" s="12"/>
      <c r="AE94" s="1"/>
      <c r="AF94" s="1"/>
    </row>
    <row r="95" ht="11.25" customHeight="1">
      <c r="A95" s="60"/>
      <c r="B95" s="60"/>
      <c r="C95" s="1"/>
      <c r="D95" s="1"/>
      <c r="E95" s="7"/>
      <c r="F95" s="149" t="s">
        <v>130</v>
      </c>
      <c r="G95" s="150">
        <f>IFERROR(VLOOKUP(F95,HANDICAPS!$B$8:$G$23,$D$3,FALSE),"")</f>
        <v>17</v>
      </c>
      <c r="H95" s="158" t="str">
        <f t="shared" ref="H95:P95" si="110">IFERROR(IF($G95&gt;18,IF(($G95-18)&gt;H$33,"**","*"),IF($G95&gt;=H$8,"*","")),"")</f>
        <v>*</v>
      </c>
      <c r="I95" s="158" t="str">
        <f t="shared" si="110"/>
        <v>*</v>
      </c>
      <c r="J95" s="158" t="str">
        <f t="shared" si="110"/>
        <v>*</v>
      </c>
      <c r="K95" s="158" t="str">
        <f t="shared" si="110"/>
        <v>*</v>
      </c>
      <c r="L95" s="158" t="str">
        <f t="shared" si="110"/>
        <v>*</v>
      </c>
      <c r="M95" s="158" t="str">
        <f t="shared" si="110"/>
        <v>*</v>
      </c>
      <c r="N95" s="159" t="str">
        <f t="shared" si="110"/>
        <v>*</v>
      </c>
      <c r="O95" s="158" t="str">
        <f t="shared" si="110"/>
        <v>*</v>
      </c>
      <c r="P95" s="158" t="str">
        <f t="shared" si="110"/>
        <v>*</v>
      </c>
      <c r="Q95" s="158"/>
      <c r="R95" s="158"/>
      <c r="S95" s="158" t="str">
        <f t="shared" ref="S95:AA95" si="111">IFERROR(IF($G95&gt;18,IF(($G95-18)&gt;S$33,"**","*"),IF($G95&gt;=S$8,"*","")),"")</f>
        <v/>
      </c>
      <c r="T95" s="158" t="str">
        <f t="shared" si="111"/>
        <v>*</v>
      </c>
      <c r="U95" s="158" t="str">
        <f t="shared" si="111"/>
        <v>*</v>
      </c>
      <c r="V95" s="158" t="str">
        <f t="shared" si="111"/>
        <v>*</v>
      </c>
      <c r="W95" s="158" t="str">
        <f t="shared" si="111"/>
        <v>*</v>
      </c>
      <c r="X95" s="158" t="str">
        <f t="shared" si="111"/>
        <v>*</v>
      </c>
      <c r="Y95" s="158" t="str">
        <f t="shared" si="111"/>
        <v>*</v>
      </c>
      <c r="Z95" s="158" t="str">
        <f t="shared" si="111"/>
        <v>*</v>
      </c>
      <c r="AA95" s="159" t="str">
        <f t="shared" si="111"/>
        <v>*</v>
      </c>
      <c r="AB95" s="151"/>
      <c r="AC95" s="151" t="str">
        <f>IF(AB95="","",SUM(Q95,AB95))</f>
        <v/>
      </c>
      <c r="AD95" s="12"/>
      <c r="AE95" s="1"/>
      <c r="AF95" s="1"/>
    </row>
    <row r="96" ht="18.75" customHeight="1">
      <c r="A96" s="60"/>
      <c r="B96" s="60" t="str">
        <f>F95</f>
        <v>SHEPP</v>
      </c>
      <c r="C96" s="1"/>
      <c r="D96" s="1"/>
      <c r="E96" s="7"/>
      <c r="F96" s="154"/>
      <c r="G96" s="155"/>
      <c r="H96" s="186">
        <v>8.0</v>
      </c>
      <c r="I96" s="186">
        <v>5.0</v>
      </c>
      <c r="J96" s="186">
        <v>5.0</v>
      </c>
      <c r="K96" s="186">
        <v>6.0</v>
      </c>
      <c r="L96" s="186">
        <v>6.0</v>
      </c>
      <c r="M96" s="186">
        <v>7.0</v>
      </c>
      <c r="N96" s="187">
        <v>4.0</v>
      </c>
      <c r="O96" s="186">
        <v>5.0</v>
      </c>
      <c r="P96" s="186">
        <v>4.0</v>
      </c>
      <c r="Q96" s="156">
        <f>IF(H96="","",SUM(H96:P96))</f>
        <v>50</v>
      </c>
      <c r="R96" s="160"/>
      <c r="S96" s="186">
        <v>6.0</v>
      </c>
      <c r="T96" s="186">
        <v>8.0</v>
      </c>
      <c r="U96" s="186">
        <v>6.0</v>
      </c>
      <c r="V96" s="186">
        <v>8.0</v>
      </c>
      <c r="W96" s="186">
        <v>5.0</v>
      </c>
      <c r="X96" s="186">
        <v>5.0</v>
      </c>
      <c r="Y96" s="186">
        <v>4.0</v>
      </c>
      <c r="Z96" s="186">
        <v>5.0</v>
      </c>
      <c r="AA96" s="187">
        <v>6.0</v>
      </c>
      <c r="AB96" s="156">
        <f>IF(S96="","",SUM(S96:AA96))</f>
        <v>53</v>
      </c>
      <c r="AC96" s="156">
        <f>IFERROR(Q96+AB96,"")</f>
        <v>103</v>
      </c>
      <c r="AD96" s="12"/>
      <c r="AE96" s="1"/>
      <c r="AF96" s="1"/>
    </row>
    <row r="97" ht="6.75" customHeight="1">
      <c r="A97" s="60"/>
      <c r="B97" s="60"/>
      <c r="C97" s="1"/>
      <c r="D97" s="1"/>
      <c r="E97" s="7"/>
      <c r="F97" s="16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12"/>
      <c r="AE97" s="1"/>
      <c r="AF97" s="1"/>
    </row>
    <row r="98" ht="27.75" customHeight="1">
      <c r="A98" s="60"/>
      <c r="B98" s="60"/>
      <c r="C98" s="1"/>
      <c r="D98" s="1"/>
      <c r="E98" s="7"/>
      <c r="F98" s="161" t="s">
        <v>143</v>
      </c>
      <c r="G98" s="142"/>
      <c r="H98" s="162">
        <f t="shared" ref="H98:P98" si="112">IF(H94="","",MIN(IF(H93="**",H94-2,IF(H93="*",H94-1,H94)),(IF(H95="**",H96-2,IF(H95="*",H96-1,H96)))))</f>
        <v>4</v>
      </c>
      <c r="I98" s="162">
        <f t="shared" si="112"/>
        <v>4</v>
      </c>
      <c r="J98" s="162">
        <f t="shared" si="112"/>
        <v>4</v>
      </c>
      <c r="K98" s="162">
        <f t="shared" si="112"/>
        <v>3</v>
      </c>
      <c r="L98" s="162">
        <f t="shared" si="112"/>
        <v>4</v>
      </c>
      <c r="M98" s="162">
        <f t="shared" si="112"/>
        <v>6</v>
      </c>
      <c r="N98" s="163">
        <f t="shared" si="112"/>
        <v>3</v>
      </c>
      <c r="O98" s="162">
        <f t="shared" si="112"/>
        <v>3</v>
      </c>
      <c r="P98" s="162">
        <f t="shared" si="112"/>
        <v>3</v>
      </c>
      <c r="Q98" s="162">
        <f t="shared" ref="Q98:Q99" si="115">IF(H98="","",SUM(H98:P98))</f>
        <v>34</v>
      </c>
      <c r="R98" s="23"/>
      <c r="S98" s="162">
        <f t="shared" ref="S98:AA98" si="113">IF(S94="","",MIN(IF(S93="**",S94-2,IF(S93="*",S94-1,S94)),(IF(S95="**",S96-2,IF(S95="*",S96-1,S96)))))</f>
        <v>6</v>
      </c>
      <c r="T98" s="162">
        <f t="shared" si="113"/>
        <v>4</v>
      </c>
      <c r="U98" s="162">
        <f t="shared" si="113"/>
        <v>4</v>
      </c>
      <c r="V98" s="162">
        <f t="shared" si="113"/>
        <v>4</v>
      </c>
      <c r="W98" s="162">
        <f t="shared" si="113"/>
        <v>4</v>
      </c>
      <c r="X98" s="162">
        <f t="shared" si="113"/>
        <v>4</v>
      </c>
      <c r="Y98" s="162">
        <f t="shared" si="113"/>
        <v>3</v>
      </c>
      <c r="Z98" s="162">
        <f t="shared" si="113"/>
        <v>4</v>
      </c>
      <c r="AA98" s="163">
        <f t="shared" si="113"/>
        <v>5</v>
      </c>
      <c r="AB98" s="162">
        <f t="shared" ref="AB98:AB99" si="117">IF(S98="","",SUM(S98:AA98))</f>
        <v>38</v>
      </c>
      <c r="AC98" s="162">
        <f t="shared" ref="AC98:AC99" si="118">IF(AB98="","",AB98+Q98)</f>
        <v>72</v>
      </c>
      <c r="AD98" s="12"/>
      <c r="AE98" s="1"/>
      <c r="AF98" s="1"/>
    </row>
    <row r="99" ht="27.75" customHeight="1">
      <c r="A99" s="60"/>
      <c r="B99" s="60"/>
      <c r="C99" s="1"/>
      <c r="D99" s="1"/>
      <c r="E99" s="7"/>
      <c r="F99" s="161" t="s">
        <v>144</v>
      </c>
      <c r="G99" s="142"/>
      <c r="H99" s="164">
        <f t="shared" ref="H99:P99" si="114">IF(H98="","",IF(H98=H90,0.5,IF(H98&lt;H90,1,0)))</f>
        <v>0</v>
      </c>
      <c r="I99" s="164">
        <f t="shared" si="114"/>
        <v>0.5</v>
      </c>
      <c r="J99" s="164">
        <f t="shared" si="114"/>
        <v>1</v>
      </c>
      <c r="K99" s="164">
        <f t="shared" si="114"/>
        <v>0.5</v>
      </c>
      <c r="L99" s="164">
        <f t="shared" si="114"/>
        <v>0.5</v>
      </c>
      <c r="M99" s="164">
        <f t="shared" si="114"/>
        <v>0</v>
      </c>
      <c r="N99" s="165">
        <f t="shared" si="114"/>
        <v>1</v>
      </c>
      <c r="O99" s="164">
        <f t="shared" si="114"/>
        <v>1</v>
      </c>
      <c r="P99" s="164">
        <f t="shared" si="114"/>
        <v>0.5</v>
      </c>
      <c r="Q99" s="164">
        <f t="shared" si="115"/>
        <v>5</v>
      </c>
      <c r="R99" s="23"/>
      <c r="S99" s="164">
        <f t="shared" ref="S99:AA99" si="116">IF(S98="","",IF(S98=S90,0.5,IF(S98&lt;S90,1,0)))</f>
        <v>0</v>
      </c>
      <c r="T99" s="164">
        <f t="shared" si="116"/>
        <v>1</v>
      </c>
      <c r="U99" s="164">
        <f t="shared" si="116"/>
        <v>0.5</v>
      </c>
      <c r="V99" s="164">
        <f t="shared" si="116"/>
        <v>1</v>
      </c>
      <c r="W99" s="164">
        <f t="shared" si="116"/>
        <v>0.5</v>
      </c>
      <c r="X99" s="164">
        <f t="shared" si="116"/>
        <v>0</v>
      </c>
      <c r="Y99" s="164">
        <f t="shared" si="116"/>
        <v>0.5</v>
      </c>
      <c r="Z99" s="164">
        <f t="shared" si="116"/>
        <v>0</v>
      </c>
      <c r="AA99" s="165">
        <f t="shared" si="116"/>
        <v>0</v>
      </c>
      <c r="AB99" s="164">
        <f t="shared" si="117"/>
        <v>3.5</v>
      </c>
      <c r="AC99" s="164">
        <f t="shared" si="118"/>
        <v>8.5</v>
      </c>
      <c r="AD99" s="12"/>
      <c r="AE99" s="1"/>
      <c r="AF99" s="1"/>
    </row>
    <row r="100" ht="6.75" customHeight="1">
      <c r="A100" s="60"/>
      <c r="B100" s="60"/>
      <c r="C100" s="1"/>
      <c r="D100" s="1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  <c r="AE100" s="1"/>
      <c r="AF100" s="1"/>
    </row>
    <row r="101" ht="6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6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9.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9.5" hidden="1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9.5" hidden="1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9.5" hidden="1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9.5" hidden="1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9.5" hidden="1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9.5" hidden="1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9.5" hidden="1" customHeight="1">
      <c r="A110" s="60"/>
      <c r="B110" s="6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9.5" hidden="1" customHeight="1">
      <c r="A111" s="60"/>
      <c r="B111" s="6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9.5" hidden="1" customHeight="1">
      <c r="A112" s="60"/>
      <c r="B112" s="6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9.5" hidden="1" customHeight="1">
      <c r="A113" s="60"/>
      <c r="B113" s="6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9.5" hidden="1" customHeight="1">
      <c r="A114" s="60"/>
      <c r="B114" s="6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9.5" hidden="1" customHeight="1">
      <c r="A115" s="60"/>
      <c r="B115" s="6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9.5" hidden="1" customHeight="1">
      <c r="A116" s="60"/>
      <c r="B116" s="6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9.5" hidden="1" customHeight="1">
      <c r="A117" s="60"/>
      <c r="B117" s="6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9.5" hidden="1" customHeight="1">
      <c r="A118" s="60"/>
      <c r="B118" s="6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9.5" hidden="1" customHeight="1">
      <c r="A119" s="60"/>
      <c r="B119" s="6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9.5" hidden="1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9.5" hidden="1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4.25" hidden="1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4.25" hidden="1" customHeight="1">
      <c r="C123" s="1"/>
      <c r="D123" s="1"/>
      <c r="E123" s="1"/>
      <c r="F123" s="39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4.25" hidden="1" customHeight="1">
      <c r="C124" s="1"/>
      <c r="D124" s="1"/>
      <c r="E124" s="1"/>
      <c r="F124" s="1" t="str">
        <f>F10</f>
        <v>ERIC</v>
      </c>
      <c r="G124" s="1"/>
      <c r="H124" s="40">
        <f t="shared" ref="H124:P124" si="119">H11</f>
        <v>7</v>
      </c>
      <c r="I124" s="40">
        <f t="shared" si="119"/>
        <v>5</v>
      </c>
      <c r="J124" s="40">
        <f t="shared" si="119"/>
        <v>7</v>
      </c>
      <c r="K124" s="40">
        <f t="shared" si="119"/>
        <v>4</v>
      </c>
      <c r="L124" s="40">
        <f t="shared" si="119"/>
        <v>5</v>
      </c>
      <c r="M124" s="40">
        <f t="shared" si="119"/>
        <v>6</v>
      </c>
      <c r="N124" s="40">
        <f t="shared" si="119"/>
        <v>4</v>
      </c>
      <c r="O124" s="40">
        <f t="shared" si="119"/>
        <v>5</v>
      </c>
      <c r="P124" s="40">
        <f t="shared" si="119"/>
        <v>5</v>
      </c>
      <c r="Q124" s="40"/>
      <c r="R124" s="40"/>
      <c r="S124" s="40">
        <f t="shared" ref="S124:AA124" si="120">S11</f>
        <v>7</v>
      </c>
      <c r="T124" s="40">
        <f t="shared" si="120"/>
        <v>8</v>
      </c>
      <c r="U124" s="40">
        <f t="shared" si="120"/>
        <v>5</v>
      </c>
      <c r="V124" s="40">
        <f t="shared" si="120"/>
        <v>5</v>
      </c>
      <c r="W124" s="40">
        <f t="shared" si="120"/>
        <v>4</v>
      </c>
      <c r="X124" s="40">
        <f t="shared" si="120"/>
        <v>4</v>
      </c>
      <c r="Y124" s="40">
        <f t="shared" si="120"/>
        <v>5</v>
      </c>
      <c r="Z124" s="40">
        <f t="shared" si="120"/>
        <v>7</v>
      </c>
      <c r="AA124" s="40">
        <f t="shared" si="120"/>
        <v>6</v>
      </c>
      <c r="AB124" s="1"/>
      <c r="AC124" s="1"/>
      <c r="AD124" s="1"/>
      <c r="AE124" s="1"/>
      <c r="AF124" s="1"/>
    </row>
    <row r="125" ht="14.25" hidden="1" customHeight="1">
      <c r="C125" s="1"/>
      <c r="D125" s="1"/>
      <c r="E125" s="1"/>
      <c r="F125" s="1" t="str">
        <f>F12</f>
        <v>RYAN</v>
      </c>
      <c r="G125" s="1"/>
      <c r="H125" s="40">
        <f t="shared" ref="H125:P125" si="121">H13</f>
        <v>7</v>
      </c>
      <c r="I125" s="40">
        <f t="shared" si="121"/>
        <v>6</v>
      </c>
      <c r="J125" s="40">
        <f t="shared" si="121"/>
        <v>7</v>
      </c>
      <c r="K125" s="40">
        <f t="shared" si="121"/>
        <v>7</v>
      </c>
      <c r="L125" s="40">
        <f t="shared" si="121"/>
        <v>7</v>
      </c>
      <c r="M125" s="40">
        <f t="shared" si="121"/>
        <v>7</v>
      </c>
      <c r="N125" s="40">
        <f t="shared" si="121"/>
        <v>3</v>
      </c>
      <c r="O125" s="40">
        <f t="shared" si="121"/>
        <v>6</v>
      </c>
      <c r="P125" s="40">
        <f t="shared" si="121"/>
        <v>4</v>
      </c>
      <c r="Q125" s="40"/>
      <c r="R125" s="40"/>
      <c r="S125" s="40">
        <f t="shared" ref="S125:AA125" si="122">S13</f>
        <v>6</v>
      </c>
      <c r="T125" s="40">
        <f t="shared" si="122"/>
        <v>7</v>
      </c>
      <c r="U125" s="40">
        <f t="shared" si="122"/>
        <v>7</v>
      </c>
      <c r="V125" s="40">
        <f t="shared" si="122"/>
        <v>6</v>
      </c>
      <c r="W125" s="40">
        <f t="shared" si="122"/>
        <v>5</v>
      </c>
      <c r="X125" s="40">
        <f t="shared" si="122"/>
        <v>6</v>
      </c>
      <c r="Y125" s="40">
        <f t="shared" si="122"/>
        <v>6</v>
      </c>
      <c r="Z125" s="40">
        <f t="shared" si="122"/>
        <v>7</v>
      </c>
      <c r="AA125" s="40">
        <f t="shared" si="122"/>
        <v>5</v>
      </c>
      <c r="AB125" s="1"/>
      <c r="AC125" s="1"/>
      <c r="AD125" s="1"/>
      <c r="AE125" s="1"/>
      <c r="AF125" s="1"/>
    </row>
    <row r="126" ht="14.25" hidden="1" customHeight="1">
      <c r="C126" s="1"/>
      <c r="D126" s="1"/>
      <c r="E126" s="1"/>
      <c r="F126" s="1" t="str">
        <f>F18</f>
        <v>TOM</v>
      </c>
      <c r="G126" s="1"/>
      <c r="H126" s="40">
        <f t="shared" ref="H126:P126" si="123">H19</f>
        <v>4</v>
      </c>
      <c r="I126" s="40">
        <f t="shared" si="123"/>
        <v>4</v>
      </c>
      <c r="J126" s="40">
        <f t="shared" si="123"/>
        <v>6</v>
      </c>
      <c r="K126" s="40">
        <f t="shared" si="123"/>
        <v>5</v>
      </c>
      <c r="L126" s="40">
        <f t="shared" si="123"/>
        <v>5</v>
      </c>
      <c r="M126" s="40">
        <f t="shared" si="123"/>
        <v>5</v>
      </c>
      <c r="N126" s="40">
        <f t="shared" si="123"/>
        <v>5</v>
      </c>
      <c r="O126" s="40">
        <f t="shared" si="123"/>
        <v>4</v>
      </c>
      <c r="P126" s="40">
        <f t="shared" si="123"/>
        <v>6</v>
      </c>
      <c r="Q126" s="40"/>
      <c r="R126" s="40"/>
      <c r="S126" s="40">
        <f t="shared" ref="S126:AA126" si="124">S19</f>
        <v>6</v>
      </c>
      <c r="T126" s="40">
        <f t="shared" si="124"/>
        <v>7</v>
      </c>
      <c r="U126" s="40">
        <f t="shared" si="124"/>
        <v>4</v>
      </c>
      <c r="V126" s="40">
        <f t="shared" si="124"/>
        <v>7</v>
      </c>
      <c r="W126" s="40">
        <f t="shared" si="124"/>
        <v>3</v>
      </c>
      <c r="X126" s="40">
        <f t="shared" si="124"/>
        <v>5</v>
      </c>
      <c r="Y126" s="40">
        <f t="shared" si="124"/>
        <v>4</v>
      </c>
      <c r="Z126" s="40">
        <f t="shared" si="124"/>
        <v>4</v>
      </c>
      <c r="AA126" s="40">
        <f t="shared" si="124"/>
        <v>6</v>
      </c>
      <c r="AB126" s="1"/>
      <c r="AC126" s="1"/>
      <c r="AD126" s="1"/>
      <c r="AE126" s="1"/>
      <c r="AF126" s="1"/>
    </row>
    <row r="127" ht="14.25" hidden="1" customHeight="1">
      <c r="C127" s="1"/>
      <c r="D127" s="1"/>
      <c r="E127" s="1"/>
      <c r="F127" s="1" t="str">
        <f>F20</f>
        <v>SKYLAR</v>
      </c>
      <c r="G127" s="1"/>
      <c r="H127" s="40">
        <f t="shared" ref="H127:P127" si="125">H21</f>
        <v>7</v>
      </c>
      <c r="I127" s="40">
        <f t="shared" si="125"/>
        <v>5</v>
      </c>
      <c r="J127" s="40">
        <f t="shared" si="125"/>
        <v>8</v>
      </c>
      <c r="K127" s="40">
        <f t="shared" si="125"/>
        <v>5</v>
      </c>
      <c r="L127" s="40">
        <f t="shared" si="125"/>
        <v>6</v>
      </c>
      <c r="M127" s="40">
        <f t="shared" si="125"/>
        <v>5</v>
      </c>
      <c r="N127" s="40">
        <f t="shared" si="125"/>
        <v>5</v>
      </c>
      <c r="O127" s="40">
        <f t="shared" si="125"/>
        <v>4</v>
      </c>
      <c r="P127" s="40">
        <f t="shared" si="125"/>
        <v>6</v>
      </c>
      <c r="Q127" s="40"/>
      <c r="R127" s="40"/>
      <c r="S127" s="40">
        <f t="shared" ref="S127:AA127" si="126">S21</f>
        <v>5</v>
      </c>
      <c r="T127" s="40">
        <f t="shared" si="126"/>
        <v>10</v>
      </c>
      <c r="U127" s="40">
        <f t="shared" si="126"/>
        <v>6</v>
      </c>
      <c r="V127" s="40">
        <f t="shared" si="126"/>
        <v>8</v>
      </c>
      <c r="W127" s="40">
        <f t="shared" si="126"/>
        <v>5</v>
      </c>
      <c r="X127" s="40">
        <f t="shared" si="126"/>
        <v>6</v>
      </c>
      <c r="Y127" s="40">
        <f t="shared" si="126"/>
        <v>4</v>
      </c>
      <c r="Z127" s="40">
        <f t="shared" si="126"/>
        <v>5</v>
      </c>
      <c r="AA127" s="40">
        <f t="shared" si="126"/>
        <v>6</v>
      </c>
      <c r="AB127" s="1"/>
      <c r="AC127" s="1"/>
      <c r="AD127" s="1"/>
      <c r="AE127" s="1"/>
      <c r="AF127" s="1"/>
    </row>
    <row r="128" ht="14.25" hidden="1" customHeight="1">
      <c r="C128" s="1"/>
      <c r="D128" s="1"/>
      <c r="E128" s="1"/>
      <c r="F128" s="1" t="str">
        <f>F35</f>
        <v>DEREK</v>
      </c>
      <c r="G128" s="1"/>
      <c r="H128" s="40">
        <f t="shared" ref="H128:P128" si="127">H36</f>
        <v>4</v>
      </c>
      <c r="I128" s="40">
        <f t="shared" si="127"/>
        <v>5</v>
      </c>
      <c r="J128" s="40">
        <f t="shared" si="127"/>
        <v>5</v>
      </c>
      <c r="K128" s="40">
        <f t="shared" si="127"/>
        <v>4</v>
      </c>
      <c r="L128" s="40">
        <f t="shared" si="127"/>
        <v>4</v>
      </c>
      <c r="M128" s="40">
        <f t="shared" si="127"/>
        <v>4</v>
      </c>
      <c r="N128" s="40">
        <f t="shared" si="127"/>
        <v>3</v>
      </c>
      <c r="O128" s="40">
        <f t="shared" si="127"/>
        <v>4</v>
      </c>
      <c r="P128" s="40">
        <f t="shared" si="127"/>
        <v>4</v>
      </c>
      <c r="Q128" s="40"/>
      <c r="R128" s="40"/>
      <c r="S128" s="40">
        <f t="shared" ref="S128:AA128" si="128">S36</f>
        <v>5</v>
      </c>
      <c r="T128" s="40">
        <f t="shared" si="128"/>
        <v>6</v>
      </c>
      <c r="U128" s="40">
        <f t="shared" si="128"/>
        <v>5</v>
      </c>
      <c r="V128" s="40">
        <f t="shared" si="128"/>
        <v>5</v>
      </c>
      <c r="W128" s="40">
        <f t="shared" si="128"/>
        <v>3</v>
      </c>
      <c r="X128" s="40">
        <f t="shared" si="128"/>
        <v>4</v>
      </c>
      <c r="Y128" s="40">
        <f t="shared" si="128"/>
        <v>3</v>
      </c>
      <c r="Z128" s="40">
        <f t="shared" si="128"/>
        <v>4</v>
      </c>
      <c r="AA128" s="40">
        <f t="shared" si="128"/>
        <v>4</v>
      </c>
      <c r="AB128" s="1"/>
      <c r="AC128" s="1"/>
      <c r="AD128" s="1"/>
      <c r="AE128" s="1"/>
      <c r="AF128" s="1"/>
    </row>
    <row r="129" ht="14.25" hidden="1" customHeight="1">
      <c r="C129" s="1"/>
      <c r="D129" s="1"/>
      <c r="E129" s="1"/>
      <c r="F129" s="1" t="str">
        <f>F37</f>
        <v>SCOTT</v>
      </c>
      <c r="G129" s="1"/>
      <c r="H129" s="40">
        <f t="shared" ref="H129:P129" si="129">H38</f>
        <v>4</v>
      </c>
      <c r="I129" s="40">
        <f t="shared" si="129"/>
        <v>4</v>
      </c>
      <c r="J129" s="40">
        <f t="shared" si="129"/>
        <v>6</v>
      </c>
      <c r="K129" s="40">
        <f t="shared" si="129"/>
        <v>4</v>
      </c>
      <c r="L129" s="40">
        <f t="shared" si="129"/>
        <v>4</v>
      </c>
      <c r="M129" s="40">
        <f t="shared" si="129"/>
        <v>6</v>
      </c>
      <c r="N129" s="40">
        <f t="shared" si="129"/>
        <v>3</v>
      </c>
      <c r="O129" s="40">
        <f t="shared" si="129"/>
        <v>4</v>
      </c>
      <c r="P129" s="40">
        <f t="shared" si="129"/>
        <v>4</v>
      </c>
      <c r="Q129" s="40"/>
      <c r="R129" s="40"/>
      <c r="S129" s="40">
        <f t="shared" ref="S129:AA129" si="130">S38</f>
        <v>4</v>
      </c>
      <c r="T129" s="40">
        <f t="shared" si="130"/>
        <v>5</v>
      </c>
      <c r="U129" s="40">
        <f t="shared" si="130"/>
        <v>4</v>
      </c>
      <c r="V129" s="40">
        <f t="shared" si="130"/>
        <v>5</v>
      </c>
      <c r="W129" s="40">
        <f t="shared" si="130"/>
        <v>3</v>
      </c>
      <c r="X129" s="40">
        <f t="shared" si="130"/>
        <v>3</v>
      </c>
      <c r="Y129" s="40">
        <f t="shared" si="130"/>
        <v>3</v>
      </c>
      <c r="Z129" s="40">
        <f t="shared" si="130"/>
        <v>5</v>
      </c>
      <c r="AA129" s="40">
        <f t="shared" si="130"/>
        <v>5</v>
      </c>
      <c r="AB129" s="1"/>
      <c r="AC129" s="1"/>
      <c r="AD129" s="1"/>
      <c r="AE129" s="1"/>
      <c r="AF129" s="1"/>
    </row>
    <row r="130" ht="14.25" hidden="1" customHeight="1">
      <c r="C130" s="1"/>
      <c r="D130" s="1"/>
      <c r="E130" s="1"/>
      <c r="F130" s="1" t="str">
        <f>F43</f>
        <v>ZACH</v>
      </c>
      <c r="G130" s="1"/>
      <c r="H130" s="40">
        <f t="shared" ref="H130:P130" si="131">H44</f>
        <v>5</v>
      </c>
      <c r="I130" s="40">
        <f t="shared" si="131"/>
        <v>5</v>
      </c>
      <c r="J130" s="40">
        <f t="shared" si="131"/>
        <v>5</v>
      </c>
      <c r="K130" s="40">
        <f t="shared" si="131"/>
        <v>5</v>
      </c>
      <c r="L130" s="40">
        <f t="shared" si="131"/>
        <v>5</v>
      </c>
      <c r="M130" s="40">
        <f t="shared" si="131"/>
        <v>6</v>
      </c>
      <c r="N130" s="40">
        <f t="shared" si="131"/>
        <v>3</v>
      </c>
      <c r="O130" s="40">
        <f t="shared" si="131"/>
        <v>5</v>
      </c>
      <c r="P130" s="40">
        <f t="shared" si="131"/>
        <v>4</v>
      </c>
      <c r="Q130" s="40"/>
      <c r="R130" s="40"/>
      <c r="S130" s="40">
        <f t="shared" ref="S130:AA130" si="132">S44</f>
        <v>5</v>
      </c>
      <c r="T130" s="40">
        <f t="shared" si="132"/>
        <v>6</v>
      </c>
      <c r="U130" s="40">
        <f t="shared" si="132"/>
        <v>4</v>
      </c>
      <c r="V130" s="40">
        <f t="shared" si="132"/>
        <v>5</v>
      </c>
      <c r="W130" s="40">
        <f t="shared" si="132"/>
        <v>5</v>
      </c>
      <c r="X130" s="40">
        <f t="shared" si="132"/>
        <v>5</v>
      </c>
      <c r="Y130" s="40">
        <f t="shared" si="132"/>
        <v>2</v>
      </c>
      <c r="Z130" s="40">
        <f t="shared" si="132"/>
        <v>4</v>
      </c>
      <c r="AA130" s="40">
        <f t="shared" si="132"/>
        <v>6</v>
      </c>
      <c r="AB130" s="1"/>
      <c r="AC130" s="1"/>
      <c r="AD130" s="1"/>
      <c r="AE130" s="1"/>
      <c r="AF130" s="1"/>
    </row>
    <row r="131" ht="14.25" hidden="1" customHeight="1">
      <c r="C131" s="1"/>
      <c r="D131" s="1"/>
      <c r="E131" s="1"/>
      <c r="F131" s="1" t="str">
        <f>F45</f>
        <v>SLICK</v>
      </c>
      <c r="G131" s="1"/>
      <c r="H131" s="40">
        <f t="shared" ref="H131:P131" si="133">H46</f>
        <v>4</v>
      </c>
      <c r="I131" s="40">
        <f t="shared" si="133"/>
        <v>6</v>
      </c>
      <c r="J131" s="40">
        <f t="shared" si="133"/>
        <v>5</v>
      </c>
      <c r="K131" s="40">
        <f t="shared" si="133"/>
        <v>6</v>
      </c>
      <c r="L131" s="40">
        <f t="shared" si="133"/>
        <v>5</v>
      </c>
      <c r="M131" s="40">
        <f t="shared" si="133"/>
        <v>6</v>
      </c>
      <c r="N131" s="40">
        <f t="shared" si="133"/>
        <v>4</v>
      </c>
      <c r="O131" s="40">
        <f t="shared" si="133"/>
        <v>4</v>
      </c>
      <c r="P131" s="40">
        <f t="shared" si="133"/>
        <v>3</v>
      </c>
      <c r="Q131" s="40"/>
      <c r="R131" s="40"/>
      <c r="S131" s="40">
        <f t="shared" ref="S131:AA131" si="134">S46</f>
        <v>4</v>
      </c>
      <c r="T131" s="40">
        <f t="shared" si="134"/>
        <v>5</v>
      </c>
      <c r="U131" s="40">
        <f t="shared" si="134"/>
        <v>4</v>
      </c>
      <c r="V131" s="40">
        <f t="shared" si="134"/>
        <v>5</v>
      </c>
      <c r="W131" s="40">
        <f t="shared" si="134"/>
        <v>4</v>
      </c>
      <c r="X131" s="40">
        <f t="shared" si="134"/>
        <v>6</v>
      </c>
      <c r="Y131" s="40">
        <f t="shared" si="134"/>
        <v>4</v>
      </c>
      <c r="Z131" s="40">
        <f t="shared" si="134"/>
        <v>4</v>
      </c>
      <c r="AA131" s="40">
        <f t="shared" si="134"/>
        <v>6</v>
      </c>
      <c r="AB131" s="1"/>
      <c r="AC131" s="1"/>
      <c r="AD131" s="1"/>
      <c r="AE131" s="1"/>
      <c r="AF131" s="1"/>
    </row>
    <row r="132" ht="14.25" hidden="1" customHeight="1">
      <c r="C132" s="1"/>
      <c r="D132" s="1"/>
      <c r="E132" s="1"/>
      <c r="F132" s="1" t="str">
        <f>F60</f>
        <v>PAXTON</v>
      </c>
      <c r="G132" s="1"/>
      <c r="H132" s="40">
        <f t="shared" ref="H132:P132" si="135">H61</f>
        <v>6</v>
      </c>
      <c r="I132" s="40">
        <f t="shared" si="135"/>
        <v>7</v>
      </c>
      <c r="J132" s="40">
        <f t="shared" si="135"/>
        <v>8</v>
      </c>
      <c r="K132" s="40">
        <f t="shared" si="135"/>
        <v>4</v>
      </c>
      <c r="L132" s="40">
        <f t="shared" si="135"/>
        <v>5</v>
      </c>
      <c r="M132" s="40">
        <f t="shared" si="135"/>
        <v>5</v>
      </c>
      <c r="N132" s="40">
        <f t="shared" si="135"/>
        <v>4</v>
      </c>
      <c r="O132" s="40">
        <f t="shared" si="135"/>
        <v>4</v>
      </c>
      <c r="P132" s="40">
        <f t="shared" si="135"/>
        <v>4</v>
      </c>
      <c r="Q132" s="40"/>
      <c r="R132" s="40"/>
      <c r="S132" s="40">
        <f t="shared" ref="S132:AA132" si="136">S61</f>
        <v>5</v>
      </c>
      <c r="T132" s="40">
        <f t="shared" si="136"/>
        <v>5</v>
      </c>
      <c r="U132" s="40">
        <f t="shared" si="136"/>
        <v>6</v>
      </c>
      <c r="V132" s="40">
        <f t="shared" si="136"/>
        <v>6</v>
      </c>
      <c r="W132" s="40">
        <f t="shared" si="136"/>
        <v>2</v>
      </c>
      <c r="X132" s="40">
        <f t="shared" si="136"/>
        <v>5</v>
      </c>
      <c r="Y132" s="40">
        <f t="shared" si="136"/>
        <v>4</v>
      </c>
      <c r="Z132" s="40">
        <f t="shared" si="136"/>
        <v>5</v>
      </c>
      <c r="AA132" s="40">
        <f t="shared" si="136"/>
        <v>5</v>
      </c>
      <c r="AB132" s="1"/>
      <c r="AC132" s="1"/>
      <c r="AD132" s="1"/>
      <c r="AE132" s="1"/>
      <c r="AF132" s="1"/>
    </row>
    <row r="133" ht="14.25" hidden="1" customHeight="1">
      <c r="C133" s="1"/>
      <c r="D133" s="1"/>
      <c r="E133" s="1"/>
      <c r="F133" s="1" t="str">
        <f>F62</f>
        <v>KIP</v>
      </c>
      <c r="G133" s="1"/>
      <c r="H133" s="40">
        <f t="shared" ref="H133:P133" si="137">H63</f>
        <v>4</v>
      </c>
      <c r="I133" s="40">
        <f t="shared" si="137"/>
        <v>6</v>
      </c>
      <c r="J133" s="40">
        <f t="shared" si="137"/>
        <v>8</v>
      </c>
      <c r="K133" s="40">
        <f t="shared" si="137"/>
        <v>8</v>
      </c>
      <c r="L133" s="40">
        <f t="shared" si="137"/>
        <v>7</v>
      </c>
      <c r="M133" s="40">
        <f t="shared" si="137"/>
        <v>7</v>
      </c>
      <c r="N133" s="40">
        <f t="shared" si="137"/>
        <v>6</v>
      </c>
      <c r="O133" s="40">
        <f t="shared" si="137"/>
        <v>8</v>
      </c>
      <c r="P133" s="40">
        <f t="shared" si="137"/>
        <v>5</v>
      </c>
      <c r="Q133" s="40"/>
      <c r="R133" s="40"/>
      <c r="S133" s="40">
        <f t="shared" ref="S133:AA133" si="138">S63</f>
        <v>7</v>
      </c>
      <c r="T133" s="40">
        <f t="shared" si="138"/>
        <v>7</v>
      </c>
      <c r="U133" s="40">
        <f t="shared" si="138"/>
        <v>8</v>
      </c>
      <c r="V133" s="40">
        <f t="shared" si="138"/>
        <v>8</v>
      </c>
      <c r="W133" s="40">
        <f t="shared" si="138"/>
        <v>4</v>
      </c>
      <c r="X133" s="40">
        <f t="shared" si="138"/>
        <v>7</v>
      </c>
      <c r="Y133" s="40">
        <f t="shared" si="138"/>
        <v>4</v>
      </c>
      <c r="Z133" s="40">
        <f t="shared" si="138"/>
        <v>8</v>
      </c>
      <c r="AA133" s="40">
        <f t="shared" si="138"/>
        <v>6</v>
      </c>
      <c r="AB133" s="1"/>
      <c r="AC133" s="1"/>
      <c r="AD133" s="1"/>
      <c r="AE133" s="1"/>
      <c r="AF133" s="1"/>
    </row>
    <row r="134" ht="14.25" hidden="1" customHeight="1">
      <c r="C134" s="1"/>
      <c r="D134" s="1"/>
      <c r="E134" s="1"/>
      <c r="F134" s="1" t="str">
        <f>F68</f>
        <v>DANNY</v>
      </c>
      <c r="G134" s="1"/>
      <c r="H134" s="40">
        <f t="shared" ref="H134:P134" si="139">H69</f>
        <v>4</v>
      </c>
      <c r="I134" s="40">
        <f t="shared" si="139"/>
        <v>5</v>
      </c>
      <c r="J134" s="40">
        <f t="shared" si="139"/>
        <v>5</v>
      </c>
      <c r="K134" s="40">
        <f t="shared" si="139"/>
        <v>4</v>
      </c>
      <c r="L134" s="40">
        <f t="shared" si="139"/>
        <v>5</v>
      </c>
      <c r="M134" s="40">
        <f t="shared" si="139"/>
        <v>4</v>
      </c>
      <c r="N134" s="40">
        <f t="shared" si="139"/>
        <v>3</v>
      </c>
      <c r="O134" s="40">
        <f t="shared" si="139"/>
        <v>4</v>
      </c>
      <c r="P134" s="40">
        <f t="shared" si="139"/>
        <v>4</v>
      </c>
      <c r="Q134" s="40"/>
      <c r="R134" s="40"/>
      <c r="S134" s="40">
        <f t="shared" ref="S134:AA134" si="140">S69</f>
        <v>5</v>
      </c>
      <c r="T134" s="40">
        <f t="shared" si="140"/>
        <v>6</v>
      </c>
      <c r="U134" s="40">
        <f t="shared" si="140"/>
        <v>5</v>
      </c>
      <c r="V134" s="40">
        <f t="shared" si="140"/>
        <v>6</v>
      </c>
      <c r="W134" s="40">
        <f t="shared" si="140"/>
        <v>4</v>
      </c>
      <c r="X134" s="40">
        <f t="shared" si="140"/>
        <v>4</v>
      </c>
      <c r="Y134" s="40">
        <f t="shared" si="140"/>
        <v>4</v>
      </c>
      <c r="Z134" s="40">
        <f t="shared" si="140"/>
        <v>4</v>
      </c>
      <c r="AA134" s="40">
        <f t="shared" si="140"/>
        <v>4</v>
      </c>
      <c r="AB134" s="1"/>
      <c r="AC134" s="1"/>
      <c r="AD134" s="1"/>
      <c r="AE134" s="1"/>
      <c r="AF134" s="1"/>
    </row>
    <row r="135" ht="14.25" hidden="1" customHeight="1">
      <c r="C135" s="1"/>
      <c r="D135" s="1"/>
      <c r="E135" s="1"/>
      <c r="F135" s="1" t="str">
        <f>F70</f>
        <v>WAYS</v>
      </c>
      <c r="G135" s="1"/>
      <c r="H135" s="40">
        <f t="shared" ref="H135:P135" si="141">H71</f>
        <v>5</v>
      </c>
      <c r="I135" s="40">
        <f t="shared" si="141"/>
        <v>5</v>
      </c>
      <c r="J135" s="40">
        <f t="shared" si="141"/>
        <v>6</v>
      </c>
      <c r="K135" s="40">
        <f t="shared" si="141"/>
        <v>4</v>
      </c>
      <c r="L135" s="40">
        <f t="shared" si="141"/>
        <v>6</v>
      </c>
      <c r="M135" s="40">
        <f t="shared" si="141"/>
        <v>6</v>
      </c>
      <c r="N135" s="40">
        <f t="shared" si="141"/>
        <v>4</v>
      </c>
      <c r="O135" s="40">
        <f t="shared" si="141"/>
        <v>6</v>
      </c>
      <c r="P135" s="40">
        <f t="shared" si="141"/>
        <v>3</v>
      </c>
      <c r="Q135" s="40"/>
      <c r="R135" s="40"/>
      <c r="S135" s="40">
        <f t="shared" ref="S135:AA135" si="142">S71</f>
        <v>4</v>
      </c>
      <c r="T135" s="40">
        <f t="shared" si="142"/>
        <v>5</v>
      </c>
      <c r="U135" s="40">
        <f t="shared" si="142"/>
        <v>5</v>
      </c>
      <c r="V135" s="40">
        <f t="shared" si="142"/>
        <v>5</v>
      </c>
      <c r="W135" s="40">
        <f t="shared" si="142"/>
        <v>4</v>
      </c>
      <c r="X135" s="40">
        <f t="shared" si="142"/>
        <v>6</v>
      </c>
      <c r="Y135" s="40">
        <f t="shared" si="142"/>
        <v>4</v>
      </c>
      <c r="Z135" s="40">
        <f t="shared" si="142"/>
        <v>4</v>
      </c>
      <c r="AA135" s="40">
        <f t="shared" si="142"/>
        <v>4</v>
      </c>
      <c r="AB135" s="1"/>
      <c r="AC135" s="1"/>
      <c r="AD135" s="1"/>
      <c r="AE135" s="1"/>
      <c r="AF135" s="1"/>
    </row>
    <row r="136" ht="14.25" hidden="1" customHeight="1">
      <c r="C136" s="1"/>
      <c r="D136" s="1"/>
      <c r="E136" s="1"/>
      <c r="F136" s="1" t="str">
        <f>F85</f>
        <v>DYLAN</v>
      </c>
      <c r="G136" s="1"/>
      <c r="H136" s="40">
        <f t="shared" ref="H136:P136" si="143">H86</f>
        <v>4</v>
      </c>
      <c r="I136" s="40">
        <f t="shared" si="143"/>
        <v>5</v>
      </c>
      <c r="J136" s="40">
        <f t="shared" si="143"/>
        <v>6</v>
      </c>
      <c r="K136" s="40">
        <f t="shared" si="143"/>
        <v>7</v>
      </c>
      <c r="L136" s="40">
        <f t="shared" si="143"/>
        <v>6</v>
      </c>
      <c r="M136" s="40">
        <f t="shared" si="143"/>
        <v>7</v>
      </c>
      <c r="N136" s="40">
        <f t="shared" si="143"/>
        <v>4</v>
      </c>
      <c r="O136" s="40">
        <f t="shared" si="143"/>
        <v>5</v>
      </c>
      <c r="P136" s="40">
        <f t="shared" si="143"/>
        <v>4</v>
      </c>
      <c r="Q136" s="40"/>
      <c r="R136" s="40"/>
      <c r="S136" s="40">
        <f t="shared" ref="S136:AA136" si="144">S86</f>
        <v>5</v>
      </c>
      <c r="T136" s="40">
        <f t="shared" si="144"/>
        <v>6</v>
      </c>
      <c r="U136" s="40">
        <f t="shared" si="144"/>
        <v>5</v>
      </c>
      <c r="V136" s="40">
        <f t="shared" si="144"/>
        <v>5</v>
      </c>
      <c r="W136" s="40">
        <f t="shared" si="144"/>
        <v>4</v>
      </c>
      <c r="X136" s="40">
        <f t="shared" si="144"/>
        <v>5</v>
      </c>
      <c r="Y136" s="40">
        <f t="shared" si="144"/>
        <v>4</v>
      </c>
      <c r="Z136" s="40">
        <f t="shared" si="144"/>
        <v>5</v>
      </c>
      <c r="AA136" s="40">
        <f t="shared" si="144"/>
        <v>6</v>
      </c>
      <c r="AB136" s="1"/>
      <c r="AC136" s="1"/>
      <c r="AD136" s="1"/>
      <c r="AE136" s="1"/>
      <c r="AF136" s="1"/>
    </row>
    <row r="137" ht="14.25" hidden="1" customHeight="1">
      <c r="C137" s="1"/>
      <c r="D137" s="1"/>
      <c r="E137" s="1"/>
      <c r="F137" s="1" t="str">
        <f>F87</f>
        <v>MAX</v>
      </c>
      <c r="G137" s="1"/>
      <c r="H137" s="40">
        <f t="shared" ref="H137:P137" si="145">H88</f>
        <v>4</v>
      </c>
      <c r="I137" s="40">
        <f t="shared" si="145"/>
        <v>4</v>
      </c>
      <c r="J137" s="40">
        <f t="shared" si="145"/>
        <v>6</v>
      </c>
      <c r="K137" s="40">
        <f t="shared" si="145"/>
        <v>4</v>
      </c>
      <c r="L137" s="40">
        <f t="shared" si="145"/>
        <v>5</v>
      </c>
      <c r="M137" s="40">
        <f t="shared" si="145"/>
        <v>5</v>
      </c>
      <c r="N137" s="40">
        <f t="shared" si="145"/>
        <v>4</v>
      </c>
      <c r="O137" s="40">
        <f t="shared" si="145"/>
        <v>5</v>
      </c>
      <c r="P137" s="40">
        <f t="shared" si="145"/>
        <v>4</v>
      </c>
      <c r="Q137" s="40"/>
      <c r="R137" s="40"/>
      <c r="S137" s="40">
        <f t="shared" ref="S137:AA137" si="146">S88</f>
        <v>5</v>
      </c>
      <c r="T137" s="40">
        <f t="shared" si="146"/>
        <v>6</v>
      </c>
      <c r="U137" s="40">
        <f t="shared" si="146"/>
        <v>5</v>
      </c>
      <c r="V137" s="40">
        <f t="shared" si="146"/>
        <v>5</v>
      </c>
      <c r="W137" s="40">
        <f t="shared" si="146"/>
        <v>5</v>
      </c>
      <c r="X137" s="40">
        <f t="shared" si="146"/>
        <v>4</v>
      </c>
      <c r="Y137" s="40">
        <f t="shared" si="146"/>
        <v>3</v>
      </c>
      <c r="Z137" s="40">
        <f t="shared" si="146"/>
        <v>4</v>
      </c>
      <c r="AA137" s="40">
        <f t="shared" si="146"/>
        <v>5</v>
      </c>
      <c r="AB137" s="1"/>
      <c r="AC137" s="1"/>
      <c r="AD137" s="1"/>
      <c r="AE137" s="1"/>
      <c r="AF137" s="1"/>
    </row>
    <row r="138" ht="14.25" hidden="1" customHeight="1">
      <c r="C138" s="1"/>
      <c r="D138" s="1"/>
      <c r="E138" s="1"/>
      <c r="F138" s="1" t="str">
        <f>F93</f>
        <v>BEN</v>
      </c>
      <c r="G138" s="1"/>
      <c r="H138" s="40">
        <f t="shared" ref="H138:P138" si="147">H94</f>
        <v>4</v>
      </c>
      <c r="I138" s="40">
        <f t="shared" si="147"/>
        <v>5</v>
      </c>
      <c r="J138" s="40">
        <f t="shared" si="147"/>
        <v>5</v>
      </c>
      <c r="K138" s="40">
        <f t="shared" si="147"/>
        <v>3</v>
      </c>
      <c r="L138" s="40">
        <f t="shared" si="147"/>
        <v>5</v>
      </c>
      <c r="M138" s="40">
        <f t="shared" si="147"/>
        <v>7</v>
      </c>
      <c r="N138" s="40">
        <f t="shared" si="147"/>
        <v>3</v>
      </c>
      <c r="O138" s="40">
        <f t="shared" si="147"/>
        <v>4</v>
      </c>
      <c r="P138" s="40">
        <f t="shared" si="147"/>
        <v>4</v>
      </c>
      <c r="Q138" s="40"/>
      <c r="R138" s="40"/>
      <c r="S138" s="40">
        <f t="shared" ref="S138:AA138" si="148">S94</f>
        <v>6</v>
      </c>
      <c r="T138" s="40">
        <f t="shared" si="148"/>
        <v>5</v>
      </c>
      <c r="U138" s="40">
        <f t="shared" si="148"/>
        <v>4</v>
      </c>
      <c r="V138" s="40">
        <f t="shared" si="148"/>
        <v>4</v>
      </c>
      <c r="W138" s="40">
        <f t="shared" si="148"/>
        <v>4</v>
      </c>
      <c r="X138" s="40">
        <f t="shared" si="148"/>
        <v>5</v>
      </c>
      <c r="Y138" s="40">
        <f t="shared" si="148"/>
        <v>4</v>
      </c>
      <c r="Z138" s="40">
        <f t="shared" si="148"/>
        <v>4</v>
      </c>
      <c r="AA138" s="40">
        <f t="shared" si="148"/>
        <v>5</v>
      </c>
      <c r="AB138" s="1"/>
      <c r="AC138" s="1"/>
      <c r="AD138" s="1"/>
      <c r="AE138" s="1"/>
      <c r="AF138" s="1"/>
    </row>
    <row r="139" ht="14.25" hidden="1" customHeight="1">
      <c r="C139" s="1"/>
      <c r="D139" s="1"/>
      <c r="E139" s="1"/>
      <c r="F139" s="1" t="str">
        <f>F95</f>
        <v>SHEPP</v>
      </c>
      <c r="G139" s="1"/>
      <c r="H139" s="40">
        <f t="shared" ref="H139:P139" si="149">H96</f>
        <v>8</v>
      </c>
      <c r="I139" s="40">
        <f t="shared" si="149"/>
        <v>5</v>
      </c>
      <c r="J139" s="40">
        <f t="shared" si="149"/>
        <v>5</v>
      </c>
      <c r="K139" s="40">
        <f t="shared" si="149"/>
        <v>6</v>
      </c>
      <c r="L139" s="40">
        <f t="shared" si="149"/>
        <v>6</v>
      </c>
      <c r="M139" s="40">
        <f t="shared" si="149"/>
        <v>7</v>
      </c>
      <c r="N139" s="40">
        <f t="shared" si="149"/>
        <v>4</v>
      </c>
      <c r="O139" s="40">
        <f t="shared" si="149"/>
        <v>5</v>
      </c>
      <c r="P139" s="40">
        <f t="shared" si="149"/>
        <v>4</v>
      </c>
      <c r="Q139" s="40"/>
      <c r="R139" s="40"/>
      <c r="S139" s="40">
        <f t="shared" ref="S139:AA139" si="150">S96</f>
        <v>6</v>
      </c>
      <c r="T139" s="40">
        <f t="shared" si="150"/>
        <v>8</v>
      </c>
      <c r="U139" s="40">
        <f t="shared" si="150"/>
        <v>6</v>
      </c>
      <c r="V139" s="40">
        <f t="shared" si="150"/>
        <v>8</v>
      </c>
      <c r="W139" s="40">
        <f t="shared" si="150"/>
        <v>5</v>
      </c>
      <c r="X139" s="40">
        <f t="shared" si="150"/>
        <v>5</v>
      </c>
      <c r="Y139" s="40">
        <f t="shared" si="150"/>
        <v>4</v>
      </c>
      <c r="Z139" s="40">
        <f t="shared" si="150"/>
        <v>5</v>
      </c>
      <c r="AA139" s="40">
        <f t="shared" si="150"/>
        <v>6</v>
      </c>
      <c r="AB139" s="1"/>
      <c r="AC139" s="1"/>
      <c r="AD139" s="1"/>
      <c r="AE139" s="1"/>
      <c r="AF139" s="1"/>
    </row>
    <row r="140" ht="14.25" hidden="1" customHeight="1">
      <c r="C140" s="1"/>
      <c r="D140" s="1"/>
      <c r="E140" s="1"/>
      <c r="F140" s="1"/>
      <c r="G140" s="1"/>
      <c r="H140" s="40">
        <v>24.0</v>
      </c>
      <c r="I140" s="40">
        <f t="shared" ref="I140:P140" si="151">H140-1</f>
        <v>23</v>
      </c>
      <c r="J140" s="40">
        <f t="shared" si="151"/>
        <v>22</v>
      </c>
      <c r="K140" s="40">
        <f t="shared" si="151"/>
        <v>21</v>
      </c>
      <c r="L140" s="40">
        <f t="shared" si="151"/>
        <v>20</v>
      </c>
      <c r="M140" s="40">
        <f t="shared" si="151"/>
        <v>19</v>
      </c>
      <c r="N140" s="40">
        <f t="shared" si="151"/>
        <v>18</v>
      </c>
      <c r="O140" s="40">
        <f t="shared" si="151"/>
        <v>17</v>
      </c>
      <c r="P140" s="40">
        <f t="shared" si="151"/>
        <v>16</v>
      </c>
      <c r="Q140" s="40"/>
      <c r="R140" s="40"/>
      <c r="S140" s="40">
        <f>P140-3</f>
        <v>13</v>
      </c>
      <c r="T140" s="40">
        <f t="shared" ref="T140:AA140" si="152">S140-1</f>
        <v>12</v>
      </c>
      <c r="U140" s="40">
        <f t="shared" si="152"/>
        <v>11</v>
      </c>
      <c r="V140" s="40">
        <f t="shared" si="152"/>
        <v>10</v>
      </c>
      <c r="W140" s="40">
        <f t="shared" si="152"/>
        <v>9</v>
      </c>
      <c r="X140" s="40">
        <f t="shared" si="152"/>
        <v>8</v>
      </c>
      <c r="Y140" s="40">
        <f t="shared" si="152"/>
        <v>7</v>
      </c>
      <c r="Z140" s="40">
        <f t="shared" si="152"/>
        <v>6</v>
      </c>
      <c r="AA140" s="40">
        <f t="shared" si="152"/>
        <v>5</v>
      </c>
      <c r="AB140" s="1"/>
      <c r="AC140" s="1"/>
      <c r="AD140" s="1"/>
      <c r="AE140" s="1"/>
      <c r="AF140" s="1"/>
    </row>
    <row r="141" ht="14.25" customHeight="1">
      <c r="C141" s="1"/>
      <c r="D141" s="1"/>
      <c r="E141" s="1"/>
      <c r="F141" s="1"/>
      <c r="G141" s="1"/>
      <c r="H141" s="42">
        <v>3.0</v>
      </c>
      <c r="I141" s="42">
        <f t="shared" ref="I141:P141" si="153">H141+1</f>
        <v>4</v>
      </c>
      <c r="J141" s="42">
        <f t="shared" si="153"/>
        <v>5</v>
      </c>
      <c r="K141" s="42">
        <f t="shared" si="153"/>
        <v>6</v>
      </c>
      <c r="L141" s="42">
        <f t="shared" si="153"/>
        <v>7</v>
      </c>
      <c r="M141" s="42">
        <f t="shared" si="153"/>
        <v>8</v>
      </c>
      <c r="N141" s="42">
        <f t="shared" si="153"/>
        <v>9</v>
      </c>
      <c r="O141" s="42">
        <f t="shared" si="153"/>
        <v>10</v>
      </c>
      <c r="P141" s="42">
        <f t="shared" si="153"/>
        <v>11</v>
      </c>
      <c r="Q141" s="42"/>
      <c r="R141" s="42"/>
      <c r="S141" s="42">
        <f>P141+3</f>
        <v>14</v>
      </c>
      <c r="T141" s="42">
        <f t="shared" ref="T141:AA141" si="154">S141+1</f>
        <v>15</v>
      </c>
      <c r="U141" s="42">
        <f t="shared" si="154"/>
        <v>16</v>
      </c>
      <c r="V141" s="42">
        <f t="shared" si="154"/>
        <v>17</v>
      </c>
      <c r="W141" s="42">
        <f t="shared" si="154"/>
        <v>18</v>
      </c>
      <c r="X141" s="42">
        <f t="shared" si="154"/>
        <v>19</v>
      </c>
      <c r="Y141" s="42">
        <f t="shared" si="154"/>
        <v>20</v>
      </c>
      <c r="Z141" s="42">
        <f t="shared" si="154"/>
        <v>21</v>
      </c>
      <c r="AA141" s="42">
        <f t="shared" si="154"/>
        <v>22</v>
      </c>
      <c r="AB141" s="1"/>
      <c r="AC141" s="1"/>
      <c r="AD141" s="1"/>
      <c r="AE141" s="1"/>
      <c r="AF141" s="1"/>
    </row>
    <row r="142" ht="27.75" customHeight="1">
      <c r="C142" s="1"/>
      <c r="D142" s="1"/>
      <c r="E142" s="1"/>
      <c r="F142" s="66" t="s">
        <v>145</v>
      </c>
      <c r="G142" s="66" t="s">
        <v>113</v>
      </c>
      <c r="H142" s="66">
        <f t="shared" ref="H142:P142" si="155">H7</f>
        <v>4</v>
      </c>
      <c r="I142" s="66">
        <f t="shared" si="155"/>
        <v>4</v>
      </c>
      <c r="J142" s="66">
        <f t="shared" si="155"/>
        <v>5</v>
      </c>
      <c r="K142" s="66">
        <f t="shared" si="155"/>
        <v>4</v>
      </c>
      <c r="L142" s="66">
        <f t="shared" si="155"/>
        <v>4</v>
      </c>
      <c r="M142" s="66">
        <f t="shared" si="155"/>
        <v>5</v>
      </c>
      <c r="N142" s="66">
        <f t="shared" si="155"/>
        <v>3</v>
      </c>
      <c r="O142" s="66">
        <f t="shared" si="155"/>
        <v>4</v>
      </c>
      <c r="P142" s="66">
        <f t="shared" si="155"/>
        <v>3</v>
      </c>
      <c r="Q142" s="10"/>
      <c r="R142" s="10"/>
      <c r="S142" s="66">
        <f t="shared" ref="S142:AA142" si="156">S7</f>
        <v>4</v>
      </c>
      <c r="T142" s="66">
        <f t="shared" si="156"/>
        <v>5</v>
      </c>
      <c r="U142" s="66">
        <f t="shared" si="156"/>
        <v>4</v>
      </c>
      <c r="V142" s="66">
        <f t="shared" si="156"/>
        <v>5</v>
      </c>
      <c r="W142" s="66">
        <f t="shared" si="156"/>
        <v>3</v>
      </c>
      <c r="X142" s="66">
        <f t="shared" si="156"/>
        <v>4</v>
      </c>
      <c r="Y142" s="66">
        <f t="shared" si="156"/>
        <v>3</v>
      </c>
      <c r="Z142" s="66">
        <f t="shared" si="156"/>
        <v>4</v>
      </c>
      <c r="AA142" s="66">
        <f t="shared" si="156"/>
        <v>5</v>
      </c>
      <c r="AB142" s="1"/>
      <c r="AC142" s="1"/>
      <c r="AD142" s="1"/>
      <c r="AE142" s="1"/>
      <c r="AF142" s="1"/>
    </row>
    <row r="143" ht="27.75" customHeight="1">
      <c r="C143" s="1"/>
      <c r="D143" s="1"/>
      <c r="E143" s="1"/>
      <c r="F143" s="66" t="s">
        <v>146</v>
      </c>
      <c r="G143" s="166" t="s">
        <v>147</v>
      </c>
      <c r="H143" s="66">
        <v>1.0</v>
      </c>
      <c r="I143" s="66">
        <v>2.0</v>
      </c>
      <c r="J143" s="66">
        <v>3.0</v>
      </c>
      <c r="K143" s="66">
        <v>4.0</v>
      </c>
      <c r="L143" s="66">
        <v>5.0</v>
      </c>
      <c r="M143" s="66">
        <v>6.0</v>
      </c>
      <c r="N143" s="66">
        <v>7.0</v>
      </c>
      <c r="O143" s="66">
        <v>8.0</v>
      </c>
      <c r="P143" s="66">
        <v>9.0</v>
      </c>
      <c r="Q143" s="10"/>
      <c r="R143" s="10"/>
      <c r="S143" s="66">
        <v>10.0</v>
      </c>
      <c r="T143" s="66">
        <v>11.0</v>
      </c>
      <c r="U143" s="66">
        <v>12.0</v>
      </c>
      <c r="V143" s="66">
        <v>13.0</v>
      </c>
      <c r="W143" s="66">
        <v>14.0</v>
      </c>
      <c r="X143" s="66">
        <v>15.0</v>
      </c>
      <c r="Y143" s="66">
        <v>16.0</v>
      </c>
      <c r="Z143" s="66">
        <v>17.0</v>
      </c>
      <c r="AA143" s="66">
        <v>18.0</v>
      </c>
      <c r="AB143" s="39"/>
      <c r="AC143" s="39"/>
      <c r="AD143" s="39"/>
      <c r="AE143" s="66" t="s">
        <v>148</v>
      </c>
      <c r="AF143" s="167">
        <f>COUNTIF(G144:G159,"Y")*SKINS</f>
        <v>280</v>
      </c>
    </row>
    <row r="144" ht="27.75" customHeight="1">
      <c r="C144" s="1"/>
      <c r="D144" s="11" t="s">
        <v>17</v>
      </c>
      <c r="E144" s="1"/>
      <c r="F144" s="168" t="str">
        <f>HANDICAPS!B8</f>
        <v>DEREK</v>
      </c>
      <c r="G144" s="75" t="s">
        <v>17</v>
      </c>
      <c r="H144" s="169">
        <f t="shared" ref="H144:P144" si="157">IFERROR(IF(VLOOKUP($F144,$F$124:$AA$139,H$141,FALSE)=0,"",VLOOKUP($F144,$F$124:$AA$139,H$141,FALSE)-IF(VLOOKUP($F144,$F$10:$AA$100,H$141,FALSE)="**",2,IF(VLOOKUP($F144,$F$10:$AA$100,H$141,FALSE)="*",1,0))),"")</f>
        <v>4</v>
      </c>
      <c r="I144" s="169">
        <f t="shared" si="157"/>
        <v>5</v>
      </c>
      <c r="J144" s="169">
        <f t="shared" si="157"/>
        <v>5</v>
      </c>
      <c r="K144" s="169">
        <f t="shared" si="157"/>
        <v>4</v>
      </c>
      <c r="L144" s="169">
        <f t="shared" si="157"/>
        <v>4</v>
      </c>
      <c r="M144" s="169">
        <f t="shared" si="157"/>
        <v>4</v>
      </c>
      <c r="N144" s="169">
        <f t="shared" si="157"/>
        <v>3</v>
      </c>
      <c r="O144" s="169">
        <f t="shared" si="157"/>
        <v>4</v>
      </c>
      <c r="P144" s="169">
        <f t="shared" si="157"/>
        <v>4</v>
      </c>
      <c r="Q144" s="51"/>
      <c r="R144" s="51"/>
      <c r="S144" s="169">
        <f t="shared" ref="S144:AA144" si="158">IFERROR(IF(VLOOKUP($F144,$F$124:$AA$139,S$141,FALSE)=0,"",VLOOKUP($F144,$F$124:$AA$139,S$141,FALSE)-IF(VLOOKUP($F144,$F$10:$AA$100,S$141,FALSE)="**",2,IF(VLOOKUP($F144,$F$10:$AA$100,S$141,FALSE)="*",1,0))),"")</f>
        <v>5</v>
      </c>
      <c r="T144" s="169">
        <f t="shared" si="158"/>
        <v>6</v>
      </c>
      <c r="U144" s="169">
        <f t="shared" si="158"/>
        <v>5</v>
      </c>
      <c r="V144" s="169">
        <f t="shared" si="158"/>
        <v>5</v>
      </c>
      <c r="W144" s="169">
        <f t="shared" si="158"/>
        <v>3</v>
      </c>
      <c r="X144" s="169">
        <f t="shared" si="158"/>
        <v>4</v>
      </c>
      <c r="Y144" s="169">
        <f t="shared" si="158"/>
        <v>3</v>
      </c>
      <c r="Z144" s="169">
        <f t="shared" si="158"/>
        <v>4</v>
      </c>
      <c r="AA144" s="169">
        <f t="shared" si="158"/>
        <v>4</v>
      </c>
      <c r="AB144" s="39"/>
      <c r="AC144" s="39"/>
      <c r="AD144" s="1"/>
      <c r="AE144" s="75" t="str">
        <f t="shared" ref="AE144:AE159" si="161">F144</f>
        <v>DEREK</v>
      </c>
      <c r="AF144" s="275">
        <f t="shared" ref="AF144:AF159" si="162">IFERROR(($AF$143/$AB$163)*COUNTIF($H$164:$AA$164,AE144),0)</f>
        <v>0</v>
      </c>
    </row>
    <row r="145" ht="27.75" customHeight="1">
      <c r="C145" s="1"/>
      <c r="D145" s="11" t="s">
        <v>18</v>
      </c>
      <c r="E145" s="1"/>
      <c r="F145" s="168" t="str">
        <f>HANDICAPS!B9</f>
        <v>SCOTT</v>
      </c>
      <c r="G145" s="75" t="s">
        <v>17</v>
      </c>
      <c r="H145" s="169">
        <f t="shared" ref="H145:P145" si="159">IFERROR(IF(VLOOKUP($F145,$F$124:$AA$139,H$141,FALSE)=0,"",VLOOKUP($F145,$F$124:$AA$139,H$141,FALSE)-IF(VLOOKUP($F145,$F$10:$AA$100,H$141,FALSE)="**",2,IF(VLOOKUP($F145,$F$10:$AA$100,H$141,FALSE)="*",1,0))),"")</f>
        <v>4</v>
      </c>
      <c r="I145" s="169">
        <f t="shared" si="159"/>
        <v>4</v>
      </c>
      <c r="J145" s="169">
        <f t="shared" si="159"/>
        <v>6</v>
      </c>
      <c r="K145" s="169">
        <f t="shared" si="159"/>
        <v>4</v>
      </c>
      <c r="L145" s="169">
        <f t="shared" si="159"/>
        <v>4</v>
      </c>
      <c r="M145" s="169">
        <f t="shared" si="159"/>
        <v>6</v>
      </c>
      <c r="N145" s="169">
        <f t="shared" si="159"/>
        <v>3</v>
      </c>
      <c r="O145" s="169">
        <f t="shared" si="159"/>
        <v>4</v>
      </c>
      <c r="P145" s="169">
        <f t="shared" si="159"/>
        <v>4</v>
      </c>
      <c r="Q145" s="51"/>
      <c r="R145" s="51"/>
      <c r="S145" s="169">
        <f t="shared" ref="S145:AA145" si="160">IFERROR(IF(VLOOKUP($F145,$F$124:$AA$139,S$141,FALSE)=0,"",VLOOKUP($F145,$F$124:$AA$139,S$141,FALSE)-IF(VLOOKUP($F145,$F$10:$AA$100,S$141,FALSE)="**",2,IF(VLOOKUP($F145,$F$10:$AA$100,S$141,FALSE)="*",1,0))),"")</f>
        <v>4</v>
      </c>
      <c r="T145" s="169">
        <f t="shared" si="160"/>
        <v>5</v>
      </c>
      <c r="U145" s="169">
        <f t="shared" si="160"/>
        <v>4</v>
      </c>
      <c r="V145" s="169">
        <f t="shared" si="160"/>
        <v>5</v>
      </c>
      <c r="W145" s="169">
        <f t="shared" si="160"/>
        <v>3</v>
      </c>
      <c r="X145" s="169">
        <f t="shared" si="160"/>
        <v>3</v>
      </c>
      <c r="Y145" s="169">
        <f t="shared" si="160"/>
        <v>3</v>
      </c>
      <c r="Z145" s="169">
        <f t="shared" si="160"/>
        <v>5</v>
      </c>
      <c r="AA145" s="169">
        <f t="shared" si="160"/>
        <v>5</v>
      </c>
      <c r="AB145" s="39"/>
      <c r="AC145" s="39"/>
      <c r="AD145" s="1"/>
      <c r="AE145" s="171" t="str">
        <f t="shared" si="161"/>
        <v>SCOTT</v>
      </c>
      <c r="AF145" s="172">
        <f t="shared" si="162"/>
        <v>0</v>
      </c>
    </row>
    <row r="146" ht="27.75" customHeight="1">
      <c r="C146" s="1"/>
      <c r="D146" s="1"/>
      <c r="E146" s="1"/>
      <c r="F146" s="168" t="str">
        <f>HANDICAPS!B10</f>
        <v>WAYS</v>
      </c>
      <c r="G146" s="75" t="s">
        <v>17</v>
      </c>
      <c r="H146" s="169">
        <f t="shared" ref="H146:P146" si="163">IFERROR(IF(VLOOKUP($F146,$F$124:$AA$139,H$141,FALSE)=0,"",VLOOKUP($F146,$F$124:$AA$139,H$141,FALSE)-IF(VLOOKUP($F146,$F$10:$AA$100,H$141,FALSE)="**",2,IF(VLOOKUP($F146,$F$10:$AA$100,H$141,FALSE)="*",1,0))),"")</f>
        <v>5</v>
      </c>
      <c r="I146" s="169">
        <f t="shared" si="163"/>
        <v>5</v>
      </c>
      <c r="J146" s="169">
        <f t="shared" si="163"/>
        <v>5</v>
      </c>
      <c r="K146" s="169">
        <f t="shared" si="163"/>
        <v>4</v>
      </c>
      <c r="L146" s="169">
        <f t="shared" si="163"/>
        <v>5</v>
      </c>
      <c r="M146" s="169">
        <f t="shared" si="163"/>
        <v>6</v>
      </c>
      <c r="N146" s="169">
        <f t="shared" si="163"/>
        <v>4</v>
      </c>
      <c r="O146" s="169">
        <f t="shared" si="163"/>
        <v>5</v>
      </c>
      <c r="P146" s="169">
        <f t="shared" si="163"/>
        <v>3</v>
      </c>
      <c r="Q146" s="51"/>
      <c r="R146" s="51"/>
      <c r="S146" s="169">
        <f t="shared" ref="S146:AA146" si="164">IFERROR(IF(VLOOKUP($F146,$F$124:$AA$139,S$141,FALSE)=0,"",VLOOKUP($F146,$F$124:$AA$139,S$141,FALSE)-IF(VLOOKUP($F146,$F$10:$AA$100,S$141,FALSE)="**",2,IF(VLOOKUP($F146,$F$10:$AA$100,S$141,FALSE)="*",1,0))),"")</f>
        <v>4</v>
      </c>
      <c r="T146" s="169">
        <f t="shared" si="164"/>
        <v>4</v>
      </c>
      <c r="U146" s="169">
        <f t="shared" si="164"/>
        <v>5</v>
      </c>
      <c r="V146" s="169">
        <f t="shared" si="164"/>
        <v>5</v>
      </c>
      <c r="W146" s="169">
        <f t="shared" si="164"/>
        <v>4</v>
      </c>
      <c r="X146" s="169">
        <f t="shared" si="164"/>
        <v>5</v>
      </c>
      <c r="Y146" s="169">
        <f t="shared" si="164"/>
        <v>4</v>
      </c>
      <c r="Z146" s="169">
        <f t="shared" si="164"/>
        <v>4</v>
      </c>
      <c r="AA146" s="169">
        <f t="shared" si="164"/>
        <v>4</v>
      </c>
      <c r="AB146" s="39"/>
      <c r="AC146" s="39"/>
      <c r="AD146" s="1"/>
      <c r="AE146" s="173" t="str">
        <f t="shared" si="161"/>
        <v>WAYS</v>
      </c>
      <c r="AF146" s="170">
        <f t="shared" si="162"/>
        <v>0</v>
      </c>
    </row>
    <row r="147" ht="27.75" customHeight="1">
      <c r="C147" s="1"/>
      <c r="D147" s="1"/>
      <c r="E147" s="1"/>
      <c r="F147" s="168" t="str">
        <f>HANDICAPS!B11</f>
        <v>BEN</v>
      </c>
      <c r="G147" s="75" t="s">
        <v>17</v>
      </c>
      <c r="H147" s="169">
        <f t="shared" ref="H147:P147" si="165">IFERROR(IF(VLOOKUP($F147,$F$124:$AA$139,H$141,FALSE)=0,"",VLOOKUP($F147,$F$124:$AA$139,H$141,FALSE)-IF(VLOOKUP($F147,$F$10:$AA$100,H$141,FALSE)="**",2,IF(VLOOKUP($F147,$F$10:$AA$100,H$141,FALSE)="*",1,0))),"")</f>
        <v>4</v>
      </c>
      <c r="I147" s="169">
        <f t="shared" si="165"/>
        <v>5</v>
      </c>
      <c r="J147" s="169">
        <f t="shared" si="165"/>
        <v>4</v>
      </c>
      <c r="K147" s="169">
        <f t="shared" si="165"/>
        <v>3</v>
      </c>
      <c r="L147" s="169">
        <f t="shared" si="165"/>
        <v>4</v>
      </c>
      <c r="M147" s="169">
        <f t="shared" si="165"/>
        <v>7</v>
      </c>
      <c r="N147" s="169">
        <f t="shared" si="165"/>
        <v>3</v>
      </c>
      <c r="O147" s="169">
        <f t="shared" si="165"/>
        <v>3</v>
      </c>
      <c r="P147" s="169">
        <f t="shared" si="165"/>
        <v>4</v>
      </c>
      <c r="Q147" s="51"/>
      <c r="R147" s="51"/>
      <c r="S147" s="169">
        <f t="shared" ref="S147:AA147" si="166">IFERROR(IF(VLOOKUP($F147,$F$124:$AA$139,S$141,FALSE)=0,"",VLOOKUP($F147,$F$124:$AA$139,S$141,FALSE)-IF(VLOOKUP($F147,$F$10:$AA$100,S$141,FALSE)="**",2,IF(VLOOKUP($F147,$F$10:$AA$100,S$141,FALSE)="*",1,0))),"")</f>
        <v>6</v>
      </c>
      <c r="T147" s="169">
        <f t="shared" si="166"/>
        <v>4</v>
      </c>
      <c r="U147" s="169">
        <f t="shared" si="166"/>
        <v>4</v>
      </c>
      <c r="V147" s="169">
        <f t="shared" si="166"/>
        <v>4</v>
      </c>
      <c r="W147" s="169">
        <f t="shared" si="166"/>
        <v>4</v>
      </c>
      <c r="X147" s="169">
        <f t="shared" si="166"/>
        <v>4</v>
      </c>
      <c r="Y147" s="169">
        <f t="shared" si="166"/>
        <v>4</v>
      </c>
      <c r="Z147" s="169">
        <f t="shared" si="166"/>
        <v>4</v>
      </c>
      <c r="AA147" s="169">
        <f t="shared" si="166"/>
        <v>5</v>
      </c>
      <c r="AB147" s="39"/>
      <c r="AC147" s="39"/>
      <c r="AD147" s="1"/>
      <c r="AE147" s="173" t="str">
        <f t="shared" si="161"/>
        <v>BEN</v>
      </c>
      <c r="AF147" s="170">
        <f t="shared" si="162"/>
        <v>56</v>
      </c>
    </row>
    <row r="148" ht="27.75" customHeight="1">
      <c r="C148" s="1"/>
      <c r="D148" s="1"/>
      <c r="E148" s="1"/>
      <c r="F148" s="168" t="str">
        <f>HANDICAPS!B12</f>
        <v>DANNY</v>
      </c>
      <c r="G148" s="75" t="s">
        <v>17</v>
      </c>
      <c r="H148" s="169">
        <f t="shared" ref="H148:P148" si="167">IFERROR(IF(VLOOKUP($F148,$F$124:$AA$139,H$141,FALSE)=0,"",VLOOKUP($F148,$F$124:$AA$139,H$141,FALSE)-IF(VLOOKUP($F148,$F$10:$AA$100,H$141,FALSE)="**",2,IF(VLOOKUP($F148,$F$10:$AA$100,H$141,FALSE)="*",1,0))),"")</f>
        <v>4</v>
      </c>
      <c r="I148" s="169">
        <f t="shared" si="167"/>
        <v>5</v>
      </c>
      <c r="J148" s="169">
        <f t="shared" si="167"/>
        <v>4</v>
      </c>
      <c r="K148" s="169">
        <f t="shared" si="167"/>
        <v>4</v>
      </c>
      <c r="L148" s="169">
        <f t="shared" si="167"/>
        <v>4</v>
      </c>
      <c r="M148" s="169">
        <f t="shared" si="167"/>
        <v>4</v>
      </c>
      <c r="N148" s="169">
        <f t="shared" si="167"/>
        <v>3</v>
      </c>
      <c r="O148" s="169">
        <f t="shared" si="167"/>
        <v>3</v>
      </c>
      <c r="P148" s="169">
        <f t="shared" si="167"/>
        <v>4</v>
      </c>
      <c r="Q148" s="51"/>
      <c r="R148" s="51"/>
      <c r="S148" s="169">
        <f t="shared" ref="S148:AA148" si="168">IFERROR(IF(VLOOKUP($F148,$F$124:$AA$139,S$141,FALSE)=0,"",VLOOKUP($F148,$F$124:$AA$139,S$141,FALSE)-IF(VLOOKUP($F148,$F$10:$AA$100,S$141,FALSE)="**",2,IF(VLOOKUP($F148,$F$10:$AA$100,S$141,FALSE)="*",1,0))),"")</f>
        <v>5</v>
      </c>
      <c r="T148" s="169">
        <f t="shared" si="168"/>
        <v>5</v>
      </c>
      <c r="U148" s="169">
        <f t="shared" si="168"/>
        <v>5</v>
      </c>
      <c r="V148" s="169">
        <f t="shared" si="168"/>
        <v>6</v>
      </c>
      <c r="W148" s="169">
        <f t="shared" si="168"/>
        <v>4</v>
      </c>
      <c r="X148" s="169">
        <f t="shared" si="168"/>
        <v>3</v>
      </c>
      <c r="Y148" s="169">
        <f t="shared" si="168"/>
        <v>4</v>
      </c>
      <c r="Z148" s="169">
        <f t="shared" si="168"/>
        <v>4</v>
      </c>
      <c r="AA148" s="169">
        <f t="shared" si="168"/>
        <v>4</v>
      </c>
      <c r="AB148" s="39"/>
      <c r="AC148" s="39"/>
      <c r="AD148" s="1"/>
      <c r="AE148" s="173" t="str">
        <f t="shared" si="161"/>
        <v>DANNY</v>
      </c>
      <c r="AF148" s="170">
        <f t="shared" si="162"/>
        <v>0</v>
      </c>
    </row>
    <row r="149" ht="27.75" customHeight="1">
      <c r="C149" s="1"/>
      <c r="D149" s="1"/>
      <c r="E149" s="1"/>
      <c r="F149" s="168" t="str">
        <f>HANDICAPS!B13</f>
        <v>ZACH</v>
      </c>
      <c r="G149" s="75" t="s">
        <v>17</v>
      </c>
      <c r="H149" s="169">
        <f t="shared" ref="H149:P149" si="169">IFERROR(IF(VLOOKUP($F149,$F$124:$AA$139,H$141,FALSE)=0,"",VLOOKUP($F149,$F$124:$AA$139,H$141,FALSE)-IF(VLOOKUP($F149,$F$10:$AA$100,H$141,FALSE)="**",2,IF(VLOOKUP($F149,$F$10:$AA$100,H$141,FALSE)="*",1,0))),"")</f>
        <v>5</v>
      </c>
      <c r="I149" s="169">
        <f t="shared" si="169"/>
        <v>5</v>
      </c>
      <c r="J149" s="169">
        <f t="shared" si="169"/>
        <v>4</v>
      </c>
      <c r="K149" s="169">
        <f t="shared" si="169"/>
        <v>5</v>
      </c>
      <c r="L149" s="169">
        <f t="shared" si="169"/>
        <v>4</v>
      </c>
      <c r="M149" s="169">
        <f t="shared" si="169"/>
        <v>6</v>
      </c>
      <c r="N149" s="169">
        <f t="shared" si="169"/>
        <v>3</v>
      </c>
      <c r="O149" s="169">
        <f t="shared" si="169"/>
        <v>4</v>
      </c>
      <c r="P149" s="169">
        <f t="shared" si="169"/>
        <v>4</v>
      </c>
      <c r="Q149" s="51"/>
      <c r="R149" s="51"/>
      <c r="S149" s="169">
        <f t="shared" ref="S149:AA149" si="170">IFERROR(IF(VLOOKUP($F149,$F$124:$AA$139,S$141,FALSE)=0,"",VLOOKUP($F149,$F$124:$AA$139,S$141,FALSE)-IF(VLOOKUP($F149,$F$10:$AA$100,S$141,FALSE)="**",2,IF(VLOOKUP($F149,$F$10:$AA$100,S$141,FALSE)="*",1,0))),"")</f>
        <v>5</v>
      </c>
      <c r="T149" s="169">
        <f t="shared" si="170"/>
        <v>5</v>
      </c>
      <c r="U149" s="169">
        <f t="shared" si="170"/>
        <v>4</v>
      </c>
      <c r="V149" s="169">
        <f t="shared" si="170"/>
        <v>5</v>
      </c>
      <c r="W149" s="169">
        <f t="shared" si="170"/>
        <v>5</v>
      </c>
      <c r="X149" s="169">
        <f t="shared" si="170"/>
        <v>4</v>
      </c>
      <c r="Y149" s="169">
        <f t="shared" si="170"/>
        <v>2</v>
      </c>
      <c r="Z149" s="169">
        <f t="shared" si="170"/>
        <v>4</v>
      </c>
      <c r="AA149" s="169">
        <f t="shared" si="170"/>
        <v>6</v>
      </c>
      <c r="AB149" s="39"/>
      <c r="AC149" s="39"/>
      <c r="AD149" s="1"/>
      <c r="AE149" s="173" t="str">
        <f t="shared" si="161"/>
        <v>ZACH</v>
      </c>
      <c r="AF149" s="170">
        <f t="shared" si="162"/>
        <v>56</v>
      </c>
    </row>
    <row r="150" ht="27.75" customHeight="1">
      <c r="C150" s="1"/>
      <c r="D150" s="1"/>
      <c r="E150" s="1"/>
      <c r="F150" s="168" t="str">
        <f>HANDICAPS!B14</f>
        <v>SLICK</v>
      </c>
      <c r="G150" s="75" t="s">
        <v>17</v>
      </c>
      <c r="H150" s="169">
        <f t="shared" ref="H150:P150" si="171">IFERROR(IF(VLOOKUP($F150,$F$124:$AA$139,H$141,FALSE)=0,"",VLOOKUP($F150,$F$124:$AA$139,H$141,FALSE)-IF(VLOOKUP($F150,$F$10:$AA$100,H$141,FALSE)="**",2,IF(VLOOKUP($F150,$F$10:$AA$100,H$141,FALSE)="*",1,0))),"")</f>
        <v>4</v>
      </c>
      <c r="I150" s="169">
        <f t="shared" si="171"/>
        <v>6</v>
      </c>
      <c r="J150" s="169">
        <f t="shared" si="171"/>
        <v>4</v>
      </c>
      <c r="K150" s="169">
        <f t="shared" si="171"/>
        <v>6</v>
      </c>
      <c r="L150" s="169">
        <f t="shared" si="171"/>
        <v>4</v>
      </c>
      <c r="M150" s="169">
        <f t="shared" si="171"/>
        <v>6</v>
      </c>
      <c r="N150" s="169">
        <f t="shared" si="171"/>
        <v>4</v>
      </c>
      <c r="O150" s="169">
        <f t="shared" si="171"/>
        <v>3</v>
      </c>
      <c r="P150" s="169">
        <f t="shared" si="171"/>
        <v>3</v>
      </c>
      <c r="Q150" s="190"/>
      <c r="R150" s="51"/>
      <c r="S150" s="169">
        <f t="shared" ref="S150:AA150" si="172">IFERROR(IF(VLOOKUP($F150,$F$124:$AA$139,S$141,FALSE)=0,"",VLOOKUP($F150,$F$124:$AA$139,S$141,FALSE)-IF(VLOOKUP($F150,$F$10:$AA$100,S$141,FALSE)="**",2,IF(VLOOKUP($F150,$F$10:$AA$100,S$141,FALSE)="*",1,0))),"")</f>
        <v>4</v>
      </c>
      <c r="T150" s="169">
        <f t="shared" si="172"/>
        <v>4</v>
      </c>
      <c r="U150" s="169">
        <f t="shared" si="172"/>
        <v>4</v>
      </c>
      <c r="V150" s="169">
        <f t="shared" si="172"/>
        <v>5</v>
      </c>
      <c r="W150" s="169">
        <f t="shared" si="172"/>
        <v>4</v>
      </c>
      <c r="X150" s="169">
        <f t="shared" si="172"/>
        <v>5</v>
      </c>
      <c r="Y150" s="169">
        <f t="shared" si="172"/>
        <v>4</v>
      </c>
      <c r="Z150" s="169">
        <f t="shared" si="172"/>
        <v>3</v>
      </c>
      <c r="AA150" s="169">
        <f t="shared" si="172"/>
        <v>6</v>
      </c>
      <c r="AB150" s="39"/>
      <c r="AC150" s="39"/>
      <c r="AD150" s="1"/>
      <c r="AE150" s="173" t="str">
        <f t="shared" si="161"/>
        <v>SLICK</v>
      </c>
      <c r="AF150" s="170">
        <f t="shared" si="162"/>
        <v>0</v>
      </c>
    </row>
    <row r="151" ht="27.75" customHeight="1">
      <c r="C151" s="1"/>
      <c r="D151" s="1"/>
      <c r="E151" s="1"/>
      <c r="F151" s="168" t="str">
        <f>HANDICAPS!B15</f>
        <v>PAXTON</v>
      </c>
      <c r="G151" s="75" t="s">
        <v>17</v>
      </c>
      <c r="H151" s="169">
        <f t="shared" ref="H151:P151" si="173">IFERROR(IF(VLOOKUP($F151,$F$124:$AA$139,H$141,FALSE)=0,"",VLOOKUP($F151,$F$124:$AA$139,H$141,FALSE)-IF(VLOOKUP($F151,$F$10:$AA$100,H$141,FALSE)="**",2,IF(VLOOKUP($F151,$F$10:$AA$100,H$141,FALSE)="*",1,0))),"")</f>
        <v>6</v>
      </c>
      <c r="I151" s="169">
        <f t="shared" si="173"/>
        <v>7</v>
      </c>
      <c r="J151" s="169">
        <f t="shared" si="173"/>
        <v>7</v>
      </c>
      <c r="K151" s="169">
        <f t="shared" si="173"/>
        <v>3</v>
      </c>
      <c r="L151" s="169">
        <f t="shared" si="173"/>
        <v>4</v>
      </c>
      <c r="M151" s="169">
        <f t="shared" si="173"/>
        <v>5</v>
      </c>
      <c r="N151" s="169">
        <f t="shared" si="173"/>
        <v>4</v>
      </c>
      <c r="O151" s="169">
        <f t="shared" si="173"/>
        <v>3</v>
      </c>
      <c r="P151" s="169">
        <f t="shared" si="173"/>
        <v>4</v>
      </c>
      <c r="Q151" s="51"/>
      <c r="R151" s="51"/>
      <c r="S151" s="169">
        <f t="shared" ref="S151:AA151" si="174">IFERROR(IF(VLOOKUP($F151,$F$124:$AA$139,S$141,FALSE)=0,"",VLOOKUP($F151,$F$124:$AA$139,S$141,FALSE)-IF(VLOOKUP($F151,$F$10:$AA$100,S$141,FALSE)="**",2,IF(VLOOKUP($F151,$F$10:$AA$100,S$141,FALSE)="*",1,0))),"")</f>
        <v>5</v>
      </c>
      <c r="T151" s="169">
        <f t="shared" si="174"/>
        <v>4</v>
      </c>
      <c r="U151" s="169">
        <f t="shared" si="174"/>
        <v>5</v>
      </c>
      <c r="V151" s="169">
        <f t="shared" si="174"/>
        <v>6</v>
      </c>
      <c r="W151" s="169">
        <f t="shared" si="174"/>
        <v>2</v>
      </c>
      <c r="X151" s="169">
        <f t="shared" si="174"/>
        <v>4</v>
      </c>
      <c r="Y151" s="169">
        <f t="shared" si="174"/>
        <v>4</v>
      </c>
      <c r="Z151" s="169">
        <f t="shared" si="174"/>
        <v>4</v>
      </c>
      <c r="AA151" s="169">
        <f t="shared" si="174"/>
        <v>5</v>
      </c>
      <c r="AB151" s="39"/>
      <c r="AC151" s="39"/>
      <c r="AD151" s="1"/>
      <c r="AE151" s="173" t="str">
        <f t="shared" si="161"/>
        <v>PAXTON</v>
      </c>
      <c r="AF151" s="170">
        <f t="shared" si="162"/>
        <v>56</v>
      </c>
    </row>
    <row r="152" ht="27.75" customHeight="1">
      <c r="C152" s="1"/>
      <c r="D152" s="1"/>
      <c r="E152" s="1"/>
      <c r="F152" s="168" t="str">
        <f>HANDICAPS!B16</f>
        <v>DYLAN</v>
      </c>
      <c r="G152" s="75" t="s">
        <v>17</v>
      </c>
      <c r="H152" s="169">
        <f t="shared" ref="H152:P152" si="175">IFERROR(IF(VLOOKUP($F152,$F$124:$AA$139,H$141,FALSE)=0,"",VLOOKUP($F152,$F$124:$AA$139,H$141,FALSE)-IF(VLOOKUP($F152,$F$10:$AA$100,H$141,FALSE)="**",2,IF(VLOOKUP($F152,$F$10:$AA$100,H$141,FALSE)="*",1,0))),"")</f>
        <v>3</v>
      </c>
      <c r="I152" s="169">
        <f t="shared" si="175"/>
        <v>5</v>
      </c>
      <c r="J152" s="169">
        <f t="shared" si="175"/>
        <v>5</v>
      </c>
      <c r="K152" s="169">
        <f t="shared" si="175"/>
        <v>6</v>
      </c>
      <c r="L152" s="169">
        <f t="shared" si="175"/>
        <v>5</v>
      </c>
      <c r="M152" s="169">
        <f t="shared" si="175"/>
        <v>7</v>
      </c>
      <c r="N152" s="169">
        <f t="shared" si="175"/>
        <v>4</v>
      </c>
      <c r="O152" s="169">
        <f t="shared" si="175"/>
        <v>4</v>
      </c>
      <c r="P152" s="169">
        <f t="shared" si="175"/>
        <v>4</v>
      </c>
      <c r="Q152" s="51"/>
      <c r="R152" s="51"/>
      <c r="S152" s="169">
        <f t="shared" ref="S152:AA152" si="176">IFERROR(IF(VLOOKUP($F152,$F$124:$AA$139,S$141,FALSE)=0,"",VLOOKUP($F152,$F$124:$AA$139,S$141,FALSE)-IF(VLOOKUP($F152,$F$10:$AA$100,S$141,FALSE)="**",2,IF(VLOOKUP($F152,$F$10:$AA$100,S$141,FALSE)="*",1,0))),"")</f>
        <v>5</v>
      </c>
      <c r="T152" s="169">
        <f t="shared" si="176"/>
        <v>5</v>
      </c>
      <c r="U152" s="169">
        <f t="shared" si="176"/>
        <v>4</v>
      </c>
      <c r="V152" s="169">
        <f t="shared" si="176"/>
        <v>5</v>
      </c>
      <c r="W152" s="169">
        <f t="shared" si="176"/>
        <v>4</v>
      </c>
      <c r="X152" s="169">
        <f t="shared" si="176"/>
        <v>4</v>
      </c>
      <c r="Y152" s="169">
        <f t="shared" si="176"/>
        <v>4</v>
      </c>
      <c r="Z152" s="169">
        <f t="shared" si="176"/>
        <v>4</v>
      </c>
      <c r="AA152" s="169">
        <f t="shared" si="176"/>
        <v>5</v>
      </c>
      <c r="AB152" s="39"/>
      <c r="AC152" s="39"/>
      <c r="AD152" s="1"/>
      <c r="AE152" s="173" t="str">
        <f t="shared" si="161"/>
        <v>DYLAN</v>
      </c>
      <c r="AF152" s="170">
        <f t="shared" si="162"/>
        <v>0</v>
      </c>
    </row>
    <row r="153" ht="27.75" customHeight="1">
      <c r="C153" s="1"/>
      <c r="D153" s="1"/>
      <c r="E153" s="1"/>
      <c r="F153" s="168" t="str">
        <f>HANDICAPS!B17</f>
        <v>TOM</v>
      </c>
      <c r="G153" s="75" t="s">
        <v>17</v>
      </c>
      <c r="H153" s="169">
        <f t="shared" ref="H153:P153" si="177">IFERROR(IF(VLOOKUP($F153,$F$124:$AA$139,H$141,FALSE)=0,"",VLOOKUP($F153,$F$124:$AA$139,H$141,FALSE)-IF(VLOOKUP($F153,$F$10:$AA$100,H$141,FALSE)="**",2,IF(VLOOKUP($F153,$F$10:$AA$100,H$141,FALSE)="*",1,0))),"")</f>
        <v>3</v>
      </c>
      <c r="I153" s="169">
        <f t="shared" si="177"/>
        <v>4</v>
      </c>
      <c r="J153" s="169">
        <f t="shared" si="177"/>
        <v>5</v>
      </c>
      <c r="K153" s="169">
        <f t="shared" si="177"/>
        <v>4</v>
      </c>
      <c r="L153" s="169">
        <f t="shared" si="177"/>
        <v>4</v>
      </c>
      <c r="M153" s="169">
        <f t="shared" si="177"/>
        <v>5</v>
      </c>
      <c r="N153" s="169">
        <f t="shared" si="177"/>
        <v>5</v>
      </c>
      <c r="O153" s="169">
        <f t="shared" si="177"/>
        <v>3</v>
      </c>
      <c r="P153" s="169">
        <f t="shared" si="177"/>
        <v>5</v>
      </c>
      <c r="Q153" s="51"/>
      <c r="R153" s="51"/>
      <c r="S153" s="169">
        <f t="shared" ref="S153:AA153" si="178">IFERROR(IF(VLOOKUP($F153,$F$124:$AA$139,S$141,FALSE)=0,"",VLOOKUP($F153,$F$124:$AA$139,S$141,FALSE)-IF(VLOOKUP($F153,$F$10:$AA$100,S$141,FALSE)="**",2,IF(VLOOKUP($F153,$F$10:$AA$100,S$141,FALSE)="*",1,0))),"")</f>
        <v>6</v>
      </c>
      <c r="T153" s="169">
        <f t="shared" si="178"/>
        <v>6</v>
      </c>
      <c r="U153" s="169">
        <f t="shared" si="178"/>
        <v>3</v>
      </c>
      <c r="V153" s="169">
        <f t="shared" si="178"/>
        <v>7</v>
      </c>
      <c r="W153" s="169">
        <f t="shared" si="178"/>
        <v>3</v>
      </c>
      <c r="X153" s="169">
        <f t="shared" si="178"/>
        <v>4</v>
      </c>
      <c r="Y153" s="169">
        <f t="shared" si="178"/>
        <v>4</v>
      </c>
      <c r="Z153" s="169">
        <f t="shared" si="178"/>
        <v>3</v>
      </c>
      <c r="AA153" s="169">
        <f t="shared" si="178"/>
        <v>5</v>
      </c>
      <c r="AB153" s="39"/>
      <c r="AC153" s="39"/>
      <c r="AD153" s="1"/>
      <c r="AE153" s="173" t="str">
        <f t="shared" si="161"/>
        <v>TOM</v>
      </c>
      <c r="AF153" s="170">
        <f t="shared" si="162"/>
        <v>56</v>
      </c>
    </row>
    <row r="154" ht="27.75" customHeight="1">
      <c r="C154" s="1"/>
      <c r="D154" s="1"/>
      <c r="E154" s="1"/>
      <c r="F154" s="168" t="str">
        <f>HANDICAPS!B18</f>
        <v>ERIC</v>
      </c>
      <c r="G154" s="174" t="s">
        <v>18</v>
      </c>
      <c r="H154" s="169"/>
      <c r="I154" s="169"/>
      <c r="J154" s="169"/>
      <c r="K154" s="169"/>
      <c r="L154" s="169"/>
      <c r="M154" s="169"/>
      <c r="N154" s="169"/>
      <c r="O154" s="169"/>
      <c r="P154" s="169"/>
      <c r="Q154" s="51"/>
      <c r="R154" s="51"/>
      <c r="S154" s="169"/>
      <c r="T154" s="169"/>
      <c r="U154" s="169"/>
      <c r="V154" s="169"/>
      <c r="W154" s="169"/>
      <c r="X154" s="169"/>
      <c r="Y154" s="169"/>
      <c r="Z154" s="169"/>
      <c r="AA154" s="169"/>
      <c r="AB154" s="39"/>
      <c r="AC154" s="39"/>
      <c r="AD154" s="1"/>
      <c r="AE154" s="173" t="str">
        <f t="shared" si="161"/>
        <v>ERIC</v>
      </c>
      <c r="AF154" s="170">
        <f t="shared" si="162"/>
        <v>0</v>
      </c>
    </row>
    <row r="155" ht="27.75" customHeight="1">
      <c r="C155" s="1"/>
      <c r="D155" s="1"/>
      <c r="E155" s="1"/>
      <c r="F155" s="168" t="str">
        <f>HANDICAPS!B19</f>
        <v>MAX</v>
      </c>
      <c r="G155" s="75" t="s">
        <v>17</v>
      </c>
      <c r="H155" s="169">
        <f t="shared" ref="H155:P155" si="179">IFERROR(IF(VLOOKUP($F155,$F$124:$AA$139,H$141,FALSE)=0,"",VLOOKUP($F155,$F$124:$AA$139,H$141,FALSE)-IF(VLOOKUP($F155,$F$10:$AA$100,H$141,FALSE)="**",2,IF(VLOOKUP($F155,$F$10:$AA$100,H$141,FALSE)="*",1,0))),"")</f>
        <v>3</v>
      </c>
      <c r="I155" s="169">
        <f t="shared" si="179"/>
        <v>4</v>
      </c>
      <c r="J155" s="169">
        <f t="shared" si="179"/>
        <v>5</v>
      </c>
      <c r="K155" s="169">
        <f t="shared" si="179"/>
        <v>3</v>
      </c>
      <c r="L155" s="169">
        <f t="shared" si="179"/>
        <v>4</v>
      </c>
      <c r="M155" s="169">
        <f t="shared" si="179"/>
        <v>5</v>
      </c>
      <c r="N155" s="169">
        <f t="shared" si="179"/>
        <v>4</v>
      </c>
      <c r="O155" s="169">
        <f t="shared" si="179"/>
        <v>4</v>
      </c>
      <c r="P155" s="169">
        <f t="shared" si="179"/>
        <v>3</v>
      </c>
      <c r="Q155" s="51"/>
      <c r="R155" s="51"/>
      <c r="S155" s="169">
        <f t="shared" ref="S155:AA155" si="180">IFERROR(IF(VLOOKUP($F155,$F$124:$AA$139,S$141,FALSE)=0,"",VLOOKUP($F155,$F$124:$AA$139,S$141,FALSE)-IF(VLOOKUP($F155,$F$10:$AA$100,S$141,FALSE)="**",2,IF(VLOOKUP($F155,$F$10:$AA$100,S$141,FALSE)="*",1,0))),"")</f>
        <v>5</v>
      </c>
      <c r="T155" s="169">
        <f t="shared" si="180"/>
        <v>5</v>
      </c>
      <c r="U155" s="169">
        <f t="shared" si="180"/>
        <v>4</v>
      </c>
      <c r="V155" s="169">
        <f t="shared" si="180"/>
        <v>5</v>
      </c>
      <c r="W155" s="169">
        <f t="shared" si="180"/>
        <v>4</v>
      </c>
      <c r="X155" s="169">
        <f t="shared" si="180"/>
        <v>3</v>
      </c>
      <c r="Y155" s="169">
        <f t="shared" si="180"/>
        <v>3</v>
      </c>
      <c r="Z155" s="169">
        <f t="shared" si="180"/>
        <v>3</v>
      </c>
      <c r="AA155" s="169">
        <f t="shared" si="180"/>
        <v>4</v>
      </c>
      <c r="AB155" s="39"/>
      <c r="AC155" s="39"/>
      <c r="AD155" s="1"/>
      <c r="AE155" s="173" t="str">
        <f t="shared" si="161"/>
        <v>MAX</v>
      </c>
      <c r="AF155" s="170">
        <f t="shared" si="162"/>
        <v>0</v>
      </c>
    </row>
    <row r="156" ht="27.75" customHeight="1">
      <c r="C156" s="1"/>
      <c r="D156" s="1"/>
      <c r="E156" s="1"/>
      <c r="F156" s="168" t="str">
        <f>HANDICAPS!B20</f>
        <v>KIP</v>
      </c>
      <c r="G156" s="75" t="s">
        <v>17</v>
      </c>
      <c r="H156" s="169">
        <f t="shared" ref="H156:P156" si="181">IFERROR(IF(VLOOKUP($F156,$F$124:$AA$139,H$141,FALSE)=0,"",VLOOKUP($F156,$F$124:$AA$139,H$141,FALSE)-IF(VLOOKUP($F156,$F$10:$AA$100,H$141,FALSE)="**",2,IF(VLOOKUP($F156,$F$10:$AA$100,H$141,FALSE)="*",1,0))),"")</f>
        <v>3</v>
      </c>
      <c r="I156" s="169">
        <f t="shared" si="181"/>
        <v>5</v>
      </c>
      <c r="J156" s="169">
        <f t="shared" si="181"/>
        <v>7</v>
      </c>
      <c r="K156" s="169">
        <f t="shared" si="181"/>
        <v>7</v>
      </c>
      <c r="L156" s="169">
        <f t="shared" si="181"/>
        <v>6</v>
      </c>
      <c r="M156" s="169">
        <f t="shared" si="181"/>
        <v>6</v>
      </c>
      <c r="N156" s="169">
        <f t="shared" si="181"/>
        <v>5</v>
      </c>
      <c r="O156" s="169">
        <f t="shared" si="181"/>
        <v>7</v>
      </c>
      <c r="P156" s="169">
        <f t="shared" si="181"/>
        <v>4</v>
      </c>
      <c r="Q156" s="51"/>
      <c r="R156" s="51"/>
      <c r="S156" s="169">
        <f t="shared" ref="S156:AA156" si="182">IFERROR(IF(VLOOKUP($F156,$F$124:$AA$139,S$141,FALSE)=0,"",VLOOKUP($F156,$F$124:$AA$139,S$141,FALSE)-IF(VLOOKUP($F156,$F$10:$AA$100,S$141,FALSE)="**",2,IF(VLOOKUP($F156,$F$10:$AA$100,S$141,FALSE)="*",1,0))),"")</f>
        <v>7</v>
      </c>
      <c r="T156" s="169">
        <f t="shared" si="182"/>
        <v>6</v>
      </c>
      <c r="U156" s="169">
        <f t="shared" si="182"/>
        <v>7</v>
      </c>
      <c r="V156" s="169">
        <f t="shared" si="182"/>
        <v>7</v>
      </c>
      <c r="W156" s="169">
        <f t="shared" si="182"/>
        <v>3</v>
      </c>
      <c r="X156" s="169">
        <f t="shared" si="182"/>
        <v>6</v>
      </c>
      <c r="Y156" s="169">
        <f t="shared" si="182"/>
        <v>3</v>
      </c>
      <c r="Z156" s="169">
        <f t="shared" si="182"/>
        <v>7</v>
      </c>
      <c r="AA156" s="169">
        <f t="shared" si="182"/>
        <v>5</v>
      </c>
      <c r="AB156" s="39"/>
      <c r="AC156" s="39"/>
      <c r="AD156" s="1"/>
      <c r="AE156" s="173" t="str">
        <f t="shared" si="161"/>
        <v>KIP</v>
      </c>
      <c r="AF156" s="170">
        <f t="shared" si="162"/>
        <v>0</v>
      </c>
    </row>
    <row r="157" ht="27.75" customHeight="1">
      <c r="C157" s="1"/>
      <c r="D157" s="1"/>
      <c r="E157" s="1"/>
      <c r="F157" s="168" t="str">
        <f>HANDICAPS!B21</f>
        <v>SHEPP</v>
      </c>
      <c r="G157" s="75" t="s">
        <v>17</v>
      </c>
      <c r="H157" s="169">
        <f t="shared" ref="H157:P157" si="183">IFERROR(IF(VLOOKUP($F157,$F$124:$AA$139,H$141,FALSE)=0,"",VLOOKUP($F157,$F$124:$AA$139,H$141,FALSE)-IF(VLOOKUP($F157,$F$10:$AA$100,H$141,FALSE)="**",2,IF(VLOOKUP($F157,$F$10:$AA$100,H$141,FALSE)="*",1,0))),"")</f>
        <v>7</v>
      </c>
      <c r="I157" s="169">
        <f t="shared" si="183"/>
        <v>4</v>
      </c>
      <c r="J157" s="169">
        <f t="shared" si="183"/>
        <v>4</v>
      </c>
      <c r="K157" s="169">
        <f t="shared" si="183"/>
        <v>5</v>
      </c>
      <c r="L157" s="169">
        <f t="shared" si="183"/>
        <v>5</v>
      </c>
      <c r="M157" s="169">
        <f t="shared" si="183"/>
        <v>6</v>
      </c>
      <c r="N157" s="169">
        <f t="shared" si="183"/>
        <v>3</v>
      </c>
      <c r="O157" s="169">
        <f t="shared" si="183"/>
        <v>4</v>
      </c>
      <c r="P157" s="169">
        <f t="shared" si="183"/>
        <v>3</v>
      </c>
      <c r="Q157" s="51"/>
      <c r="R157" s="51"/>
      <c r="S157" s="169">
        <f t="shared" ref="S157:AA157" si="184">IFERROR(IF(VLOOKUP($F157,$F$124:$AA$139,S$141,FALSE)=0,"",VLOOKUP($F157,$F$124:$AA$139,S$141,FALSE)-IF(VLOOKUP($F157,$F$10:$AA$100,S$141,FALSE)="**",2,IF(VLOOKUP($F157,$F$10:$AA$100,S$141,FALSE)="*",1,0))),"")</f>
        <v>6</v>
      </c>
      <c r="T157" s="169">
        <f t="shared" si="184"/>
        <v>7</v>
      </c>
      <c r="U157" s="169">
        <f t="shared" si="184"/>
        <v>5</v>
      </c>
      <c r="V157" s="169">
        <f t="shared" si="184"/>
        <v>7</v>
      </c>
      <c r="W157" s="169">
        <f t="shared" si="184"/>
        <v>4</v>
      </c>
      <c r="X157" s="169">
        <f t="shared" si="184"/>
        <v>4</v>
      </c>
      <c r="Y157" s="169">
        <f t="shared" si="184"/>
        <v>3</v>
      </c>
      <c r="Z157" s="169">
        <f t="shared" si="184"/>
        <v>4</v>
      </c>
      <c r="AA157" s="169">
        <f t="shared" si="184"/>
        <v>5</v>
      </c>
      <c r="AB157" s="39"/>
      <c r="AC157" s="39"/>
      <c r="AD157" s="1"/>
      <c r="AE157" s="173" t="str">
        <f t="shared" si="161"/>
        <v>SHEPP</v>
      </c>
      <c r="AF157" s="170">
        <f t="shared" si="162"/>
        <v>0</v>
      </c>
    </row>
    <row r="158" ht="27.75" customHeight="1">
      <c r="C158" s="1"/>
      <c r="D158" s="1"/>
      <c r="E158" s="1"/>
      <c r="F158" s="168" t="str">
        <f>HANDICAPS!B22</f>
        <v>SKYLAR</v>
      </c>
      <c r="G158" s="174" t="s">
        <v>18</v>
      </c>
      <c r="H158" s="169"/>
      <c r="I158" s="169"/>
      <c r="J158" s="169"/>
      <c r="K158" s="169"/>
      <c r="L158" s="169"/>
      <c r="M158" s="169"/>
      <c r="N158" s="169"/>
      <c r="O158" s="169"/>
      <c r="P158" s="169"/>
      <c r="Q158" s="51"/>
      <c r="R158" s="51"/>
      <c r="S158" s="169"/>
      <c r="T158" s="169"/>
      <c r="U158" s="169"/>
      <c r="V158" s="169"/>
      <c r="W158" s="169"/>
      <c r="X158" s="169"/>
      <c r="Y158" s="169"/>
      <c r="Z158" s="169"/>
      <c r="AA158" s="169"/>
      <c r="AB158" s="39"/>
      <c r="AC158" s="39"/>
      <c r="AD158" s="1"/>
      <c r="AE158" s="173" t="str">
        <f t="shared" si="161"/>
        <v>SKYLAR</v>
      </c>
      <c r="AF158" s="170">
        <f t="shared" si="162"/>
        <v>0</v>
      </c>
    </row>
    <row r="159" ht="27.75" customHeight="1">
      <c r="C159" s="1"/>
      <c r="D159" s="1"/>
      <c r="E159" s="1"/>
      <c r="F159" s="168" t="str">
        <f>HANDICAPS!B23</f>
        <v>RYAN</v>
      </c>
      <c r="G159" s="75" t="s">
        <v>17</v>
      </c>
      <c r="H159" s="169">
        <f t="shared" ref="H159:P159" si="185">IFERROR(IF(VLOOKUP($F159,$F$124:$AA$139,H$141,FALSE)=0,"",VLOOKUP($F159,$F$124:$AA$139,H$141,FALSE)-IF(VLOOKUP($F159,$F$10:$AA$100,H$141,FALSE)="**",2,IF(VLOOKUP($F159,$F$10:$AA$100,H$141,FALSE)="*",1,0))),"")</f>
        <v>6</v>
      </c>
      <c r="I159" s="169">
        <f t="shared" si="185"/>
        <v>5</v>
      </c>
      <c r="J159" s="169">
        <f t="shared" si="185"/>
        <v>6</v>
      </c>
      <c r="K159" s="169">
        <f t="shared" si="185"/>
        <v>6</v>
      </c>
      <c r="L159" s="169">
        <f t="shared" si="185"/>
        <v>5</v>
      </c>
      <c r="M159" s="169">
        <f t="shared" si="185"/>
        <v>6</v>
      </c>
      <c r="N159" s="169">
        <f t="shared" si="185"/>
        <v>2</v>
      </c>
      <c r="O159" s="169">
        <f t="shared" si="185"/>
        <v>5</v>
      </c>
      <c r="P159" s="169">
        <f t="shared" si="185"/>
        <v>3</v>
      </c>
      <c r="Q159" s="51"/>
      <c r="R159" s="51"/>
      <c r="S159" s="169">
        <f t="shared" ref="S159:AA159" si="186">IFERROR(IF(VLOOKUP($F159,$F$124:$AA$139,S$141,FALSE)=0,"",VLOOKUP($F159,$F$124:$AA$139,S$141,FALSE)-IF(VLOOKUP($F159,$F$10:$AA$100,S$141,FALSE)="**",2,IF(VLOOKUP($F159,$F$10:$AA$100,S$141,FALSE)="*",1,0))),"")</f>
        <v>5</v>
      </c>
      <c r="T159" s="169">
        <f t="shared" si="186"/>
        <v>6</v>
      </c>
      <c r="U159" s="169">
        <f t="shared" si="186"/>
        <v>6</v>
      </c>
      <c r="V159" s="169">
        <f t="shared" si="186"/>
        <v>5</v>
      </c>
      <c r="W159" s="169">
        <f t="shared" si="186"/>
        <v>4</v>
      </c>
      <c r="X159" s="169">
        <f t="shared" si="186"/>
        <v>4</v>
      </c>
      <c r="Y159" s="169">
        <f t="shared" si="186"/>
        <v>5</v>
      </c>
      <c r="Z159" s="169">
        <f t="shared" si="186"/>
        <v>6</v>
      </c>
      <c r="AA159" s="169">
        <f t="shared" si="186"/>
        <v>4</v>
      </c>
      <c r="AB159" s="39"/>
      <c r="AC159" s="39"/>
      <c r="AD159" s="1"/>
      <c r="AE159" s="175" t="str">
        <f t="shared" si="161"/>
        <v>RYAN</v>
      </c>
      <c r="AF159" s="176">
        <f t="shared" si="162"/>
        <v>56</v>
      </c>
    </row>
    <row r="160" ht="6.75" customHeight="1">
      <c r="C160" s="1"/>
      <c r="D160" s="1"/>
      <c r="E160" s="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39"/>
      <c r="AC160" s="39"/>
      <c r="AD160" s="1"/>
      <c r="AE160" s="1"/>
      <c r="AF160" s="1"/>
    </row>
    <row r="161" ht="27.75" customHeight="1">
      <c r="C161" s="1"/>
      <c r="D161" s="1"/>
      <c r="E161" s="1"/>
      <c r="F161" s="180" t="s">
        <v>149</v>
      </c>
      <c r="G161" s="142"/>
      <c r="H161" s="179">
        <f t="shared" ref="H161:P161" si="187">IFERROR(MINIFS(H$144:H$159,H$144:H$159,"&gt;0"),"0")</f>
        <v>3</v>
      </c>
      <c r="I161" s="179">
        <f t="shared" si="187"/>
        <v>4</v>
      </c>
      <c r="J161" s="179">
        <f t="shared" si="187"/>
        <v>4</v>
      </c>
      <c r="K161" s="179">
        <f t="shared" si="187"/>
        <v>3</v>
      </c>
      <c r="L161" s="179">
        <f t="shared" si="187"/>
        <v>4</v>
      </c>
      <c r="M161" s="179">
        <f t="shared" si="187"/>
        <v>4</v>
      </c>
      <c r="N161" s="179">
        <f t="shared" si="187"/>
        <v>2</v>
      </c>
      <c r="O161" s="179">
        <f t="shared" si="187"/>
        <v>3</v>
      </c>
      <c r="P161" s="179">
        <f t="shared" si="187"/>
        <v>3</v>
      </c>
      <c r="Q161" s="51"/>
      <c r="R161" s="51"/>
      <c r="S161" s="179">
        <f t="shared" ref="S161:AA161" si="188">IFERROR(MINIFS(S$144:S$159,S$144:S$159,"&gt;0"),"0")</f>
        <v>4</v>
      </c>
      <c r="T161" s="179">
        <f t="shared" si="188"/>
        <v>4</v>
      </c>
      <c r="U161" s="179">
        <f t="shared" si="188"/>
        <v>3</v>
      </c>
      <c r="V161" s="179">
        <f t="shared" si="188"/>
        <v>4</v>
      </c>
      <c r="W161" s="179">
        <f t="shared" si="188"/>
        <v>2</v>
      </c>
      <c r="X161" s="179">
        <f t="shared" si="188"/>
        <v>3</v>
      </c>
      <c r="Y161" s="179">
        <f t="shared" si="188"/>
        <v>2</v>
      </c>
      <c r="Z161" s="179">
        <f t="shared" si="188"/>
        <v>3</v>
      </c>
      <c r="AA161" s="179">
        <f t="shared" si="188"/>
        <v>4</v>
      </c>
      <c r="AB161" s="39"/>
      <c r="AC161" s="1"/>
      <c r="AD161" s="1"/>
      <c r="AE161" s="1"/>
      <c r="AF161" s="1"/>
    </row>
    <row r="162" ht="14.25" customHeight="1">
      <c r="C162" s="1"/>
      <c r="D162" s="1"/>
      <c r="E162" s="1"/>
      <c r="F162" s="276" t="s">
        <v>20</v>
      </c>
      <c r="G162" s="1"/>
      <c r="H162" s="40">
        <f t="shared" ref="H162:P162" si="189">COUNTIF(H$144:H$159,H$161)</f>
        <v>4</v>
      </c>
      <c r="I162" s="40">
        <f t="shared" si="189"/>
        <v>4</v>
      </c>
      <c r="J162" s="40">
        <f t="shared" si="189"/>
        <v>5</v>
      </c>
      <c r="K162" s="40">
        <f t="shared" si="189"/>
        <v>3</v>
      </c>
      <c r="L162" s="40">
        <f t="shared" si="189"/>
        <v>9</v>
      </c>
      <c r="M162" s="40">
        <f t="shared" si="189"/>
        <v>2</v>
      </c>
      <c r="N162" s="40">
        <f t="shared" si="189"/>
        <v>1</v>
      </c>
      <c r="O162" s="40">
        <f t="shared" si="189"/>
        <v>5</v>
      </c>
      <c r="P162" s="40">
        <f t="shared" si="189"/>
        <v>5</v>
      </c>
      <c r="Q162" s="40"/>
      <c r="R162" s="40"/>
      <c r="S162" s="40">
        <f t="shared" ref="S162:AA162" si="190">COUNTIF(S$144:S$159,S$161)</f>
        <v>3</v>
      </c>
      <c r="T162" s="40">
        <f t="shared" si="190"/>
        <v>4</v>
      </c>
      <c r="U162" s="40">
        <f t="shared" si="190"/>
        <v>1</v>
      </c>
      <c r="V162" s="40">
        <f t="shared" si="190"/>
        <v>1</v>
      </c>
      <c r="W162" s="40">
        <f t="shared" si="190"/>
        <v>1</v>
      </c>
      <c r="X162" s="40">
        <f t="shared" si="190"/>
        <v>3</v>
      </c>
      <c r="Y162" s="40">
        <f t="shared" si="190"/>
        <v>1</v>
      </c>
      <c r="Z162" s="40">
        <f t="shared" si="190"/>
        <v>3</v>
      </c>
      <c r="AA162" s="40">
        <f t="shared" si="190"/>
        <v>5</v>
      </c>
      <c r="AB162" s="1"/>
      <c r="AC162" s="1"/>
      <c r="AD162" s="1"/>
      <c r="AE162" s="1"/>
      <c r="AF162" s="1"/>
    </row>
    <row r="163" ht="14.25" customHeight="1">
      <c r="C163" s="1"/>
      <c r="D163" s="1"/>
      <c r="E163" s="1"/>
      <c r="F163" s="276" t="s">
        <v>21</v>
      </c>
      <c r="G163" s="1"/>
      <c r="H163" s="40" t="str">
        <f t="shared" ref="H163:P163" si="191">IF(H162=1,"1","")</f>
        <v/>
      </c>
      <c r="I163" s="40" t="str">
        <f t="shared" si="191"/>
        <v/>
      </c>
      <c r="J163" s="40" t="str">
        <f t="shared" si="191"/>
        <v/>
      </c>
      <c r="K163" s="40" t="str">
        <f t="shared" si="191"/>
        <v/>
      </c>
      <c r="L163" s="40" t="str">
        <f t="shared" si="191"/>
        <v/>
      </c>
      <c r="M163" s="40" t="str">
        <f t="shared" si="191"/>
        <v/>
      </c>
      <c r="N163" s="40" t="str">
        <f t="shared" si="191"/>
        <v>1</v>
      </c>
      <c r="O163" s="40" t="str">
        <f t="shared" si="191"/>
        <v/>
      </c>
      <c r="P163" s="40" t="str">
        <f t="shared" si="191"/>
        <v/>
      </c>
      <c r="Q163" s="40"/>
      <c r="R163" s="40"/>
      <c r="S163" s="40" t="str">
        <f t="shared" ref="S163:AA163" si="192">IF(S162=1,"1","")</f>
        <v/>
      </c>
      <c r="T163" s="40" t="str">
        <f t="shared" si="192"/>
        <v/>
      </c>
      <c r="U163" s="40" t="str">
        <f t="shared" si="192"/>
        <v>1</v>
      </c>
      <c r="V163" s="40" t="str">
        <f t="shared" si="192"/>
        <v>1</v>
      </c>
      <c r="W163" s="40" t="str">
        <f t="shared" si="192"/>
        <v>1</v>
      </c>
      <c r="X163" s="40" t="str">
        <f t="shared" si="192"/>
        <v/>
      </c>
      <c r="Y163" s="40" t="str">
        <f t="shared" si="192"/>
        <v>1</v>
      </c>
      <c r="Z163" s="40" t="str">
        <f t="shared" si="192"/>
        <v/>
      </c>
      <c r="AA163" s="40" t="str">
        <f t="shared" si="192"/>
        <v/>
      </c>
      <c r="AB163" s="1">
        <f>COUNTIF($H$163:$AA$163,"1")</f>
        <v>5</v>
      </c>
      <c r="AC163" s="1"/>
      <c r="AD163" s="1"/>
      <c r="AE163" s="1"/>
      <c r="AF163" s="1"/>
    </row>
    <row r="164" ht="14.25" customHeight="1">
      <c r="C164" s="1"/>
      <c r="D164" s="1"/>
      <c r="E164" s="1"/>
      <c r="F164" s="276" t="s">
        <v>22</v>
      </c>
      <c r="G164" s="1"/>
      <c r="H164" s="1" t="str">
        <f t="shared" ref="H164:P164" si="193">IFERROR(IF(H163="1",VLOOKUP(H161,H$144:$AE$159,H$140,FALSE),""),"")</f>
        <v/>
      </c>
      <c r="I164" s="1" t="str">
        <f t="shared" si="193"/>
        <v/>
      </c>
      <c r="J164" s="1" t="str">
        <f t="shared" si="193"/>
        <v/>
      </c>
      <c r="K164" s="1" t="str">
        <f t="shared" si="193"/>
        <v/>
      </c>
      <c r="L164" s="1" t="str">
        <f t="shared" si="193"/>
        <v/>
      </c>
      <c r="M164" s="1" t="str">
        <f t="shared" si="193"/>
        <v/>
      </c>
      <c r="N164" s="1" t="str">
        <f t="shared" si="193"/>
        <v>RYAN</v>
      </c>
      <c r="O164" s="1" t="str">
        <f t="shared" si="193"/>
        <v/>
      </c>
      <c r="P164" s="1" t="str">
        <f t="shared" si="193"/>
        <v/>
      </c>
      <c r="Q164" s="1"/>
      <c r="R164" s="1"/>
      <c r="S164" s="1" t="str">
        <f t="shared" ref="S164:AA164" si="194">IFERROR(IF(S163="1",VLOOKUP(S161,S$144:$AE$159,S$140,FALSE),""),"")</f>
        <v/>
      </c>
      <c r="T164" s="1" t="str">
        <f t="shared" si="194"/>
        <v/>
      </c>
      <c r="U164" s="1" t="str">
        <f t="shared" si="194"/>
        <v>TOM</v>
      </c>
      <c r="V164" s="1" t="str">
        <f t="shared" si="194"/>
        <v>BEN</v>
      </c>
      <c r="W164" s="1" t="str">
        <f t="shared" si="194"/>
        <v>PAXTON</v>
      </c>
      <c r="X164" s="1" t="str">
        <f t="shared" si="194"/>
        <v/>
      </c>
      <c r="Y164" s="1" t="str">
        <f t="shared" si="194"/>
        <v>ZACH</v>
      </c>
      <c r="Z164" s="1" t="str">
        <f t="shared" si="194"/>
        <v/>
      </c>
      <c r="AA164" s="1" t="str">
        <f t="shared" si="194"/>
        <v/>
      </c>
      <c r="AB164" s="1"/>
      <c r="AC164" s="1"/>
      <c r="AD164" s="1"/>
      <c r="AE164" s="1"/>
      <c r="AF164" s="1"/>
    </row>
    <row r="165" ht="14.2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27.75" customHeight="1">
      <c r="C166" s="1"/>
      <c r="D166" s="1"/>
      <c r="E166" s="1"/>
      <c r="F166" s="66" t="s">
        <v>36</v>
      </c>
      <c r="G166" s="66" t="s">
        <v>113</v>
      </c>
      <c r="H166" s="66">
        <f t="shared" ref="H166:P166" si="195">H7</f>
        <v>4</v>
      </c>
      <c r="I166" s="66">
        <f t="shared" si="195"/>
        <v>4</v>
      </c>
      <c r="J166" s="66">
        <f t="shared" si="195"/>
        <v>5</v>
      </c>
      <c r="K166" s="66">
        <f t="shared" si="195"/>
        <v>4</v>
      </c>
      <c r="L166" s="66">
        <f t="shared" si="195"/>
        <v>4</v>
      </c>
      <c r="M166" s="66">
        <f t="shared" si="195"/>
        <v>5</v>
      </c>
      <c r="N166" s="66">
        <f t="shared" si="195"/>
        <v>3</v>
      </c>
      <c r="O166" s="66">
        <f t="shared" si="195"/>
        <v>4</v>
      </c>
      <c r="P166" s="66">
        <f t="shared" si="195"/>
        <v>3</v>
      </c>
      <c r="Q166" s="10"/>
      <c r="R166" s="10"/>
      <c r="S166" s="66">
        <f t="shared" ref="S166:AA166" si="196">S7</f>
        <v>4</v>
      </c>
      <c r="T166" s="66">
        <f t="shared" si="196"/>
        <v>5</v>
      </c>
      <c r="U166" s="66">
        <f t="shared" si="196"/>
        <v>4</v>
      </c>
      <c r="V166" s="66">
        <f t="shared" si="196"/>
        <v>5</v>
      </c>
      <c r="W166" s="66">
        <f t="shared" si="196"/>
        <v>3</v>
      </c>
      <c r="X166" s="66">
        <f t="shared" si="196"/>
        <v>4</v>
      </c>
      <c r="Y166" s="66">
        <f t="shared" si="196"/>
        <v>3</v>
      </c>
      <c r="Z166" s="66">
        <f t="shared" si="196"/>
        <v>4</v>
      </c>
      <c r="AA166" s="66">
        <f t="shared" si="196"/>
        <v>5</v>
      </c>
      <c r="AB166" s="66"/>
      <c r="AC166" s="39"/>
      <c r="AD166" s="39"/>
      <c r="AE166" s="39"/>
      <c r="AF166" s="39"/>
    </row>
    <row r="167" ht="27.75" customHeight="1">
      <c r="C167" s="1"/>
      <c r="D167" s="1"/>
      <c r="E167" s="1"/>
      <c r="F167" s="66" t="s">
        <v>146</v>
      </c>
      <c r="G167" s="166" t="s">
        <v>137</v>
      </c>
      <c r="H167" s="66">
        <f t="shared" ref="H167:P167" si="197">H143</f>
        <v>1</v>
      </c>
      <c r="I167" s="66">
        <f t="shared" si="197"/>
        <v>2</v>
      </c>
      <c r="J167" s="66">
        <f t="shared" si="197"/>
        <v>3</v>
      </c>
      <c r="K167" s="66">
        <f t="shared" si="197"/>
        <v>4</v>
      </c>
      <c r="L167" s="66">
        <f t="shared" si="197"/>
        <v>5</v>
      </c>
      <c r="M167" s="66">
        <f t="shared" si="197"/>
        <v>6</v>
      </c>
      <c r="N167" s="66">
        <f t="shared" si="197"/>
        <v>7</v>
      </c>
      <c r="O167" s="66">
        <f t="shared" si="197"/>
        <v>8</v>
      </c>
      <c r="P167" s="66">
        <f t="shared" si="197"/>
        <v>9</v>
      </c>
      <c r="Q167" s="10"/>
      <c r="R167" s="10"/>
      <c r="S167" s="66">
        <f t="shared" ref="S167:AA167" si="198">S143</f>
        <v>10</v>
      </c>
      <c r="T167" s="66">
        <f t="shared" si="198"/>
        <v>11</v>
      </c>
      <c r="U167" s="66">
        <f t="shared" si="198"/>
        <v>12</v>
      </c>
      <c r="V167" s="66">
        <f t="shared" si="198"/>
        <v>13</v>
      </c>
      <c r="W167" s="66">
        <f t="shared" si="198"/>
        <v>14</v>
      </c>
      <c r="X167" s="66">
        <f t="shared" si="198"/>
        <v>15</v>
      </c>
      <c r="Y167" s="66">
        <f t="shared" si="198"/>
        <v>16</v>
      </c>
      <c r="Z167" s="66">
        <f t="shared" si="198"/>
        <v>17</v>
      </c>
      <c r="AA167" s="66">
        <f t="shared" si="198"/>
        <v>18</v>
      </c>
      <c r="AB167" s="66" t="s">
        <v>24</v>
      </c>
      <c r="AC167" s="39"/>
      <c r="AD167" s="39"/>
      <c r="AE167" s="39"/>
      <c r="AF167" s="39"/>
    </row>
    <row r="168" ht="27.75" customHeight="1">
      <c r="C168" s="1"/>
      <c r="D168" s="1"/>
      <c r="E168" s="1"/>
      <c r="F168" s="73" t="str">
        <f t="shared" ref="F168:F183" si="201">F144</f>
        <v>DEREK</v>
      </c>
      <c r="G168" s="142"/>
      <c r="H168" s="169">
        <f t="shared" ref="H168:P168" si="199">IFERROR(IF(VLOOKUP($F168,$F$124:$AA$139,H$141,FALSE)=0,"",IF(VLOOKUP($F168,$F$124:$AA$139,H$141,FALSE)&lt;H$166,1,0)),"")</f>
        <v>0</v>
      </c>
      <c r="I168" s="169">
        <f t="shared" si="199"/>
        <v>0</v>
      </c>
      <c r="J168" s="169">
        <f t="shared" si="199"/>
        <v>0</v>
      </c>
      <c r="K168" s="169">
        <f t="shared" si="199"/>
        <v>0</v>
      </c>
      <c r="L168" s="169">
        <f t="shared" si="199"/>
        <v>0</v>
      </c>
      <c r="M168" s="169">
        <f t="shared" si="199"/>
        <v>1</v>
      </c>
      <c r="N168" s="169">
        <f t="shared" si="199"/>
        <v>0</v>
      </c>
      <c r="O168" s="169">
        <f t="shared" si="199"/>
        <v>0</v>
      </c>
      <c r="P168" s="169">
        <f t="shared" si="199"/>
        <v>0</v>
      </c>
      <c r="Q168" s="51"/>
      <c r="R168" s="51"/>
      <c r="S168" s="169">
        <f t="shared" ref="S168:AA168" si="200">IFERROR(IF(VLOOKUP($F168,$F$124:$AA$139,S$141,FALSE)=0,"",IF(VLOOKUP($F168,$F$124:$AA$139,S$141,FALSE)&lt;S$166,1,0)),"")</f>
        <v>0</v>
      </c>
      <c r="T168" s="169">
        <f t="shared" si="200"/>
        <v>0</v>
      </c>
      <c r="U168" s="169">
        <f t="shared" si="200"/>
        <v>0</v>
      </c>
      <c r="V168" s="169">
        <f t="shared" si="200"/>
        <v>0</v>
      </c>
      <c r="W168" s="169">
        <f t="shared" si="200"/>
        <v>0</v>
      </c>
      <c r="X168" s="169">
        <f t="shared" si="200"/>
        <v>0</v>
      </c>
      <c r="Y168" s="169">
        <f t="shared" si="200"/>
        <v>0</v>
      </c>
      <c r="Z168" s="169">
        <f t="shared" si="200"/>
        <v>0</v>
      </c>
      <c r="AA168" s="169">
        <f t="shared" si="200"/>
        <v>1</v>
      </c>
      <c r="AB168" s="75">
        <f t="shared" ref="AB168:AB183" si="204">SUM(H168:AA168)</f>
        <v>2</v>
      </c>
      <c r="AC168" s="39"/>
      <c r="AD168" s="1"/>
      <c r="AE168" s="1"/>
      <c r="AF168" s="1"/>
    </row>
    <row r="169" ht="27.75" customHeight="1">
      <c r="C169" s="1"/>
      <c r="D169" s="1"/>
      <c r="E169" s="1"/>
      <c r="F169" s="73" t="str">
        <f t="shared" si="201"/>
        <v>SCOTT</v>
      </c>
      <c r="G169" s="142"/>
      <c r="H169" s="169">
        <f t="shared" ref="H169:P169" si="202">IFERROR(IF(VLOOKUP($F169,$F$124:$AA$139,H$141,FALSE)=0,"",IF(VLOOKUP($F169,$F$124:$AA$139,H$141,FALSE)&lt;H$166,1,0)),"")</f>
        <v>0</v>
      </c>
      <c r="I169" s="169">
        <f t="shared" si="202"/>
        <v>0</v>
      </c>
      <c r="J169" s="169">
        <f t="shared" si="202"/>
        <v>0</v>
      </c>
      <c r="K169" s="169">
        <f t="shared" si="202"/>
        <v>0</v>
      </c>
      <c r="L169" s="169">
        <f t="shared" si="202"/>
        <v>0</v>
      </c>
      <c r="M169" s="169">
        <f t="shared" si="202"/>
        <v>0</v>
      </c>
      <c r="N169" s="169">
        <f t="shared" si="202"/>
        <v>0</v>
      </c>
      <c r="O169" s="169">
        <f t="shared" si="202"/>
        <v>0</v>
      </c>
      <c r="P169" s="169">
        <f t="shared" si="202"/>
        <v>0</v>
      </c>
      <c r="Q169" s="51"/>
      <c r="R169" s="51"/>
      <c r="S169" s="169">
        <f t="shared" ref="S169:AA169" si="203">IFERROR(IF(VLOOKUP($F169,$F$124:$AA$139,S$141,FALSE)=0,"",IF(VLOOKUP($F169,$F$124:$AA$139,S$141,FALSE)&lt;S$166,1,0)),"")</f>
        <v>0</v>
      </c>
      <c r="T169" s="169">
        <f t="shared" si="203"/>
        <v>0</v>
      </c>
      <c r="U169" s="169">
        <f t="shared" si="203"/>
        <v>0</v>
      </c>
      <c r="V169" s="169">
        <f t="shared" si="203"/>
        <v>0</v>
      </c>
      <c r="W169" s="169">
        <f t="shared" si="203"/>
        <v>0</v>
      </c>
      <c r="X169" s="169">
        <f t="shared" si="203"/>
        <v>1</v>
      </c>
      <c r="Y169" s="169">
        <f t="shared" si="203"/>
        <v>0</v>
      </c>
      <c r="Z169" s="169">
        <f t="shared" si="203"/>
        <v>0</v>
      </c>
      <c r="AA169" s="169">
        <f t="shared" si="203"/>
        <v>0</v>
      </c>
      <c r="AB169" s="75">
        <f t="shared" si="204"/>
        <v>1</v>
      </c>
      <c r="AC169" s="39"/>
      <c r="AD169" s="1"/>
      <c r="AE169" s="1"/>
      <c r="AF169" s="1"/>
    </row>
    <row r="170" ht="27.75" customHeight="1">
      <c r="C170" s="1"/>
      <c r="D170" s="1"/>
      <c r="E170" s="1"/>
      <c r="F170" s="73" t="str">
        <f t="shared" si="201"/>
        <v>WAYS</v>
      </c>
      <c r="G170" s="142"/>
      <c r="H170" s="169">
        <f t="shared" ref="H170:P170" si="205">IFERROR(IF(VLOOKUP($F170,$F$124:$AA$139,H$141,FALSE)=0,"",IF(VLOOKUP($F170,$F$124:$AA$139,H$141,FALSE)&lt;H$166,1,0)),"")</f>
        <v>0</v>
      </c>
      <c r="I170" s="169">
        <f t="shared" si="205"/>
        <v>0</v>
      </c>
      <c r="J170" s="169">
        <f t="shared" si="205"/>
        <v>0</v>
      </c>
      <c r="K170" s="169">
        <f t="shared" si="205"/>
        <v>0</v>
      </c>
      <c r="L170" s="169">
        <f t="shared" si="205"/>
        <v>0</v>
      </c>
      <c r="M170" s="169">
        <f t="shared" si="205"/>
        <v>0</v>
      </c>
      <c r="N170" s="169">
        <f t="shared" si="205"/>
        <v>0</v>
      </c>
      <c r="O170" s="169">
        <f t="shared" si="205"/>
        <v>0</v>
      </c>
      <c r="P170" s="169">
        <f t="shared" si="205"/>
        <v>0</v>
      </c>
      <c r="Q170" s="51"/>
      <c r="R170" s="51"/>
      <c r="S170" s="169">
        <f t="shared" ref="S170:AA170" si="206">IFERROR(IF(VLOOKUP($F170,$F$124:$AA$139,S$141,FALSE)=0,"",IF(VLOOKUP($F170,$F$124:$AA$139,S$141,FALSE)&lt;S$166,1,0)),"")</f>
        <v>0</v>
      </c>
      <c r="T170" s="169">
        <f t="shared" si="206"/>
        <v>0</v>
      </c>
      <c r="U170" s="169">
        <f t="shared" si="206"/>
        <v>0</v>
      </c>
      <c r="V170" s="169">
        <f t="shared" si="206"/>
        <v>0</v>
      </c>
      <c r="W170" s="169">
        <f t="shared" si="206"/>
        <v>0</v>
      </c>
      <c r="X170" s="169">
        <f t="shared" si="206"/>
        <v>0</v>
      </c>
      <c r="Y170" s="169">
        <f t="shared" si="206"/>
        <v>0</v>
      </c>
      <c r="Z170" s="169">
        <f t="shared" si="206"/>
        <v>0</v>
      </c>
      <c r="AA170" s="169">
        <f t="shared" si="206"/>
        <v>1</v>
      </c>
      <c r="AB170" s="75">
        <f t="shared" si="204"/>
        <v>1</v>
      </c>
      <c r="AC170" s="39"/>
      <c r="AD170" s="1"/>
      <c r="AE170" s="1"/>
      <c r="AF170" s="1"/>
    </row>
    <row r="171" ht="27.75" customHeight="1">
      <c r="C171" s="1"/>
      <c r="D171" s="1"/>
      <c r="E171" s="1"/>
      <c r="F171" s="73" t="str">
        <f t="shared" si="201"/>
        <v>BEN</v>
      </c>
      <c r="G171" s="142"/>
      <c r="H171" s="169">
        <f t="shared" ref="H171:P171" si="207">IFERROR(IF(VLOOKUP($F171,$F$124:$AA$139,H$141,FALSE)=0,"",IF(VLOOKUP($F171,$F$124:$AA$139,H$141,FALSE)&lt;H$166,1,0)),"")</f>
        <v>0</v>
      </c>
      <c r="I171" s="169">
        <f t="shared" si="207"/>
        <v>0</v>
      </c>
      <c r="J171" s="169">
        <f t="shared" si="207"/>
        <v>0</v>
      </c>
      <c r="K171" s="169">
        <f t="shared" si="207"/>
        <v>1</v>
      </c>
      <c r="L171" s="169">
        <f t="shared" si="207"/>
        <v>0</v>
      </c>
      <c r="M171" s="169">
        <f t="shared" si="207"/>
        <v>0</v>
      </c>
      <c r="N171" s="169">
        <f t="shared" si="207"/>
        <v>0</v>
      </c>
      <c r="O171" s="169">
        <f t="shared" si="207"/>
        <v>0</v>
      </c>
      <c r="P171" s="169">
        <f t="shared" si="207"/>
        <v>0</v>
      </c>
      <c r="Q171" s="51"/>
      <c r="R171" s="51"/>
      <c r="S171" s="169">
        <f t="shared" ref="S171:AA171" si="208">IFERROR(IF(VLOOKUP($F171,$F$124:$AA$139,S$141,FALSE)=0,"",IF(VLOOKUP($F171,$F$124:$AA$139,S$141,FALSE)&lt;S$166,1,0)),"")</f>
        <v>0</v>
      </c>
      <c r="T171" s="169">
        <f t="shared" si="208"/>
        <v>0</v>
      </c>
      <c r="U171" s="169">
        <f t="shared" si="208"/>
        <v>0</v>
      </c>
      <c r="V171" s="169">
        <f t="shared" si="208"/>
        <v>1</v>
      </c>
      <c r="W171" s="169">
        <f t="shared" si="208"/>
        <v>0</v>
      </c>
      <c r="X171" s="169">
        <f t="shared" si="208"/>
        <v>0</v>
      </c>
      <c r="Y171" s="169">
        <f t="shared" si="208"/>
        <v>0</v>
      </c>
      <c r="Z171" s="169">
        <f t="shared" si="208"/>
        <v>0</v>
      </c>
      <c r="AA171" s="169">
        <f t="shared" si="208"/>
        <v>0</v>
      </c>
      <c r="AB171" s="75">
        <f t="shared" si="204"/>
        <v>2</v>
      </c>
      <c r="AC171" s="39"/>
      <c r="AD171" s="1"/>
      <c r="AE171" s="1"/>
      <c r="AF171" s="1"/>
    </row>
    <row r="172" ht="27.75" customHeight="1">
      <c r="C172" s="1"/>
      <c r="D172" s="1"/>
      <c r="E172" s="1"/>
      <c r="F172" s="73" t="str">
        <f t="shared" si="201"/>
        <v>DANNY</v>
      </c>
      <c r="G172" s="142"/>
      <c r="H172" s="169">
        <f t="shared" ref="H172:P172" si="209">IFERROR(IF(VLOOKUP($F172,$F$124:$AA$139,H$141,FALSE)=0,"",IF(VLOOKUP($F172,$F$124:$AA$139,H$141,FALSE)&lt;H$166,1,0)),"")</f>
        <v>0</v>
      </c>
      <c r="I172" s="169">
        <f t="shared" si="209"/>
        <v>0</v>
      </c>
      <c r="J172" s="169">
        <f t="shared" si="209"/>
        <v>0</v>
      </c>
      <c r="K172" s="169">
        <f t="shared" si="209"/>
        <v>0</v>
      </c>
      <c r="L172" s="169">
        <f t="shared" si="209"/>
        <v>0</v>
      </c>
      <c r="M172" s="169">
        <f t="shared" si="209"/>
        <v>1</v>
      </c>
      <c r="N172" s="169">
        <f t="shared" si="209"/>
        <v>0</v>
      </c>
      <c r="O172" s="169">
        <f t="shared" si="209"/>
        <v>0</v>
      </c>
      <c r="P172" s="169">
        <f t="shared" si="209"/>
        <v>0</v>
      </c>
      <c r="Q172" s="51"/>
      <c r="R172" s="51"/>
      <c r="S172" s="169">
        <f t="shared" ref="S172:AA172" si="210">IFERROR(IF(VLOOKUP($F172,$F$124:$AA$139,S$141,FALSE)=0,"",IF(VLOOKUP($F172,$F$124:$AA$139,S$141,FALSE)&lt;S$166,1,0)),"")</f>
        <v>0</v>
      </c>
      <c r="T172" s="169">
        <f t="shared" si="210"/>
        <v>0</v>
      </c>
      <c r="U172" s="169">
        <f t="shared" si="210"/>
        <v>0</v>
      </c>
      <c r="V172" s="169">
        <f t="shared" si="210"/>
        <v>0</v>
      </c>
      <c r="W172" s="169">
        <f t="shared" si="210"/>
        <v>0</v>
      </c>
      <c r="X172" s="169">
        <f t="shared" si="210"/>
        <v>0</v>
      </c>
      <c r="Y172" s="169">
        <f t="shared" si="210"/>
        <v>0</v>
      </c>
      <c r="Z172" s="169">
        <f t="shared" si="210"/>
        <v>0</v>
      </c>
      <c r="AA172" s="169">
        <f t="shared" si="210"/>
        <v>1</v>
      </c>
      <c r="AB172" s="75">
        <f t="shared" si="204"/>
        <v>2</v>
      </c>
      <c r="AC172" s="39"/>
      <c r="AD172" s="1"/>
      <c r="AE172" s="1"/>
      <c r="AF172" s="1"/>
    </row>
    <row r="173" ht="27.75" customHeight="1">
      <c r="C173" s="1"/>
      <c r="D173" s="1"/>
      <c r="E173" s="1"/>
      <c r="F173" s="73" t="str">
        <f t="shared" si="201"/>
        <v>ZACH</v>
      </c>
      <c r="G173" s="142"/>
      <c r="H173" s="169">
        <f t="shared" ref="H173:P173" si="211">IFERROR(IF(VLOOKUP($F173,$F$124:$AA$139,H$141,FALSE)=0,"",IF(VLOOKUP($F173,$F$124:$AA$139,H$141,FALSE)&lt;H$166,1,0)),"")</f>
        <v>0</v>
      </c>
      <c r="I173" s="169">
        <f t="shared" si="211"/>
        <v>0</v>
      </c>
      <c r="J173" s="169">
        <f t="shared" si="211"/>
        <v>0</v>
      </c>
      <c r="K173" s="169">
        <f t="shared" si="211"/>
        <v>0</v>
      </c>
      <c r="L173" s="169">
        <f t="shared" si="211"/>
        <v>0</v>
      </c>
      <c r="M173" s="169">
        <f t="shared" si="211"/>
        <v>0</v>
      </c>
      <c r="N173" s="169">
        <f t="shared" si="211"/>
        <v>0</v>
      </c>
      <c r="O173" s="169">
        <f t="shared" si="211"/>
        <v>0</v>
      </c>
      <c r="P173" s="169">
        <f t="shared" si="211"/>
        <v>0</v>
      </c>
      <c r="Q173" s="51"/>
      <c r="R173" s="51"/>
      <c r="S173" s="169">
        <f t="shared" ref="S173:AA173" si="212">IFERROR(IF(VLOOKUP($F173,$F$124:$AA$139,S$141,FALSE)=0,"",IF(VLOOKUP($F173,$F$124:$AA$139,S$141,FALSE)&lt;S$166,1,0)),"")</f>
        <v>0</v>
      </c>
      <c r="T173" s="169">
        <f t="shared" si="212"/>
        <v>0</v>
      </c>
      <c r="U173" s="169">
        <f t="shared" si="212"/>
        <v>0</v>
      </c>
      <c r="V173" s="169">
        <f t="shared" si="212"/>
        <v>0</v>
      </c>
      <c r="W173" s="169">
        <f t="shared" si="212"/>
        <v>0</v>
      </c>
      <c r="X173" s="169">
        <f t="shared" si="212"/>
        <v>0</v>
      </c>
      <c r="Y173" s="169">
        <f t="shared" si="212"/>
        <v>1</v>
      </c>
      <c r="Z173" s="169">
        <f t="shared" si="212"/>
        <v>0</v>
      </c>
      <c r="AA173" s="169">
        <f t="shared" si="212"/>
        <v>0</v>
      </c>
      <c r="AB173" s="75">
        <f t="shared" si="204"/>
        <v>1</v>
      </c>
      <c r="AC173" s="39"/>
      <c r="AD173" s="1"/>
      <c r="AE173" s="1"/>
      <c r="AF173" s="1"/>
    </row>
    <row r="174" ht="27.75" customHeight="1">
      <c r="C174" s="1"/>
      <c r="D174" s="1"/>
      <c r="E174" s="1"/>
      <c r="F174" s="73" t="str">
        <f t="shared" si="201"/>
        <v>SLICK</v>
      </c>
      <c r="G174" s="142"/>
      <c r="H174" s="169">
        <f t="shared" ref="H174:P174" si="213">IFERROR(IF(VLOOKUP($F174,$F$124:$AA$139,H$141,FALSE)=0,"",IF(VLOOKUP($F174,$F$124:$AA$139,H$141,FALSE)&lt;H$166,1,0)),"")</f>
        <v>0</v>
      </c>
      <c r="I174" s="169">
        <f t="shared" si="213"/>
        <v>0</v>
      </c>
      <c r="J174" s="169">
        <f t="shared" si="213"/>
        <v>0</v>
      </c>
      <c r="K174" s="169">
        <f t="shared" si="213"/>
        <v>0</v>
      </c>
      <c r="L174" s="169">
        <f t="shared" si="213"/>
        <v>0</v>
      </c>
      <c r="M174" s="169">
        <f t="shared" si="213"/>
        <v>0</v>
      </c>
      <c r="N174" s="169">
        <f t="shared" si="213"/>
        <v>0</v>
      </c>
      <c r="O174" s="169">
        <f t="shared" si="213"/>
        <v>0</v>
      </c>
      <c r="P174" s="169">
        <f t="shared" si="213"/>
        <v>0</v>
      </c>
      <c r="Q174" s="51"/>
      <c r="R174" s="51"/>
      <c r="S174" s="169">
        <f t="shared" ref="S174:AA174" si="214">IFERROR(IF(VLOOKUP($F174,$F$124:$AA$139,S$141,FALSE)=0,"",IF(VLOOKUP($F174,$F$124:$AA$139,S$141,FALSE)&lt;S$166,1,0)),"")</f>
        <v>0</v>
      </c>
      <c r="T174" s="169">
        <f t="shared" si="214"/>
        <v>0</v>
      </c>
      <c r="U174" s="169">
        <f t="shared" si="214"/>
        <v>0</v>
      </c>
      <c r="V174" s="169">
        <f t="shared" si="214"/>
        <v>0</v>
      </c>
      <c r="W174" s="169">
        <f t="shared" si="214"/>
        <v>0</v>
      </c>
      <c r="X174" s="169">
        <f t="shared" si="214"/>
        <v>0</v>
      </c>
      <c r="Y174" s="169">
        <f t="shared" si="214"/>
        <v>0</v>
      </c>
      <c r="Z174" s="169">
        <f t="shared" si="214"/>
        <v>0</v>
      </c>
      <c r="AA174" s="169">
        <f t="shared" si="214"/>
        <v>0</v>
      </c>
      <c r="AB174" s="75">
        <f t="shared" si="204"/>
        <v>0</v>
      </c>
      <c r="AC174" s="39"/>
      <c r="AD174" s="1"/>
      <c r="AE174" s="1"/>
      <c r="AF174" s="1"/>
    </row>
    <row r="175" ht="27.75" customHeight="1">
      <c r="C175" s="1"/>
      <c r="D175" s="1"/>
      <c r="E175" s="1"/>
      <c r="F175" s="73" t="str">
        <f t="shared" si="201"/>
        <v>PAXTON</v>
      </c>
      <c r="G175" s="142"/>
      <c r="H175" s="169">
        <f t="shared" ref="H175:P175" si="215">IFERROR(IF(VLOOKUP($F175,$F$124:$AA$139,H$141,FALSE)=0,"",IF(VLOOKUP($F175,$F$124:$AA$139,H$141,FALSE)&lt;H$166,1,0)),"")</f>
        <v>0</v>
      </c>
      <c r="I175" s="169">
        <f t="shared" si="215"/>
        <v>0</v>
      </c>
      <c r="J175" s="169">
        <f t="shared" si="215"/>
        <v>0</v>
      </c>
      <c r="K175" s="169">
        <f t="shared" si="215"/>
        <v>0</v>
      </c>
      <c r="L175" s="169">
        <f t="shared" si="215"/>
        <v>0</v>
      </c>
      <c r="M175" s="169">
        <f t="shared" si="215"/>
        <v>0</v>
      </c>
      <c r="N175" s="169">
        <f t="shared" si="215"/>
        <v>0</v>
      </c>
      <c r="O175" s="169">
        <f t="shared" si="215"/>
        <v>0</v>
      </c>
      <c r="P175" s="169">
        <f t="shared" si="215"/>
        <v>0</v>
      </c>
      <c r="Q175" s="51"/>
      <c r="R175" s="51"/>
      <c r="S175" s="169">
        <f t="shared" ref="S175:AA175" si="216">IFERROR(IF(VLOOKUP($F175,$F$124:$AA$139,S$141,FALSE)=0,"",IF(VLOOKUP($F175,$F$124:$AA$139,S$141,FALSE)&lt;S$166,1,0)),"")</f>
        <v>0</v>
      </c>
      <c r="T175" s="169">
        <f t="shared" si="216"/>
        <v>0</v>
      </c>
      <c r="U175" s="169">
        <f t="shared" si="216"/>
        <v>0</v>
      </c>
      <c r="V175" s="169">
        <f t="shared" si="216"/>
        <v>0</v>
      </c>
      <c r="W175" s="169">
        <f t="shared" si="216"/>
        <v>1</v>
      </c>
      <c r="X175" s="169">
        <f t="shared" si="216"/>
        <v>0</v>
      </c>
      <c r="Y175" s="169">
        <f t="shared" si="216"/>
        <v>0</v>
      </c>
      <c r="Z175" s="169">
        <f t="shared" si="216"/>
        <v>0</v>
      </c>
      <c r="AA175" s="169">
        <f t="shared" si="216"/>
        <v>0</v>
      </c>
      <c r="AB175" s="75">
        <f t="shared" si="204"/>
        <v>1</v>
      </c>
      <c r="AC175" s="39"/>
      <c r="AD175" s="1"/>
      <c r="AE175" s="1"/>
      <c r="AF175" s="1"/>
    </row>
    <row r="176" ht="27.75" customHeight="1">
      <c r="C176" s="1"/>
      <c r="D176" s="1"/>
      <c r="E176" s="1"/>
      <c r="F176" s="73" t="str">
        <f t="shared" si="201"/>
        <v>DYLAN</v>
      </c>
      <c r="G176" s="142"/>
      <c r="H176" s="169">
        <f t="shared" ref="H176:P176" si="217">IFERROR(IF(VLOOKUP($F176,$F$124:$AA$139,H$141,FALSE)=0,"",IF(VLOOKUP($F176,$F$124:$AA$139,H$141,FALSE)&lt;H$166,1,0)),"")</f>
        <v>0</v>
      </c>
      <c r="I176" s="169">
        <f t="shared" si="217"/>
        <v>0</v>
      </c>
      <c r="J176" s="169">
        <f t="shared" si="217"/>
        <v>0</v>
      </c>
      <c r="K176" s="169">
        <f t="shared" si="217"/>
        <v>0</v>
      </c>
      <c r="L176" s="169">
        <f t="shared" si="217"/>
        <v>0</v>
      </c>
      <c r="M176" s="169">
        <f t="shared" si="217"/>
        <v>0</v>
      </c>
      <c r="N176" s="169">
        <f t="shared" si="217"/>
        <v>0</v>
      </c>
      <c r="O176" s="169">
        <f t="shared" si="217"/>
        <v>0</v>
      </c>
      <c r="P176" s="169">
        <f t="shared" si="217"/>
        <v>0</v>
      </c>
      <c r="Q176" s="51"/>
      <c r="R176" s="51"/>
      <c r="S176" s="169">
        <f t="shared" ref="S176:AA176" si="218">IFERROR(IF(VLOOKUP($F176,$F$124:$AA$139,S$141,FALSE)=0,"",IF(VLOOKUP($F176,$F$124:$AA$139,S$141,FALSE)&lt;S$166,1,0)),"")</f>
        <v>0</v>
      </c>
      <c r="T176" s="169">
        <f t="shared" si="218"/>
        <v>0</v>
      </c>
      <c r="U176" s="169">
        <f t="shared" si="218"/>
        <v>0</v>
      </c>
      <c r="V176" s="169">
        <f t="shared" si="218"/>
        <v>0</v>
      </c>
      <c r="W176" s="169">
        <f t="shared" si="218"/>
        <v>0</v>
      </c>
      <c r="X176" s="169">
        <f t="shared" si="218"/>
        <v>0</v>
      </c>
      <c r="Y176" s="169">
        <f t="shared" si="218"/>
        <v>0</v>
      </c>
      <c r="Z176" s="169">
        <f t="shared" si="218"/>
        <v>0</v>
      </c>
      <c r="AA176" s="169">
        <f t="shared" si="218"/>
        <v>0</v>
      </c>
      <c r="AB176" s="75">
        <f t="shared" si="204"/>
        <v>0</v>
      </c>
      <c r="AC176" s="39"/>
      <c r="AD176" s="1"/>
      <c r="AE176" s="1"/>
      <c r="AF176" s="1"/>
    </row>
    <row r="177" ht="27.75" customHeight="1">
      <c r="C177" s="1"/>
      <c r="D177" s="1"/>
      <c r="E177" s="1"/>
      <c r="F177" s="73" t="str">
        <f t="shared" si="201"/>
        <v>TOM</v>
      </c>
      <c r="G177" s="142"/>
      <c r="H177" s="169">
        <f t="shared" ref="H177:P177" si="219">IFERROR(IF(VLOOKUP($F177,$F$124:$AA$139,H$141,FALSE)=0,"",IF(VLOOKUP($F177,$F$124:$AA$139,H$141,FALSE)&lt;H$166,1,0)),"")</f>
        <v>0</v>
      </c>
      <c r="I177" s="169">
        <f t="shared" si="219"/>
        <v>0</v>
      </c>
      <c r="J177" s="169">
        <f t="shared" si="219"/>
        <v>0</v>
      </c>
      <c r="K177" s="169">
        <f t="shared" si="219"/>
        <v>0</v>
      </c>
      <c r="L177" s="169">
        <f t="shared" si="219"/>
        <v>0</v>
      </c>
      <c r="M177" s="169">
        <f t="shared" si="219"/>
        <v>0</v>
      </c>
      <c r="N177" s="169">
        <f t="shared" si="219"/>
        <v>0</v>
      </c>
      <c r="O177" s="169">
        <f t="shared" si="219"/>
        <v>0</v>
      </c>
      <c r="P177" s="169">
        <f t="shared" si="219"/>
        <v>0</v>
      </c>
      <c r="Q177" s="51"/>
      <c r="R177" s="51"/>
      <c r="S177" s="169">
        <f t="shared" ref="S177:AA177" si="220">IFERROR(IF(VLOOKUP($F177,$F$124:$AA$139,S$141,FALSE)=0,"",IF(VLOOKUP($F177,$F$124:$AA$139,S$141,FALSE)&lt;S$166,1,0)),"")</f>
        <v>0</v>
      </c>
      <c r="T177" s="169">
        <f t="shared" si="220"/>
        <v>0</v>
      </c>
      <c r="U177" s="169">
        <f t="shared" si="220"/>
        <v>0</v>
      </c>
      <c r="V177" s="169">
        <f t="shared" si="220"/>
        <v>0</v>
      </c>
      <c r="W177" s="169">
        <f t="shared" si="220"/>
        <v>0</v>
      </c>
      <c r="X177" s="169">
        <f t="shared" si="220"/>
        <v>0</v>
      </c>
      <c r="Y177" s="169">
        <f t="shared" si="220"/>
        <v>0</v>
      </c>
      <c r="Z177" s="169">
        <f t="shared" si="220"/>
        <v>0</v>
      </c>
      <c r="AA177" s="169">
        <f t="shared" si="220"/>
        <v>0</v>
      </c>
      <c r="AB177" s="75">
        <f t="shared" si="204"/>
        <v>0</v>
      </c>
      <c r="AC177" s="39"/>
      <c r="AD177" s="1"/>
      <c r="AE177" s="1"/>
      <c r="AF177" s="1"/>
    </row>
    <row r="178" ht="27.75" customHeight="1">
      <c r="C178" s="1"/>
      <c r="D178" s="1"/>
      <c r="E178" s="1"/>
      <c r="F178" s="73" t="str">
        <f t="shared" si="201"/>
        <v>ERIC</v>
      </c>
      <c r="G178" s="142"/>
      <c r="H178" s="169">
        <f t="shared" ref="H178:P178" si="221">IFERROR(IF(VLOOKUP($F178,$F$124:$AA$139,H$141,FALSE)=0,"",IF(VLOOKUP($F178,$F$124:$AA$139,H$141,FALSE)&lt;H$166,1,0)),"")</f>
        <v>0</v>
      </c>
      <c r="I178" s="169">
        <f t="shared" si="221"/>
        <v>0</v>
      </c>
      <c r="J178" s="169">
        <f t="shared" si="221"/>
        <v>0</v>
      </c>
      <c r="K178" s="169">
        <f t="shared" si="221"/>
        <v>0</v>
      </c>
      <c r="L178" s="169">
        <f t="shared" si="221"/>
        <v>0</v>
      </c>
      <c r="M178" s="169">
        <f t="shared" si="221"/>
        <v>0</v>
      </c>
      <c r="N178" s="169">
        <f t="shared" si="221"/>
        <v>0</v>
      </c>
      <c r="O178" s="169">
        <f t="shared" si="221"/>
        <v>0</v>
      </c>
      <c r="P178" s="169">
        <f t="shared" si="221"/>
        <v>0</v>
      </c>
      <c r="Q178" s="51"/>
      <c r="R178" s="51"/>
      <c r="S178" s="169">
        <f t="shared" ref="S178:AA178" si="222">IFERROR(IF(VLOOKUP($F178,$F$124:$AA$139,S$141,FALSE)=0,"",IF(VLOOKUP($F178,$F$124:$AA$139,S$141,FALSE)&lt;S$166,1,0)),"")</f>
        <v>0</v>
      </c>
      <c r="T178" s="169">
        <f t="shared" si="222"/>
        <v>0</v>
      </c>
      <c r="U178" s="169">
        <f t="shared" si="222"/>
        <v>0</v>
      </c>
      <c r="V178" s="169">
        <f t="shared" si="222"/>
        <v>0</v>
      </c>
      <c r="W178" s="169">
        <f t="shared" si="222"/>
        <v>0</v>
      </c>
      <c r="X178" s="169">
        <f t="shared" si="222"/>
        <v>0</v>
      </c>
      <c r="Y178" s="169">
        <f t="shared" si="222"/>
        <v>0</v>
      </c>
      <c r="Z178" s="169">
        <f t="shared" si="222"/>
        <v>0</v>
      </c>
      <c r="AA178" s="169">
        <f t="shared" si="222"/>
        <v>0</v>
      </c>
      <c r="AB178" s="75">
        <f t="shared" si="204"/>
        <v>0</v>
      </c>
      <c r="AC178" s="39"/>
      <c r="AD178" s="1"/>
      <c r="AE178" s="1"/>
      <c r="AF178" s="1"/>
    </row>
    <row r="179" ht="27.75" customHeight="1">
      <c r="C179" s="1"/>
      <c r="D179" s="1"/>
      <c r="E179" s="1"/>
      <c r="F179" s="73" t="str">
        <f t="shared" si="201"/>
        <v>MAX</v>
      </c>
      <c r="G179" s="142"/>
      <c r="H179" s="169">
        <f t="shared" ref="H179:P179" si="223">IFERROR(IF(VLOOKUP($F179,$F$124:$AA$139,H$141,FALSE)=0,"",IF(VLOOKUP($F179,$F$124:$AA$139,H$141,FALSE)&lt;H$166,1,0)),"")</f>
        <v>0</v>
      </c>
      <c r="I179" s="169">
        <f t="shared" si="223"/>
        <v>0</v>
      </c>
      <c r="J179" s="169">
        <f t="shared" si="223"/>
        <v>0</v>
      </c>
      <c r="K179" s="169">
        <f t="shared" si="223"/>
        <v>0</v>
      </c>
      <c r="L179" s="169">
        <f t="shared" si="223"/>
        <v>0</v>
      </c>
      <c r="M179" s="169">
        <f t="shared" si="223"/>
        <v>0</v>
      </c>
      <c r="N179" s="169">
        <f t="shared" si="223"/>
        <v>0</v>
      </c>
      <c r="O179" s="169">
        <f t="shared" si="223"/>
        <v>0</v>
      </c>
      <c r="P179" s="169">
        <f t="shared" si="223"/>
        <v>0</v>
      </c>
      <c r="Q179" s="51"/>
      <c r="R179" s="51"/>
      <c r="S179" s="169">
        <f t="shared" ref="S179:AA179" si="224">IFERROR(IF(VLOOKUP($F179,$F$124:$AA$139,S$141,FALSE)=0,"",IF(VLOOKUP($F179,$F$124:$AA$139,S$141,FALSE)&lt;S$166,1,0)),"")</f>
        <v>0</v>
      </c>
      <c r="T179" s="169">
        <f t="shared" si="224"/>
        <v>0</v>
      </c>
      <c r="U179" s="169">
        <f t="shared" si="224"/>
        <v>0</v>
      </c>
      <c r="V179" s="169">
        <f t="shared" si="224"/>
        <v>0</v>
      </c>
      <c r="W179" s="169">
        <f t="shared" si="224"/>
        <v>0</v>
      </c>
      <c r="X179" s="169">
        <f t="shared" si="224"/>
        <v>0</v>
      </c>
      <c r="Y179" s="169">
        <f t="shared" si="224"/>
        <v>0</v>
      </c>
      <c r="Z179" s="169">
        <f t="shared" si="224"/>
        <v>0</v>
      </c>
      <c r="AA179" s="169">
        <f t="shared" si="224"/>
        <v>0</v>
      </c>
      <c r="AB179" s="75">
        <f t="shared" si="204"/>
        <v>0</v>
      </c>
      <c r="AC179" s="39"/>
      <c r="AD179" s="1"/>
      <c r="AE179" s="1"/>
      <c r="AF179" s="1"/>
    </row>
    <row r="180" ht="27.75" customHeight="1">
      <c r="C180" s="1"/>
      <c r="D180" s="1"/>
      <c r="E180" s="1"/>
      <c r="F180" s="73" t="str">
        <f t="shared" si="201"/>
        <v>KIP</v>
      </c>
      <c r="G180" s="142"/>
      <c r="H180" s="169">
        <f t="shared" ref="H180:P180" si="225">IFERROR(IF(VLOOKUP($F180,$F$124:$AA$139,H$141,FALSE)=0,"",IF(VLOOKUP($F180,$F$124:$AA$139,H$141,FALSE)&lt;H$166,1,0)),"")</f>
        <v>0</v>
      </c>
      <c r="I180" s="169">
        <f t="shared" si="225"/>
        <v>0</v>
      </c>
      <c r="J180" s="169">
        <f t="shared" si="225"/>
        <v>0</v>
      </c>
      <c r="K180" s="169">
        <f t="shared" si="225"/>
        <v>0</v>
      </c>
      <c r="L180" s="169">
        <f t="shared" si="225"/>
        <v>0</v>
      </c>
      <c r="M180" s="169">
        <f t="shared" si="225"/>
        <v>0</v>
      </c>
      <c r="N180" s="169">
        <f t="shared" si="225"/>
        <v>0</v>
      </c>
      <c r="O180" s="169">
        <f t="shared" si="225"/>
        <v>0</v>
      </c>
      <c r="P180" s="169">
        <f t="shared" si="225"/>
        <v>0</v>
      </c>
      <c r="Q180" s="51"/>
      <c r="R180" s="51"/>
      <c r="S180" s="169">
        <f t="shared" ref="S180:AA180" si="226">IFERROR(IF(VLOOKUP($F180,$F$124:$AA$139,S$141,FALSE)=0,"",IF(VLOOKUP($F180,$F$124:$AA$139,S$141,FALSE)&lt;S$166,1,0)),"")</f>
        <v>0</v>
      </c>
      <c r="T180" s="169">
        <f t="shared" si="226"/>
        <v>0</v>
      </c>
      <c r="U180" s="169">
        <f t="shared" si="226"/>
        <v>0</v>
      </c>
      <c r="V180" s="169">
        <f t="shared" si="226"/>
        <v>0</v>
      </c>
      <c r="W180" s="169">
        <f t="shared" si="226"/>
        <v>0</v>
      </c>
      <c r="X180" s="169">
        <f t="shared" si="226"/>
        <v>0</v>
      </c>
      <c r="Y180" s="169">
        <f t="shared" si="226"/>
        <v>0</v>
      </c>
      <c r="Z180" s="169">
        <f t="shared" si="226"/>
        <v>0</v>
      </c>
      <c r="AA180" s="169">
        <f t="shared" si="226"/>
        <v>0</v>
      </c>
      <c r="AB180" s="75">
        <f t="shared" si="204"/>
        <v>0</v>
      </c>
      <c r="AC180" s="39"/>
      <c r="AD180" s="1"/>
      <c r="AE180" s="1"/>
      <c r="AF180" s="1"/>
    </row>
    <row r="181" ht="27.75" customHeight="1">
      <c r="C181" s="1"/>
      <c r="D181" s="1"/>
      <c r="E181" s="1"/>
      <c r="F181" s="73" t="str">
        <f t="shared" si="201"/>
        <v>SHEPP</v>
      </c>
      <c r="G181" s="142"/>
      <c r="H181" s="169">
        <f t="shared" ref="H181:P181" si="227">IFERROR(IF(VLOOKUP($F181,$F$124:$AA$139,H$141,FALSE)=0,"",IF(VLOOKUP($F181,$F$124:$AA$139,H$141,FALSE)&lt;H$166,1,0)),"")</f>
        <v>0</v>
      </c>
      <c r="I181" s="169">
        <f t="shared" si="227"/>
        <v>0</v>
      </c>
      <c r="J181" s="169">
        <f t="shared" si="227"/>
        <v>0</v>
      </c>
      <c r="K181" s="169">
        <f t="shared" si="227"/>
        <v>0</v>
      </c>
      <c r="L181" s="169">
        <f t="shared" si="227"/>
        <v>0</v>
      </c>
      <c r="M181" s="169">
        <f t="shared" si="227"/>
        <v>0</v>
      </c>
      <c r="N181" s="169">
        <f t="shared" si="227"/>
        <v>0</v>
      </c>
      <c r="O181" s="169">
        <f t="shared" si="227"/>
        <v>0</v>
      </c>
      <c r="P181" s="169">
        <f t="shared" si="227"/>
        <v>0</v>
      </c>
      <c r="Q181" s="51"/>
      <c r="R181" s="51"/>
      <c r="S181" s="169">
        <f t="shared" ref="S181:AA181" si="228">IFERROR(IF(VLOOKUP($F181,$F$124:$AA$139,S$141,FALSE)=0,"",IF(VLOOKUP($F181,$F$124:$AA$139,S$141,FALSE)&lt;S$166,1,0)),"")</f>
        <v>0</v>
      </c>
      <c r="T181" s="169">
        <f t="shared" si="228"/>
        <v>0</v>
      </c>
      <c r="U181" s="169">
        <f t="shared" si="228"/>
        <v>0</v>
      </c>
      <c r="V181" s="169">
        <f t="shared" si="228"/>
        <v>0</v>
      </c>
      <c r="W181" s="169">
        <f t="shared" si="228"/>
        <v>0</v>
      </c>
      <c r="X181" s="169">
        <f t="shared" si="228"/>
        <v>0</v>
      </c>
      <c r="Y181" s="169">
        <f t="shared" si="228"/>
        <v>0</v>
      </c>
      <c r="Z181" s="169">
        <f t="shared" si="228"/>
        <v>0</v>
      </c>
      <c r="AA181" s="169">
        <f t="shared" si="228"/>
        <v>0</v>
      </c>
      <c r="AB181" s="75">
        <f t="shared" si="204"/>
        <v>0</v>
      </c>
      <c r="AC181" s="39"/>
      <c r="AD181" s="1"/>
      <c r="AE181" s="1"/>
      <c r="AF181" s="1"/>
    </row>
    <row r="182" ht="27.75" customHeight="1">
      <c r="C182" s="1"/>
      <c r="D182" s="1"/>
      <c r="E182" s="1"/>
      <c r="F182" s="73" t="str">
        <f t="shared" si="201"/>
        <v>SKYLAR</v>
      </c>
      <c r="G182" s="142"/>
      <c r="H182" s="169">
        <f t="shared" ref="H182:P182" si="229">IFERROR(IF(VLOOKUP($F182,$F$124:$AA$139,H$141,FALSE)=0,"",IF(VLOOKUP($F182,$F$124:$AA$139,H$141,FALSE)&lt;H$166,1,0)),"")</f>
        <v>0</v>
      </c>
      <c r="I182" s="169">
        <f t="shared" si="229"/>
        <v>0</v>
      </c>
      <c r="J182" s="169">
        <f t="shared" si="229"/>
        <v>0</v>
      </c>
      <c r="K182" s="169">
        <f t="shared" si="229"/>
        <v>0</v>
      </c>
      <c r="L182" s="169">
        <f t="shared" si="229"/>
        <v>0</v>
      </c>
      <c r="M182" s="169">
        <f t="shared" si="229"/>
        <v>0</v>
      </c>
      <c r="N182" s="169">
        <f t="shared" si="229"/>
        <v>0</v>
      </c>
      <c r="O182" s="169">
        <f t="shared" si="229"/>
        <v>0</v>
      </c>
      <c r="P182" s="169">
        <f t="shared" si="229"/>
        <v>0</v>
      </c>
      <c r="Q182" s="51"/>
      <c r="R182" s="51"/>
      <c r="S182" s="169">
        <f t="shared" ref="S182:AA182" si="230">IFERROR(IF(VLOOKUP($F182,$F$124:$AA$139,S$141,FALSE)=0,"",IF(VLOOKUP($F182,$F$124:$AA$139,S$141,FALSE)&lt;S$166,1,0)),"")</f>
        <v>0</v>
      </c>
      <c r="T182" s="169">
        <f t="shared" si="230"/>
        <v>0</v>
      </c>
      <c r="U182" s="169">
        <f t="shared" si="230"/>
        <v>0</v>
      </c>
      <c r="V182" s="169">
        <f t="shared" si="230"/>
        <v>0</v>
      </c>
      <c r="W182" s="169">
        <f t="shared" si="230"/>
        <v>0</v>
      </c>
      <c r="X182" s="169">
        <f t="shared" si="230"/>
        <v>0</v>
      </c>
      <c r="Y182" s="169">
        <f t="shared" si="230"/>
        <v>0</v>
      </c>
      <c r="Z182" s="169">
        <f t="shared" si="230"/>
        <v>0</v>
      </c>
      <c r="AA182" s="169">
        <f t="shared" si="230"/>
        <v>0</v>
      </c>
      <c r="AB182" s="75">
        <f t="shared" si="204"/>
        <v>0</v>
      </c>
      <c r="AC182" s="39"/>
      <c r="AD182" s="1"/>
      <c r="AE182" s="1"/>
      <c r="AF182" s="1"/>
    </row>
    <row r="183" ht="27.75" customHeight="1">
      <c r="C183" s="1"/>
      <c r="D183" s="1"/>
      <c r="E183" s="1"/>
      <c r="F183" s="73" t="str">
        <f t="shared" si="201"/>
        <v>RYAN</v>
      </c>
      <c r="G183" s="142"/>
      <c r="H183" s="169">
        <f t="shared" ref="H183:P183" si="231">IFERROR(IF(VLOOKUP($F183,$F$124:$AA$139,H$141,FALSE)=0,"",IF(VLOOKUP($F183,$F$124:$AA$139,H$141,FALSE)&lt;H$166,1,0)),"")</f>
        <v>0</v>
      </c>
      <c r="I183" s="169">
        <f t="shared" si="231"/>
        <v>0</v>
      </c>
      <c r="J183" s="169">
        <f t="shared" si="231"/>
        <v>0</v>
      </c>
      <c r="K183" s="169">
        <f t="shared" si="231"/>
        <v>0</v>
      </c>
      <c r="L183" s="169">
        <f t="shared" si="231"/>
        <v>0</v>
      </c>
      <c r="M183" s="169">
        <f t="shared" si="231"/>
        <v>0</v>
      </c>
      <c r="N183" s="169">
        <f t="shared" si="231"/>
        <v>0</v>
      </c>
      <c r="O183" s="169">
        <f t="shared" si="231"/>
        <v>0</v>
      </c>
      <c r="P183" s="169">
        <f t="shared" si="231"/>
        <v>0</v>
      </c>
      <c r="Q183" s="51"/>
      <c r="R183" s="51"/>
      <c r="S183" s="169">
        <f t="shared" ref="S183:AA183" si="232">IFERROR(IF(VLOOKUP($F183,$F$124:$AA$139,S$141,FALSE)=0,"",IF(VLOOKUP($F183,$F$124:$AA$139,S$141,FALSE)&lt;S$166,1,0)),"")</f>
        <v>0</v>
      </c>
      <c r="T183" s="169">
        <f t="shared" si="232"/>
        <v>0</v>
      </c>
      <c r="U183" s="169">
        <f t="shared" si="232"/>
        <v>0</v>
      </c>
      <c r="V183" s="169">
        <f t="shared" si="232"/>
        <v>0</v>
      </c>
      <c r="W183" s="169">
        <f t="shared" si="232"/>
        <v>0</v>
      </c>
      <c r="X183" s="169">
        <f t="shared" si="232"/>
        <v>0</v>
      </c>
      <c r="Y183" s="169">
        <f t="shared" si="232"/>
        <v>0</v>
      </c>
      <c r="Z183" s="169">
        <f t="shared" si="232"/>
        <v>0</v>
      </c>
      <c r="AA183" s="169">
        <f t="shared" si="232"/>
        <v>0</v>
      </c>
      <c r="AB183" s="75">
        <f t="shared" si="204"/>
        <v>0</v>
      </c>
      <c r="AC183" s="39"/>
      <c r="AD183" s="1"/>
      <c r="AE183" s="1"/>
      <c r="AF183" s="1"/>
    </row>
    <row r="184" ht="7.5" customHeight="1">
      <c r="C184" s="1"/>
      <c r="D184" s="1"/>
      <c r="E184" s="1"/>
      <c r="F184" s="9"/>
      <c r="G184" s="9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10"/>
      <c r="AC184" s="39"/>
      <c r="AD184" s="1"/>
      <c r="AE184" s="1"/>
      <c r="AF184" s="1"/>
    </row>
    <row r="185" ht="24.75" customHeight="1">
      <c r="C185" s="1"/>
      <c r="D185" s="1"/>
      <c r="E185" s="1"/>
      <c r="F185" s="180" t="s">
        <v>31</v>
      </c>
      <c r="G185" s="142"/>
      <c r="H185" s="66">
        <f t="shared" ref="H185:P185" si="233">SUM(H168:H183)</f>
        <v>0</v>
      </c>
      <c r="I185" s="66">
        <f t="shared" si="233"/>
        <v>0</v>
      </c>
      <c r="J185" s="66">
        <f t="shared" si="233"/>
        <v>0</v>
      </c>
      <c r="K185" s="66">
        <f t="shared" si="233"/>
        <v>1</v>
      </c>
      <c r="L185" s="66">
        <f t="shared" si="233"/>
        <v>0</v>
      </c>
      <c r="M185" s="66">
        <f t="shared" si="233"/>
        <v>2</v>
      </c>
      <c r="N185" s="66">
        <f t="shared" si="233"/>
        <v>0</v>
      </c>
      <c r="O185" s="66">
        <f t="shared" si="233"/>
        <v>0</v>
      </c>
      <c r="P185" s="66">
        <f t="shared" si="233"/>
        <v>0</v>
      </c>
      <c r="Q185" s="1"/>
      <c r="R185" s="1"/>
      <c r="S185" s="66">
        <f t="shared" ref="S185:AB185" si="234">SUM(S168:S183)</f>
        <v>0</v>
      </c>
      <c r="T185" s="66">
        <f t="shared" si="234"/>
        <v>0</v>
      </c>
      <c r="U185" s="66">
        <f t="shared" si="234"/>
        <v>0</v>
      </c>
      <c r="V185" s="66">
        <f t="shared" si="234"/>
        <v>1</v>
      </c>
      <c r="W185" s="66">
        <f t="shared" si="234"/>
        <v>1</v>
      </c>
      <c r="X185" s="66">
        <f t="shared" si="234"/>
        <v>1</v>
      </c>
      <c r="Y185" s="66">
        <f t="shared" si="234"/>
        <v>1</v>
      </c>
      <c r="Z185" s="66">
        <f t="shared" si="234"/>
        <v>0</v>
      </c>
      <c r="AA185" s="66">
        <f t="shared" si="234"/>
        <v>3</v>
      </c>
      <c r="AB185" s="66">
        <f t="shared" si="234"/>
        <v>10</v>
      </c>
      <c r="AC185" s="1"/>
      <c r="AD185" s="1"/>
      <c r="AE185" s="1"/>
      <c r="AF185" s="1"/>
    </row>
    <row r="186" ht="14.25" customHeight="1"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4.25" customHeight="1"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4.25" customHeight="1"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4.25" customHeight="1"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4.25" customHeight="1"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4.25" customHeight="1"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4.25" customHeight="1"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4.25" customHeight="1"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4.25" customHeight="1"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4.2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4.2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4.2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4.2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4.2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4.2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4.2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4.2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4.2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4.2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4.2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4.2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4.2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4.2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4.2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4.2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4.2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4.2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4.2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4.2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4.2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4.2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4.2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4.2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4.2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4.2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4.2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4.2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4.2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4.2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4.2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4.2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4.2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4.2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4.2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4.2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4.2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4.2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4.2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4.2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4.2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4.2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4.2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4.2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4.2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4.2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4.2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4.2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4.2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4.2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4.2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4.2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4.2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4.2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4.2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4.2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4.2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4.2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4.2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4.2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4.2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4.2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4.2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4.2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4.2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4.2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4.2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4.2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4.2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4.2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4.2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4.2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4.2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4.2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4.2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4.2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4.2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4.2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4.2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4.2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4.2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4.2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4.2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4.2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4.2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4.2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4.2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4.2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4.2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4.2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4.2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4.2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4.2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4.2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4.2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4.2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4.2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4.2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4.2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4.2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4.2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4.2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4.2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4.2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4.2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4.2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4.2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4.2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4.2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4.2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4.2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4.2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4.2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4.2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4.2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4.2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4.2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4.2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4.2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4.2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4.2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4.2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4.2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4.2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4.2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4.2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4.2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4.2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4.2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4.2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4.2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4.2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4.2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4.2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4.2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4.2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4.2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4.2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4.2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4.2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4.2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4.2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4.2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4.2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4.2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4.2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4.2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4.2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4.2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4.2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4.2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4.2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4.2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4.2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4.2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4.2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4.2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4.2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4.2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4.2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4.2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4.2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4.2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4.2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4.2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4.2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4.2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4.2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4.2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4.2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4.2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4.2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4.2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4.2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4.2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4.2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4.2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4.2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4.2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4.2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4.2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4.2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4.2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4.2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4.2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4.2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4.2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4.2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4.2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4.2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4.2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F68:F69"/>
    <mergeCell ref="G68:G69"/>
    <mergeCell ref="F70:F71"/>
    <mergeCell ref="G70:G71"/>
    <mergeCell ref="F73:G73"/>
    <mergeCell ref="F74:G74"/>
    <mergeCell ref="F78:AC78"/>
    <mergeCell ref="J79:N79"/>
    <mergeCell ref="V79:Z79"/>
    <mergeCell ref="F81:F82"/>
    <mergeCell ref="F85:F86"/>
    <mergeCell ref="G85:G86"/>
    <mergeCell ref="F87:F88"/>
    <mergeCell ref="G87:G88"/>
    <mergeCell ref="F90:G90"/>
    <mergeCell ref="F91:G91"/>
    <mergeCell ref="F93:F94"/>
    <mergeCell ref="G93:G94"/>
    <mergeCell ref="F95:F96"/>
    <mergeCell ref="G95:G96"/>
    <mergeCell ref="F98:G98"/>
    <mergeCell ref="F99:G99"/>
    <mergeCell ref="F161:G161"/>
    <mergeCell ref="F168:G168"/>
    <mergeCell ref="F169:G169"/>
    <mergeCell ref="F170:G170"/>
    <mergeCell ref="F171:G171"/>
    <mergeCell ref="F172:G172"/>
    <mergeCell ref="F180:G180"/>
    <mergeCell ref="F181:G181"/>
    <mergeCell ref="F182:G182"/>
    <mergeCell ref="F183:G183"/>
    <mergeCell ref="F185:G185"/>
    <mergeCell ref="F173:G173"/>
    <mergeCell ref="F174:G174"/>
    <mergeCell ref="F175:G175"/>
    <mergeCell ref="F176:G176"/>
    <mergeCell ref="F177:G177"/>
    <mergeCell ref="F178:G178"/>
    <mergeCell ref="F179:G179"/>
    <mergeCell ref="F3:AC3"/>
    <mergeCell ref="J4:N4"/>
    <mergeCell ref="V4:Z4"/>
    <mergeCell ref="F6:F7"/>
    <mergeCell ref="F10:F11"/>
    <mergeCell ref="G10:G11"/>
    <mergeCell ref="F12:F13"/>
    <mergeCell ref="F23:G23"/>
    <mergeCell ref="F24:G24"/>
    <mergeCell ref="F28:AC28"/>
    <mergeCell ref="J29:N29"/>
    <mergeCell ref="V29:Z29"/>
    <mergeCell ref="G12:G13"/>
    <mergeCell ref="F15:G15"/>
    <mergeCell ref="F16:G16"/>
    <mergeCell ref="F18:F19"/>
    <mergeCell ref="G18:G19"/>
    <mergeCell ref="F20:F21"/>
    <mergeCell ref="G20:G21"/>
    <mergeCell ref="J54:N54"/>
    <mergeCell ref="V54:Z54"/>
    <mergeCell ref="F43:F44"/>
    <mergeCell ref="G43:G44"/>
    <mergeCell ref="F45:F46"/>
    <mergeCell ref="G45:G46"/>
    <mergeCell ref="F48:G48"/>
    <mergeCell ref="F49:G49"/>
    <mergeCell ref="F53:AC53"/>
    <mergeCell ref="F31:F32"/>
    <mergeCell ref="F35:F36"/>
    <mergeCell ref="G35:G36"/>
    <mergeCell ref="F37:F38"/>
    <mergeCell ref="G37:G38"/>
    <mergeCell ref="F40:G40"/>
    <mergeCell ref="F41:G41"/>
    <mergeCell ref="F56:F57"/>
    <mergeCell ref="F60:F61"/>
    <mergeCell ref="G60:G61"/>
    <mergeCell ref="F62:F63"/>
    <mergeCell ref="G62:G63"/>
    <mergeCell ref="F65:G65"/>
    <mergeCell ref="F66:G66"/>
  </mergeCells>
  <conditionalFormatting sqref="AB168">
    <cfRule type="expression" dxfId="0" priority="1">
      <formula>AND(AB168=AB$171,AB$173="1")</formula>
    </cfRule>
  </conditionalFormatting>
  <conditionalFormatting sqref="AB168">
    <cfRule type="expression" dxfId="0" priority="2">
      <formula>AND(AB168=$H$171,$H$173="1")</formula>
    </cfRule>
  </conditionalFormatting>
  <conditionalFormatting sqref="AB169:AB183">
    <cfRule type="expression" dxfId="0" priority="3">
      <formula>AND(AB169=AB$171,AB$173="1")</formula>
    </cfRule>
  </conditionalFormatting>
  <conditionalFormatting sqref="AB169:AB183">
    <cfRule type="expression" dxfId="0" priority="4">
      <formula>AND(AB169=$H$171,$H$173="1")</formula>
    </cfRule>
  </conditionalFormatting>
  <conditionalFormatting sqref="S168:AA183">
    <cfRule type="expression" dxfId="0" priority="5">
      <formula>S168=1</formula>
    </cfRule>
  </conditionalFormatting>
  <conditionalFormatting sqref="H144:P144">
    <cfRule type="expression" dxfId="0" priority="6">
      <formula>AND(H144=H$161,H$163="1")</formula>
    </cfRule>
  </conditionalFormatting>
  <conditionalFormatting sqref="I144:P144">
    <cfRule type="expression" dxfId="0" priority="7">
      <formula>AND(I144=$H$161,$H$163="1")</formula>
    </cfRule>
  </conditionalFormatting>
  <conditionalFormatting sqref="H145:P159">
    <cfRule type="expression" dxfId="0" priority="8">
      <formula>AND(H145=H$161,H$163="1")</formula>
    </cfRule>
  </conditionalFormatting>
  <conditionalFormatting sqref="I145:P159">
    <cfRule type="expression" dxfId="0" priority="9">
      <formula>AND(I145=$H$161,$H$163="1")</formula>
    </cfRule>
  </conditionalFormatting>
  <conditionalFormatting sqref="S144:AA144">
    <cfRule type="expression" dxfId="0" priority="10">
      <formula>AND(S144=S$161,S$163="1")</formula>
    </cfRule>
  </conditionalFormatting>
  <conditionalFormatting sqref="T144:AA144">
    <cfRule type="expression" dxfId="0" priority="11">
      <formula>AND(T144=$H$161,$H$163="1")</formula>
    </cfRule>
  </conditionalFormatting>
  <conditionalFormatting sqref="S145:AA159">
    <cfRule type="expression" dxfId="0" priority="12">
      <formula>AND(S145=S$161,S$163="1")</formula>
    </cfRule>
  </conditionalFormatting>
  <conditionalFormatting sqref="T145:AA159">
    <cfRule type="expression" dxfId="0" priority="13">
      <formula>AND(T145=$H$161,$H$163="1")</formula>
    </cfRule>
  </conditionalFormatting>
  <conditionalFormatting sqref="H168:P183">
    <cfRule type="expression" dxfId="0" priority="14">
      <formula>H168=1</formula>
    </cfRule>
  </conditionalFormatting>
  <conditionalFormatting sqref="I168">
    <cfRule type="expression" dxfId="0" priority="15">
      <formula>AND(I168=$H$161,$H$163="1")</formula>
    </cfRule>
  </conditionalFormatting>
  <conditionalFormatting sqref="H169:I183">
    <cfRule type="expression" dxfId="0" priority="16">
      <formula>AND(H169=H$161,H$163="1")</formula>
    </cfRule>
  </conditionalFormatting>
  <conditionalFormatting sqref="I169:I183">
    <cfRule type="expression" dxfId="0" priority="17">
      <formula>AND(I169=$H$161,$H$163="1")</formula>
    </cfRule>
  </conditionalFormatting>
  <conditionalFormatting sqref="J168:P168">
    <cfRule type="expression" dxfId="0" priority="18">
      <formula>AND(J168=J$161,J$163="1")</formula>
    </cfRule>
  </conditionalFormatting>
  <conditionalFormatting sqref="J168:P168">
    <cfRule type="expression" dxfId="0" priority="19">
      <formula>AND(J168=$H$161,$H$163="1")</formula>
    </cfRule>
  </conditionalFormatting>
  <conditionalFormatting sqref="J169:P183">
    <cfRule type="expression" dxfId="0" priority="20">
      <formula>AND(J169=J$161,J$163="1")</formula>
    </cfRule>
  </conditionalFormatting>
  <conditionalFormatting sqref="J169:P183">
    <cfRule type="expression" dxfId="0" priority="21">
      <formula>AND(J169=$H$161,$H$163="1")</formula>
    </cfRule>
  </conditionalFormatting>
  <dataValidations>
    <dataValidation type="list" allowBlank="1" showErrorMessage="1" sqref="F10 F12 F18 F20 F35 F37 F43 F45 F60 F62 F68 F70 F85 F87 F93 F95 F144:F160 F168:F184">
      <formula1>HANDICAPS!$B$8:$B$23</formula1>
    </dataValidation>
    <dataValidation type="list" allowBlank="1" showErrorMessage="1" sqref="G144:G159">
      <formula1>$D$144:$D$145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" width="2.0"/>
    <col customWidth="1" min="3" max="4" width="20.63"/>
    <col customWidth="1" min="5" max="26" width="6.38"/>
    <col customWidth="1" min="27" max="27" width="16.88"/>
    <col customWidth="1" min="28" max="28" width="30.25"/>
  </cols>
  <sheetData>
    <row r="1">
      <c r="B1" s="191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1"/>
      <c r="U1" s="191"/>
      <c r="V1" s="191"/>
      <c r="W1" s="191"/>
      <c r="X1" s="191"/>
      <c r="Y1" s="191"/>
      <c r="Z1" s="191"/>
      <c r="AA1" s="193" t="s">
        <v>155</v>
      </c>
      <c r="AB1" s="142"/>
    </row>
    <row r="2">
      <c r="B2" s="1"/>
      <c r="C2" s="270" t="s">
        <v>182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4"/>
      <c r="AA2" s="271" t="s">
        <v>157</v>
      </c>
      <c r="AB2" s="142"/>
    </row>
    <row r="3">
      <c r="B3" s="1"/>
      <c r="C3" s="196"/>
      <c r="D3" s="197"/>
      <c r="E3" s="198"/>
      <c r="F3" s="198"/>
      <c r="G3" s="277" t="s">
        <v>135</v>
      </c>
      <c r="H3" s="200"/>
      <c r="I3" s="200"/>
      <c r="J3" s="200"/>
      <c r="K3" s="200"/>
      <c r="L3" s="198"/>
      <c r="M3" s="198"/>
      <c r="N3" s="198"/>
      <c r="O3" s="201"/>
      <c r="P3" s="198"/>
      <c r="Q3" s="198"/>
      <c r="R3" s="198"/>
      <c r="S3" s="277" t="s">
        <v>136</v>
      </c>
      <c r="T3" s="200"/>
      <c r="U3" s="200"/>
      <c r="V3" s="200"/>
      <c r="W3" s="200"/>
      <c r="X3" s="198"/>
      <c r="Y3" s="198"/>
      <c r="Z3" s="272"/>
      <c r="AA3" s="273" t="s">
        <v>158</v>
      </c>
      <c r="AB3" s="204" t="s">
        <v>183</v>
      </c>
    </row>
    <row r="4">
      <c r="B4" s="1"/>
      <c r="C4" s="205" t="s">
        <v>160</v>
      </c>
      <c r="D4" s="143" t="s">
        <v>137</v>
      </c>
      <c r="E4" s="143">
        <v>1.0</v>
      </c>
      <c r="F4" s="143">
        <v>2.0</v>
      </c>
      <c r="G4" s="143">
        <v>3.0</v>
      </c>
      <c r="H4" s="143">
        <v>4.0</v>
      </c>
      <c r="I4" s="143">
        <v>5.0</v>
      </c>
      <c r="J4" s="143">
        <v>6.0</v>
      </c>
      <c r="K4" s="143">
        <v>7.0</v>
      </c>
      <c r="L4" s="143">
        <v>8.0</v>
      </c>
      <c r="M4" s="143">
        <v>9.0</v>
      </c>
      <c r="N4" s="143" t="s">
        <v>138</v>
      </c>
      <c r="O4" s="278"/>
      <c r="P4" s="143">
        <v>10.0</v>
      </c>
      <c r="Q4" s="143">
        <v>11.0</v>
      </c>
      <c r="R4" s="143">
        <v>12.0</v>
      </c>
      <c r="S4" s="143">
        <v>13.0</v>
      </c>
      <c r="T4" s="143">
        <v>14.0</v>
      </c>
      <c r="U4" s="143">
        <v>15.0</v>
      </c>
      <c r="V4" s="143">
        <v>16.0</v>
      </c>
      <c r="W4" s="143">
        <v>17.0</v>
      </c>
      <c r="X4" s="143">
        <v>18.0</v>
      </c>
      <c r="Y4" s="143" t="s">
        <v>139</v>
      </c>
      <c r="Z4" s="279" t="s">
        <v>31</v>
      </c>
      <c r="AA4" s="274" t="s">
        <v>161</v>
      </c>
      <c r="AB4" s="212" t="s">
        <v>184</v>
      </c>
    </row>
    <row r="5">
      <c r="B5" s="1"/>
      <c r="C5" s="125"/>
      <c r="D5" s="182" t="s">
        <v>104</v>
      </c>
      <c r="E5" s="182">
        <v>355.0</v>
      </c>
      <c r="F5" s="182">
        <v>311.0</v>
      </c>
      <c r="G5" s="182">
        <v>494.0</v>
      </c>
      <c r="H5" s="182">
        <v>367.0</v>
      </c>
      <c r="I5" s="182">
        <v>417.0</v>
      </c>
      <c r="J5" s="182">
        <v>487.0</v>
      </c>
      <c r="K5" s="182">
        <v>136.0</v>
      </c>
      <c r="L5" s="182">
        <v>361.0</v>
      </c>
      <c r="M5" s="182">
        <v>166.0</v>
      </c>
      <c r="N5" s="182">
        <f t="shared" ref="N5:N6" si="1">SUM(E5:M5)</f>
        <v>3094</v>
      </c>
      <c r="O5" s="215"/>
      <c r="P5" s="182">
        <v>285.0</v>
      </c>
      <c r="Q5" s="182">
        <v>531.0</v>
      </c>
      <c r="R5" s="182">
        <v>331.0</v>
      </c>
      <c r="S5" s="182">
        <v>516.0</v>
      </c>
      <c r="T5" s="182">
        <v>160.0</v>
      </c>
      <c r="U5" s="182">
        <v>401.0</v>
      </c>
      <c r="V5" s="182">
        <v>151.0</v>
      </c>
      <c r="W5" s="182">
        <v>385.0</v>
      </c>
      <c r="X5" s="182">
        <v>498.0</v>
      </c>
      <c r="Y5" s="182">
        <f t="shared" ref="Y5:Y6" si="2">SUM(P5:X5)</f>
        <v>3258</v>
      </c>
      <c r="Z5" s="214">
        <f t="shared" ref="Z5:Z6" si="3">Y5+N5</f>
        <v>6352</v>
      </c>
      <c r="AA5" s="274" t="s">
        <v>9</v>
      </c>
      <c r="AB5" s="212" t="s">
        <v>185</v>
      </c>
    </row>
    <row r="6">
      <c r="B6" s="1"/>
      <c r="C6" s="125"/>
      <c r="D6" s="147" t="s">
        <v>113</v>
      </c>
      <c r="E6" s="147">
        <v>4.0</v>
      </c>
      <c r="F6" s="147">
        <v>4.0</v>
      </c>
      <c r="G6" s="147">
        <v>5.0</v>
      </c>
      <c r="H6" s="147">
        <v>4.0</v>
      </c>
      <c r="I6" s="147">
        <v>4.0</v>
      </c>
      <c r="J6" s="147">
        <v>5.0</v>
      </c>
      <c r="K6" s="147">
        <v>3.0</v>
      </c>
      <c r="L6" s="147">
        <v>4.0</v>
      </c>
      <c r="M6" s="147">
        <v>3.0</v>
      </c>
      <c r="N6" s="147">
        <f t="shared" si="1"/>
        <v>36</v>
      </c>
      <c r="O6" s="215"/>
      <c r="P6" s="147">
        <v>4.0</v>
      </c>
      <c r="Q6" s="147">
        <v>5.0</v>
      </c>
      <c r="R6" s="147">
        <v>4.0</v>
      </c>
      <c r="S6" s="147">
        <v>5.0</v>
      </c>
      <c r="T6" s="147">
        <v>3.0</v>
      </c>
      <c r="U6" s="147">
        <v>4.0</v>
      </c>
      <c r="V6" s="147">
        <v>3.0</v>
      </c>
      <c r="W6" s="147">
        <v>4.0</v>
      </c>
      <c r="X6" s="147">
        <v>5.0</v>
      </c>
      <c r="Y6" s="147">
        <f t="shared" si="2"/>
        <v>37</v>
      </c>
      <c r="Z6" s="218">
        <f t="shared" si="3"/>
        <v>73</v>
      </c>
      <c r="AA6" s="274" t="s">
        <v>164</v>
      </c>
      <c r="AB6" s="212" t="s">
        <v>186</v>
      </c>
    </row>
    <row r="7">
      <c r="B7" s="1"/>
      <c r="C7" s="127"/>
      <c r="D7" s="222" t="s">
        <v>142</v>
      </c>
      <c r="E7" s="222">
        <v>9.0</v>
      </c>
      <c r="F7" s="222">
        <v>17.0</v>
      </c>
      <c r="G7" s="222">
        <v>5.0</v>
      </c>
      <c r="H7" s="222">
        <v>7.0</v>
      </c>
      <c r="I7" s="222">
        <v>1.0</v>
      </c>
      <c r="J7" s="222">
        <v>13.0</v>
      </c>
      <c r="K7" s="222">
        <v>15.0</v>
      </c>
      <c r="L7" s="222">
        <v>3.0</v>
      </c>
      <c r="M7" s="222">
        <v>11.0</v>
      </c>
      <c r="N7" s="222"/>
      <c r="O7" s="224"/>
      <c r="P7" s="222">
        <v>18.0</v>
      </c>
      <c r="Q7" s="222">
        <v>4.0</v>
      </c>
      <c r="R7" s="222">
        <v>8.0</v>
      </c>
      <c r="S7" s="222">
        <v>14.0</v>
      </c>
      <c r="T7" s="222">
        <v>12.0</v>
      </c>
      <c r="U7" s="222">
        <v>2.0</v>
      </c>
      <c r="V7" s="222">
        <v>16.0</v>
      </c>
      <c r="W7" s="222">
        <v>6.0</v>
      </c>
      <c r="X7" s="222">
        <v>10.0</v>
      </c>
      <c r="Y7" s="222"/>
      <c r="Z7" s="223"/>
      <c r="AA7" s="274" t="s">
        <v>166</v>
      </c>
      <c r="AB7" s="212" t="s">
        <v>187</v>
      </c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27" t="s">
        <v>168</v>
      </c>
      <c r="AB8" s="228" t="s">
        <v>188</v>
      </c>
    </row>
    <row r="9">
      <c r="B9" s="1"/>
      <c r="C9" s="229" t="str">
        <f>'ROUND 3 - FOURBALL'!F10</f>
        <v>ERIC</v>
      </c>
      <c r="D9" s="230">
        <f>vlookup($C9,HANDICAPS!$B$33:$G$48,5,false)</f>
        <v>13</v>
      </c>
      <c r="E9" s="231">
        <f>if(isblank(E10),"",if(E11=-3,16*D12,if(E11=-2,8*D12,if(E11=-1,4*D12,if(E11=0,2*D12,if(E11=1,0,if(E11&gt;1,-4*D12))))))+D10)</f>
        <v>-4</v>
      </c>
      <c r="F9" s="232">
        <f t="shared" ref="F9:M9" si="4">if(isblank(F10),"",if(F11=-3,16*E12+E9,if(F11=-2,8*E12+E9,if(F11=-1,4*E12+E9,if(F11=0,2*E12+E9,if(F11=1,0+E9,if(F11&gt;1,-4*E12+E9)))))))</f>
        <v>-4</v>
      </c>
      <c r="G9" s="232">
        <f t="shared" si="4"/>
        <v>-4</v>
      </c>
      <c r="H9" s="232">
        <f t="shared" si="4"/>
        <v>0</v>
      </c>
      <c r="I9" s="232">
        <f t="shared" si="4"/>
        <v>4</v>
      </c>
      <c r="J9" s="232">
        <f t="shared" si="4"/>
        <v>6</v>
      </c>
      <c r="K9" s="232">
        <f t="shared" si="4"/>
        <v>6</v>
      </c>
      <c r="L9" s="232">
        <f t="shared" si="4"/>
        <v>8</v>
      </c>
      <c r="M9" s="233">
        <f t="shared" si="4"/>
        <v>8</v>
      </c>
      <c r="N9" s="234">
        <f>M9</f>
        <v>8</v>
      </c>
      <c r="O9" s="235"/>
      <c r="P9" s="231">
        <f>if(isblank(P10),"",if(P11=-3,16*O12+O10+N9,if(P11=-2,8*O12+O10+N9,if(P11=-1,4*O12+O10+N9,if(P11=0,2*O12+O10+N9,if(P11=1,0+N9,if(P11&gt;1,-4*O12+O10+N9)))))))</f>
        <v>4</v>
      </c>
      <c r="Q9" s="232">
        <f t="shared" ref="Q9:X9" si="5">if(isblank(Q10),"",if(Q11=-3,16*P12+P9,if(Q11=-2,8*P12+P9,if(Q11=-1,4*P12+P9,if(Q11=0,2*P12+P9,if(Q11=1,0+P9,if(Q11&gt;1,-4*P12+P9)))))))</f>
        <v>0</v>
      </c>
      <c r="R9" s="232">
        <f t="shared" si="5"/>
        <v>2</v>
      </c>
      <c r="S9" s="232">
        <f t="shared" si="5"/>
        <v>4</v>
      </c>
      <c r="T9" s="232">
        <f t="shared" si="5"/>
        <v>6</v>
      </c>
      <c r="U9" s="232">
        <f t="shared" si="5"/>
        <v>10</v>
      </c>
      <c r="V9" s="232">
        <f t="shared" si="5"/>
        <v>2</v>
      </c>
      <c r="W9" s="232">
        <f t="shared" si="5"/>
        <v>-2</v>
      </c>
      <c r="X9" s="233">
        <f t="shared" si="5"/>
        <v>0</v>
      </c>
      <c r="Y9" s="234">
        <f>if(isblank(X10),"",X9-N9)</f>
        <v>-8</v>
      </c>
      <c r="Z9" s="234">
        <f>if(isblank(X10),0,X9)</f>
        <v>0</v>
      </c>
      <c r="AA9" s="236">
        <f>X12</f>
        <v>1</v>
      </c>
      <c r="AB9" s="1"/>
    </row>
    <row r="10">
      <c r="A10" s="237"/>
      <c r="B10" s="39"/>
      <c r="C10" s="238" t="s">
        <v>170</v>
      </c>
      <c r="D10" s="239"/>
      <c r="E10" s="240">
        <f>vlookup('ROUND 3 - FOURBALL'!$B11,'ROUND 3 - FOURBALL'!$B:$AC,7,false)</f>
        <v>7</v>
      </c>
      <c r="F10" s="241">
        <f>vlookup('ROUND 3 - FOURBALL'!$B11,'ROUND 3 - FOURBALL'!$B:$AC,8,false)</f>
        <v>5</v>
      </c>
      <c r="G10" s="241">
        <f>vlookup('ROUND 3 - FOURBALL'!$B11,'ROUND 3 - FOURBALL'!$B:$AC,9,false)</f>
        <v>7</v>
      </c>
      <c r="H10" s="241">
        <f>vlookup('ROUND 3 - FOURBALL'!$B11,'ROUND 3 - FOURBALL'!$B:$AC,10,false)</f>
        <v>4</v>
      </c>
      <c r="I10" s="241">
        <f>vlookup('ROUND 3 - FOURBALL'!$B11,'ROUND 3 - FOURBALL'!$B:$AC,11,false)</f>
        <v>5</v>
      </c>
      <c r="J10" s="241">
        <f>vlookup('ROUND 3 - FOURBALL'!$B11,'ROUND 3 - FOURBALL'!$B:$AC,12,false)</f>
        <v>6</v>
      </c>
      <c r="K10" s="241">
        <f>vlookup('ROUND 3 - FOURBALL'!$B11,'ROUND 3 - FOURBALL'!$B:$AC,13,false)</f>
        <v>4</v>
      </c>
      <c r="L10" s="241">
        <f>vlookup('ROUND 3 - FOURBALL'!$B11,'ROUND 3 - FOURBALL'!$B:$AC,14,false)</f>
        <v>5</v>
      </c>
      <c r="M10" s="242">
        <f>vlookup('ROUND 3 - FOURBALL'!$B11,'ROUND 3 - FOURBALL'!$B:$AC,15,false)</f>
        <v>5</v>
      </c>
      <c r="N10" s="243">
        <f>if(isblank(M10),"",sum(E10:M10))</f>
        <v>48</v>
      </c>
      <c r="O10" s="244"/>
      <c r="P10" s="240">
        <f>vlookup('ROUND 3 - FOURBALL'!$B11,'ROUND 3 - FOURBALL'!$B:$AC,18,false)</f>
        <v>7</v>
      </c>
      <c r="Q10" s="241">
        <f>vlookup('ROUND 3 - FOURBALL'!$B11,'ROUND 3 - FOURBALL'!$B:$AC,19,false)</f>
        <v>8</v>
      </c>
      <c r="R10" s="241">
        <f>vlookup('ROUND 3 - FOURBALL'!$B11,'ROUND 3 - FOURBALL'!$B:$AC,20,false)</f>
        <v>5</v>
      </c>
      <c r="S10" s="241">
        <f>vlookup('ROUND 3 - FOURBALL'!$B11,'ROUND 3 - FOURBALL'!$B:$AC,21,false)</f>
        <v>5</v>
      </c>
      <c r="T10" s="241">
        <f>vlookup('ROUND 3 - FOURBALL'!$B11,'ROUND 3 - FOURBALL'!$B:$AC,22,false)</f>
        <v>4</v>
      </c>
      <c r="U10" s="241">
        <f>vlookup('ROUND 3 - FOURBALL'!$B11,'ROUND 3 - FOURBALL'!$B:$AC,23,false)</f>
        <v>4</v>
      </c>
      <c r="V10" s="241">
        <f>vlookup('ROUND 3 - FOURBALL'!$B11,'ROUND 3 - FOURBALL'!$B:$AC,24,false)</f>
        <v>5</v>
      </c>
      <c r="W10" s="241">
        <f>vlookup('ROUND 3 - FOURBALL'!$B11,'ROUND 3 - FOURBALL'!$B:$AC,25,false)</f>
        <v>7</v>
      </c>
      <c r="X10" s="242">
        <f>vlookup('ROUND 3 - FOURBALL'!$B11,'ROUND 3 - FOURBALL'!$B:$AC,26,false)</f>
        <v>6</v>
      </c>
      <c r="Y10" s="243">
        <f>if(isblank(X10),"",sum(P10:X10))</f>
        <v>51</v>
      </c>
      <c r="Z10" s="245">
        <f>if(isblank(X10),"",sum(N10,Y10))</f>
        <v>99</v>
      </c>
      <c r="AA10" s="246"/>
      <c r="AB10" s="39"/>
    </row>
    <row r="11">
      <c r="A11" s="237"/>
      <c r="B11" s="39"/>
      <c r="C11" s="247" t="s">
        <v>171</v>
      </c>
      <c r="D11" s="248"/>
      <c r="E11" s="249">
        <f t="shared" ref="E11:M11" si="6">if(isblank(E10),"",if(and(18-$D9&lt;0,18+E$7&lt;$D9),E10-2-E$6,if(or(E$7&lt;$D9,E$7=$D9),E10-1-E$6,E10-E$6)))</f>
        <v>2</v>
      </c>
      <c r="F11" s="250">
        <f t="shared" si="6"/>
        <v>1</v>
      </c>
      <c r="G11" s="250">
        <f t="shared" si="6"/>
        <v>1</v>
      </c>
      <c r="H11" s="250">
        <f t="shared" si="6"/>
        <v>-1</v>
      </c>
      <c r="I11" s="250">
        <f t="shared" si="6"/>
        <v>0</v>
      </c>
      <c r="J11" s="250">
        <f t="shared" si="6"/>
        <v>0</v>
      </c>
      <c r="K11" s="250">
        <f t="shared" si="6"/>
        <v>1</v>
      </c>
      <c r="L11" s="250">
        <f t="shared" si="6"/>
        <v>0</v>
      </c>
      <c r="M11" s="251">
        <f t="shared" si="6"/>
        <v>1</v>
      </c>
      <c r="N11" s="243">
        <f>if(isblank(M10),"",if(or(N$7&lt;$D9,N$7=$D9),N10-1-N$6,N10-N$6))</f>
        <v>11</v>
      </c>
      <c r="O11" s="244"/>
      <c r="P11" s="249">
        <f t="shared" ref="P11:X11" si="7">if(isblank(P10),"",if(and(18-$D9&lt;0,18+P$7&lt;$D9),P10-2-P$6,if(or(P$7&lt;$D9,P$7=$D9),P10-1-P$6,P10-P$6)))</f>
        <v>3</v>
      </c>
      <c r="Q11" s="250">
        <f t="shared" si="7"/>
        <v>2</v>
      </c>
      <c r="R11" s="250">
        <f t="shared" si="7"/>
        <v>0</v>
      </c>
      <c r="S11" s="250">
        <f t="shared" si="7"/>
        <v>0</v>
      </c>
      <c r="T11" s="250">
        <f t="shared" si="7"/>
        <v>0</v>
      </c>
      <c r="U11" s="250">
        <f t="shared" si="7"/>
        <v>-1</v>
      </c>
      <c r="V11" s="250">
        <f t="shared" si="7"/>
        <v>2</v>
      </c>
      <c r="W11" s="250">
        <f t="shared" si="7"/>
        <v>2</v>
      </c>
      <c r="X11" s="251">
        <f t="shared" si="7"/>
        <v>0</v>
      </c>
      <c r="Y11" s="243">
        <f>if(isblank(X10),"",if(or(Y$7&lt;$D9,Y$7=$D9),Y10-1-Y$6,Y10-Y$6))</f>
        <v>13</v>
      </c>
      <c r="Z11" s="252">
        <f>if(isblank(X10),"",sum(N11,Y11))</f>
        <v>24</v>
      </c>
      <c r="AA11" s="42"/>
      <c r="AB11" s="39"/>
    </row>
    <row r="12">
      <c r="B12" s="1"/>
      <c r="C12" s="253" t="s">
        <v>172</v>
      </c>
      <c r="D12" s="253">
        <f>vlookup($C9,'TILT Round 2'!$C:$AA,25,false)</f>
        <v>1</v>
      </c>
      <c r="E12" s="255">
        <f t="shared" ref="E12:M12" si="8">if(isblank(E10),"",if(E11=-1,D12+1,if(E11=-2,D12+2,if(E11=-3,D12+3,1))))</f>
        <v>1</v>
      </c>
      <c r="F12" s="256">
        <f t="shared" si="8"/>
        <v>1</v>
      </c>
      <c r="G12" s="256">
        <f t="shared" si="8"/>
        <v>1</v>
      </c>
      <c r="H12" s="256">
        <f t="shared" si="8"/>
        <v>2</v>
      </c>
      <c r="I12" s="256">
        <f t="shared" si="8"/>
        <v>1</v>
      </c>
      <c r="J12" s="256">
        <f t="shared" si="8"/>
        <v>1</v>
      </c>
      <c r="K12" s="256">
        <f t="shared" si="8"/>
        <v>1</v>
      </c>
      <c r="L12" s="256">
        <f t="shared" si="8"/>
        <v>1</v>
      </c>
      <c r="M12" s="257">
        <f t="shared" si="8"/>
        <v>1</v>
      </c>
      <c r="N12" s="258"/>
      <c r="O12" s="259">
        <f>M12</f>
        <v>1</v>
      </c>
      <c r="P12" s="255">
        <f t="shared" ref="P12:X12" si="9">if(isblank(P10),"",if(P11=-1,O12+1,if(P11=-2,O12+2,if(P11=-3,O12+3,1))))</f>
        <v>1</v>
      </c>
      <c r="Q12" s="256">
        <f t="shared" si="9"/>
        <v>1</v>
      </c>
      <c r="R12" s="256">
        <f t="shared" si="9"/>
        <v>1</v>
      </c>
      <c r="S12" s="256">
        <f t="shared" si="9"/>
        <v>1</v>
      </c>
      <c r="T12" s="256">
        <f t="shared" si="9"/>
        <v>1</v>
      </c>
      <c r="U12" s="256">
        <f t="shared" si="9"/>
        <v>2</v>
      </c>
      <c r="V12" s="256">
        <f t="shared" si="9"/>
        <v>1</v>
      </c>
      <c r="W12" s="256">
        <f t="shared" si="9"/>
        <v>1</v>
      </c>
      <c r="X12" s="257">
        <f t="shared" si="9"/>
        <v>1</v>
      </c>
      <c r="Y12" s="258"/>
      <c r="Z12" s="234">
        <f>if(isblank(Y10),"",if(Y11=-1,X12+1,if(Y11=-2,X12+2,if(Y11=-3,X12+3,1))))</f>
        <v>1</v>
      </c>
      <c r="AA12" s="260"/>
      <c r="AB12" s="1"/>
    </row>
    <row r="13">
      <c r="B13" s="1"/>
      <c r="C13" s="261"/>
      <c r="D13" s="261"/>
      <c r="E13" s="262"/>
      <c r="F13" s="262"/>
      <c r="G13" s="262"/>
      <c r="H13" s="263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3"/>
      <c r="W13" s="262"/>
      <c r="X13" s="262"/>
      <c r="Y13" s="262"/>
      <c r="Z13" s="262"/>
      <c r="AA13" s="236"/>
      <c r="AB13" s="1"/>
    </row>
    <row r="14">
      <c r="B14" s="1"/>
      <c r="C14" s="229" t="str">
        <f>'ROUND 3 - FOURBALL'!F12</f>
        <v>RYAN</v>
      </c>
      <c r="D14" s="230">
        <f>vlookup($C14,HANDICAPS!$B$33:$G$48,5,false)</f>
        <v>23</v>
      </c>
      <c r="E14" s="231">
        <f>if(isblank(E15),"",if(E16=-3,16*D17,if(E16=-2,8*D17,if(E16=-1,4*D17,if(E16=0,2*D17,if(E16=1,0,if(E16&gt;1,-4*D17))))))+D15)</f>
        <v>-4</v>
      </c>
      <c r="F14" s="232">
        <f t="shared" ref="F14:M14" si="10">if(isblank(F15),"",if(F16=-3,16*E17+E14,if(F16=-2,8*E17+E14,if(F16=-1,4*E17+E14,if(F16=0,2*E17+E14,if(F16=1,0+E14,if(F16&gt;1,-4*E17+E14)))))))</f>
        <v>-4</v>
      </c>
      <c r="G14" s="232">
        <f t="shared" si="10"/>
        <v>-4</v>
      </c>
      <c r="H14" s="232">
        <f t="shared" si="10"/>
        <v>-8</v>
      </c>
      <c r="I14" s="232">
        <f t="shared" si="10"/>
        <v>-8</v>
      </c>
      <c r="J14" s="232">
        <f t="shared" si="10"/>
        <v>-8</v>
      </c>
      <c r="K14" s="232">
        <f t="shared" si="10"/>
        <v>-4</v>
      </c>
      <c r="L14" s="232">
        <f t="shared" si="10"/>
        <v>0</v>
      </c>
      <c r="M14" s="233">
        <f t="shared" si="10"/>
        <v>2</v>
      </c>
      <c r="N14" s="234">
        <f>M14</f>
        <v>2</v>
      </c>
      <c r="O14" s="235"/>
      <c r="P14" s="231">
        <f>if(isblank(P15),"",if(P16=-3,16*O17+O15+N14,if(P16=-2,8*O17+O15+N14,if(P16=-1,4*O17+O15+N14,if(P16=0,2*O17+O15+N14,if(P16=1,0+N14,if(P16&gt;1,-4*O17+O15+N14)))))))</f>
        <v>2</v>
      </c>
      <c r="Q14" s="232">
        <f t="shared" ref="Q14:X14" si="11">if(isblank(Q15),"",if(Q16=-3,16*P17+P14,if(Q16=-2,8*P17+P14,if(Q16=-1,4*P17+P14,if(Q16=0,2*P17+P14,if(Q16=1,0+P14,if(Q16&gt;1,-4*P17+P14)))))))</f>
        <v>4</v>
      </c>
      <c r="R14" s="232">
        <f t="shared" si="11"/>
        <v>0</v>
      </c>
      <c r="S14" s="232">
        <f t="shared" si="11"/>
        <v>2</v>
      </c>
      <c r="T14" s="232">
        <f t="shared" si="11"/>
        <v>2</v>
      </c>
      <c r="U14" s="232">
        <f t="shared" si="11"/>
        <v>4</v>
      </c>
      <c r="V14" s="232">
        <f t="shared" si="11"/>
        <v>0</v>
      </c>
      <c r="W14" s="232">
        <f t="shared" si="11"/>
        <v>-4</v>
      </c>
      <c r="X14" s="233">
        <f t="shared" si="11"/>
        <v>0</v>
      </c>
      <c r="Y14" s="234">
        <f>if(isblank(X15),"",X14-N14)</f>
        <v>-2</v>
      </c>
      <c r="Z14" s="234">
        <f>if(isblank(X15),0,X14)</f>
        <v>0</v>
      </c>
      <c r="AA14" s="236">
        <f>X17</f>
        <v>2</v>
      </c>
      <c r="AB14" s="1"/>
    </row>
    <row r="15">
      <c r="B15" s="1"/>
      <c r="C15" s="238" t="s">
        <v>170</v>
      </c>
      <c r="D15" s="239"/>
      <c r="E15" s="240">
        <f>vlookup('ROUND 3 - FOURBALL'!$B13,'ROUND 3 - FOURBALL'!$B:$AC,7,false)</f>
        <v>7</v>
      </c>
      <c r="F15" s="241">
        <f>vlookup('ROUND 3 - FOURBALL'!$B13,'ROUND 3 - FOURBALL'!$B:$AC,8,false)</f>
        <v>6</v>
      </c>
      <c r="G15" s="241">
        <f>vlookup('ROUND 3 - FOURBALL'!$B13,'ROUND 3 - FOURBALL'!$B:$AC,9,false)</f>
        <v>7</v>
      </c>
      <c r="H15" s="241">
        <f>vlookup('ROUND 3 - FOURBALL'!$B13,'ROUND 3 - FOURBALL'!$B:$AC,10,false)</f>
        <v>7</v>
      </c>
      <c r="I15" s="241">
        <f>vlookup('ROUND 3 - FOURBALL'!$B13,'ROUND 3 - FOURBALL'!$B:$AC,11,false)</f>
        <v>7</v>
      </c>
      <c r="J15" s="241">
        <f>vlookup('ROUND 3 - FOURBALL'!$B13,'ROUND 3 - FOURBALL'!$B:$AC,12,false)</f>
        <v>7</v>
      </c>
      <c r="K15" s="241">
        <f>vlookup('ROUND 3 - FOURBALL'!$B13,'ROUND 3 - FOURBALL'!$B:$AC,13,false)</f>
        <v>3</v>
      </c>
      <c r="L15" s="241">
        <f>vlookup('ROUND 3 - FOURBALL'!$B13,'ROUND 3 - FOURBALL'!$B:$AC,14,false)</f>
        <v>6</v>
      </c>
      <c r="M15" s="242">
        <f>vlookup('ROUND 3 - FOURBALL'!$B13,'ROUND 3 - FOURBALL'!$B:$AC,15,false)</f>
        <v>4</v>
      </c>
      <c r="N15" s="243">
        <f>if(isblank(M15),"",sum(E15:M15))</f>
        <v>54</v>
      </c>
      <c r="O15" s="244"/>
      <c r="P15" s="240">
        <f>vlookup('ROUND 3 - FOURBALL'!$B13,'ROUND 3 - FOURBALL'!$B:$AC,18,false)</f>
        <v>6</v>
      </c>
      <c r="Q15" s="241">
        <f>vlookup('ROUND 3 - FOURBALL'!$B13,'ROUND 3 - FOURBALL'!$B:$AC,19,false)</f>
        <v>7</v>
      </c>
      <c r="R15" s="241">
        <f>vlookup('ROUND 3 - FOURBALL'!$B13,'ROUND 3 - FOURBALL'!$B:$AC,20,false)</f>
        <v>7</v>
      </c>
      <c r="S15" s="241">
        <f>vlookup('ROUND 3 - FOURBALL'!$B13,'ROUND 3 - FOURBALL'!$B:$AC,21,false)</f>
        <v>6</v>
      </c>
      <c r="T15" s="241">
        <f>vlookup('ROUND 3 - FOURBALL'!$B13,'ROUND 3 - FOURBALL'!$B:$AC,22,false)</f>
        <v>5</v>
      </c>
      <c r="U15" s="241">
        <f>vlookup('ROUND 3 - FOURBALL'!$B13,'ROUND 3 - FOURBALL'!$B:$AC,23,false)</f>
        <v>6</v>
      </c>
      <c r="V15" s="241">
        <f>vlookup('ROUND 3 - FOURBALL'!$B13,'ROUND 3 - FOURBALL'!$B:$AC,24,false)</f>
        <v>6</v>
      </c>
      <c r="W15" s="241">
        <f>vlookup('ROUND 3 - FOURBALL'!$B13,'ROUND 3 - FOURBALL'!$B:$AC,25,false)</f>
        <v>7</v>
      </c>
      <c r="X15" s="242">
        <f>vlookup('ROUND 3 - FOURBALL'!$B13,'ROUND 3 - FOURBALL'!$B:$AC,26,false)</f>
        <v>5</v>
      </c>
      <c r="Y15" s="243">
        <f>if(isblank(X15),"",sum(P15:X15))</f>
        <v>55</v>
      </c>
      <c r="Z15" s="245">
        <f>if(isblank(X15),"",sum(N15,Y15))</f>
        <v>109</v>
      </c>
      <c r="AA15" s="264"/>
      <c r="AB15" s="1"/>
    </row>
    <row r="16">
      <c r="B16" s="1"/>
      <c r="C16" s="247" t="s">
        <v>171</v>
      </c>
      <c r="D16" s="248"/>
      <c r="E16" s="249">
        <f t="shared" ref="E16:M16" si="12">if(isblank(E15),"",if(and(18-$D14&lt;0,18+E$7&lt;$D14),E15-2-E$6,if(or(E$7&lt;$D14,E$7=$D14),E15-1-E$6,E15-E$6)))</f>
        <v>2</v>
      </c>
      <c r="F16" s="250">
        <f t="shared" si="12"/>
        <v>1</v>
      </c>
      <c r="G16" s="250">
        <f t="shared" si="12"/>
        <v>1</v>
      </c>
      <c r="H16" s="250">
        <f t="shared" si="12"/>
        <v>2</v>
      </c>
      <c r="I16" s="250">
        <f t="shared" si="12"/>
        <v>1</v>
      </c>
      <c r="J16" s="250">
        <f t="shared" si="12"/>
        <v>1</v>
      </c>
      <c r="K16" s="250">
        <f t="shared" si="12"/>
        <v>-1</v>
      </c>
      <c r="L16" s="250">
        <f t="shared" si="12"/>
        <v>0</v>
      </c>
      <c r="M16" s="251">
        <f t="shared" si="12"/>
        <v>0</v>
      </c>
      <c r="N16" s="243">
        <f>if(isblank(M15),"",if(or(N$7&lt;$D14,N$7=$D14),N15-1-N$6,N15-N$6))</f>
        <v>17</v>
      </c>
      <c r="O16" s="244"/>
      <c r="P16" s="249">
        <f t="shared" ref="P16:X16" si="13">if(isblank(P15),"",if(and(18-$D14&lt;0,18+P$7&lt;$D14),P15-2-P$6,if(or(P$7&lt;$D14,P$7=$D14),P15-1-P$6,P15-P$6)))</f>
        <v>1</v>
      </c>
      <c r="Q16" s="250">
        <f t="shared" si="13"/>
        <v>0</v>
      </c>
      <c r="R16" s="250">
        <f t="shared" si="13"/>
        <v>2</v>
      </c>
      <c r="S16" s="250">
        <f t="shared" si="13"/>
        <v>0</v>
      </c>
      <c r="T16" s="250">
        <f t="shared" si="13"/>
        <v>1</v>
      </c>
      <c r="U16" s="250">
        <f t="shared" si="13"/>
        <v>0</v>
      </c>
      <c r="V16" s="250">
        <f t="shared" si="13"/>
        <v>2</v>
      </c>
      <c r="W16" s="250">
        <f t="shared" si="13"/>
        <v>2</v>
      </c>
      <c r="X16" s="251">
        <f t="shared" si="13"/>
        <v>-1</v>
      </c>
      <c r="Y16" s="243">
        <f>if(isblank(X15),"",if(or(Y$7&lt;$D14,Y$7=$D14),Y15-1-Y$6,Y15-Y$6))</f>
        <v>17</v>
      </c>
      <c r="Z16" s="252">
        <f>if(isblank(X15),"",sum(N16,Y16))</f>
        <v>34</v>
      </c>
      <c r="AA16" s="236"/>
      <c r="AB16" s="1"/>
    </row>
    <row r="17">
      <c r="B17" s="1"/>
      <c r="C17" s="253" t="s">
        <v>172</v>
      </c>
      <c r="D17" s="253">
        <f>vlookup($C14,'TILT Round 2'!$C:$AA,25,false)</f>
        <v>1</v>
      </c>
      <c r="E17" s="255">
        <f t="shared" ref="E17:M17" si="14">if(isblank(E15),"",if(E16=-1,D17+1,if(E16=-2,D17+2,if(E16=-3,D17+3,1))))</f>
        <v>1</v>
      </c>
      <c r="F17" s="256">
        <f t="shared" si="14"/>
        <v>1</v>
      </c>
      <c r="G17" s="256">
        <f t="shared" si="14"/>
        <v>1</v>
      </c>
      <c r="H17" s="256">
        <f t="shared" si="14"/>
        <v>1</v>
      </c>
      <c r="I17" s="256">
        <f t="shared" si="14"/>
        <v>1</v>
      </c>
      <c r="J17" s="256">
        <f t="shared" si="14"/>
        <v>1</v>
      </c>
      <c r="K17" s="256">
        <f t="shared" si="14"/>
        <v>2</v>
      </c>
      <c r="L17" s="256">
        <f t="shared" si="14"/>
        <v>1</v>
      </c>
      <c r="M17" s="257">
        <f t="shared" si="14"/>
        <v>1</v>
      </c>
      <c r="N17" s="258"/>
      <c r="O17" s="259">
        <f>if(isblank(N15),"",if(N16=-1,M17+1,if(N16=-2,M17+2,if(N16=-3,M17+3,1))))</f>
        <v>1</v>
      </c>
      <c r="P17" s="255">
        <f t="shared" ref="P17:X17" si="15">if(isblank(P15),"",if(P16=-1,O17+1,if(P16=-2,O17+2,if(P16=-3,O17+3,1))))</f>
        <v>1</v>
      </c>
      <c r="Q17" s="256">
        <f t="shared" si="15"/>
        <v>1</v>
      </c>
      <c r="R17" s="256">
        <f t="shared" si="15"/>
        <v>1</v>
      </c>
      <c r="S17" s="256">
        <f t="shared" si="15"/>
        <v>1</v>
      </c>
      <c r="T17" s="256">
        <f t="shared" si="15"/>
        <v>1</v>
      </c>
      <c r="U17" s="256">
        <f t="shared" si="15"/>
        <v>1</v>
      </c>
      <c r="V17" s="256">
        <f t="shared" si="15"/>
        <v>1</v>
      </c>
      <c r="W17" s="256">
        <f t="shared" si="15"/>
        <v>1</v>
      </c>
      <c r="X17" s="257">
        <f t="shared" si="15"/>
        <v>2</v>
      </c>
      <c r="Y17" s="258"/>
      <c r="Z17" s="234">
        <f>if(isblank(Y15),"",if(Y16=-1,X17+1,if(Y16=-2,X17+2,if(Y16=-3,X17+3,1))))</f>
        <v>1</v>
      </c>
      <c r="AA17" s="236">
        <f>X17</f>
        <v>2</v>
      </c>
      <c r="AB17" s="1"/>
    </row>
    <row r="18">
      <c r="B18" s="1"/>
      <c r="C18" s="1"/>
      <c r="D18" s="1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36"/>
      <c r="AB18" s="1"/>
    </row>
    <row r="19">
      <c r="B19" s="1"/>
      <c r="C19" s="229" t="str">
        <f>'ROUND 3 - FOURBALL'!F18</f>
        <v>TOM</v>
      </c>
      <c r="D19" s="230">
        <f>vlookup($C19,HANDICAPS!$B$33:$G$48,5,false)</f>
        <v>12</v>
      </c>
      <c r="E19" s="231">
        <f>if(isblank(E20),"",if(E21=-3,16*D22,if(E21=-2,8*D22,if(E21=-1,4*D22,if(E21=0,2*D22,if(E21=1,0,if(E21&gt;1,-4*D22))))))+D20)</f>
        <v>4</v>
      </c>
      <c r="F19" s="232">
        <f t="shared" ref="F19:M19" si="16">if(isblank(F20),"",if(F21=-3,16*E22+E19,if(F21=-2,8*E22+E19,if(F21=-1,4*E22+E19,if(F21=0,2*E22+E19,if(F21=1,0+E19,if(F21&gt;1,-4*E22+E19)))))))</f>
        <v>8</v>
      </c>
      <c r="G19" s="232">
        <f t="shared" si="16"/>
        <v>10</v>
      </c>
      <c r="H19" s="232">
        <f t="shared" si="16"/>
        <v>12</v>
      </c>
      <c r="I19" s="232">
        <f t="shared" si="16"/>
        <v>14</v>
      </c>
      <c r="J19" s="232">
        <f t="shared" si="16"/>
        <v>16</v>
      </c>
      <c r="K19" s="232">
        <f t="shared" si="16"/>
        <v>12</v>
      </c>
      <c r="L19" s="232">
        <f t="shared" si="16"/>
        <v>16</v>
      </c>
      <c r="M19" s="233">
        <f t="shared" si="16"/>
        <v>8</v>
      </c>
      <c r="N19" s="234">
        <f>M19</f>
        <v>8</v>
      </c>
      <c r="O19" s="235"/>
      <c r="P19" s="231">
        <f>if(isblank(P20),"",if(P21=-3,16*O22+O20+N19,if(P21=-2,8*O22+O20+N19,if(P21=-1,4*O22+O20+N19,if(P21=0,2*O22+O20+N19,if(P21=1,0+N19,if(P21&gt;1,-4*O22+O20+N19)))))))</f>
        <v>4</v>
      </c>
      <c r="Q19" s="232">
        <f t="shared" ref="Q19:X19" si="17">if(isblank(Q20),"",if(Q21=-3,16*P22+P19,if(Q21=-2,8*P22+P19,if(Q21=-1,4*P22+P19,if(Q21=0,2*P22+P19,if(Q21=1,0+P19,if(Q21&gt;1,-4*P22+P19)))))))</f>
        <v>4</v>
      </c>
      <c r="R19" s="232">
        <f t="shared" si="17"/>
        <v>8</v>
      </c>
      <c r="S19" s="232">
        <f t="shared" si="17"/>
        <v>0</v>
      </c>
      <c r="T19" s="232">
        <f t="shared" si="17"/>
        <v>4</v>
      </c>
      <c r="U19" s="232">
        <f t="shared" si="17"/>
        <v>8</v>
      </c>
      <c r="V19" s="232">
        <f t="shared" si="17"/>
        <v>8</v>
      </c>
      <c r="W19" s="232">
        <f t="shared" si="17"/>
        <v>12</v>
      </c>
      <c r="X19" s="233">
        <f t="shared" si="17"/>
        <v>16</v>
      </c>
      <c r="Y19" s="234">
        <f>if(isblank(X20),"",X19-N19)</f>
        <v>8</v>
      </c>
      <c r="Z19" s="234">
        <f>if(isblank(X20),0,X19)</f>
        <v>16</v>
      </c>
      <c r="AA19" s="236">
        <f>X22</f>
        <v>1</v>
      </c>
      <c r="AB19" s="1"/>
    </row>
    <row r="20">
      <c r="A20" s="237"/>
      <c r="B20" s="39"/>
      <c r="C20" s="238" t="s">
        <v>170</v>
      </c>
      <c r="D20" s="239"/>
      <c r="E20" s="240">
        <f>vlookup('ROUND 3 - FOURBALL'!$B19,'ROUND 3 - FOURBALL'!$B:$AC,7,false)</f>
        <v>4</v>
      </c>
      <c r="F20" s="241">
        <f>vlookup('ROUND 3 - FOURBALL'!$B19,'ROUND 3 - FOURBALL'!$B:$AC,8,false)</f>
        <v>4</v>
      </c>
      <c r="G20" s="241">
        <f>vlookup('ROUND 3 - FOURBALL'!$B19,'ROUND 3 - FOURBALL'!$B:$AC,9,false)</f>
        <v>6</v>
      </c>
      <c r="H20" s="241">
        <f>vlookup('ROUND 3 - FOURBALL'!$B19,'ROUND 3 - FOURBALL'!$B:$AC,10,false)</f>
        <v>5</v>
      </c>
      <c r="I20" s="241">
        <f>vlookup('ROUND 3 - FOURBALL'!$B19,'ROUND 3 - FOURBALL'!$B:$AC,11,false)</f>
        <v>5</v>
      </c>
      <c r="J20" s="241">
        <f>vlookup('ROUND 3 - FOURBALL'!$B19,'ROUND 3 - FOURBALL'!$B:$AC,12,false)</f>
        <v>5</v>
      </c>
      <c r="K20" s="241">
        <f>vlookup('ROUND 3 - FOURBALL'!$B19,'ROUND 3 - FOURBALL'!$B:$AC,13,false)</f>
        <v>5</v>
      </c>
      <c r="L20" s="241">
        <f>vlookup('ROUND 3 - FOURBALL'!$B19,'ROUND 3 - FOURBALL'!$B:$AC,14,false)</f>
        <v>4</v>
      </c>
      <c r="M20" s="242">
        <f>vlookup('ROUND 3 - FOURBALL'!$B19,'ROUND 3 - FOURBALL'!$B:$AC,15,false)</f>
        <v>6</v>
      </c>
      <c r="N20" s="243">
        <f>if(isblank(M20),"",sum(E20:M20))</f>
        <v>44</v>
      </c>
      <c r="O20" s="244"/>
      <c r="P20" s="240">
        <f>vlookup('ROUND 3 - FOURBALL'!$B19,'ROUND 3 - FOURBALL'!$B:$AC,18,false)</f>
        <v>6</v>
      </c>
      <c r="Q20" s="241">
        <f>vlookup('ROUND 3 - FOURBALL'!$B19,'ROUND 3 - FOURBALL'!$B:$AC,19,false)</f>
        <v>7</v>
      </c>
      <c r="R20" s="241">
        <f>vlookup('ROUND 3 - FOURBALL'!$B19,'ROUND 3 - FOURBALL'!$B:$AC,20,false)</f>
        <v>4</v>
      </c>
      <c r="S20" s="241">
        <f>vlookup('ROUND 3 - FOURBALL'!$B19,'ROUND 3 - FOURBALL'!$B:$AC,21,false)</f>
        <v>7</v>
      </c>
      <c r="T20" s="241">
        <f>vlookup('ROUND 3 - FOURBALL'!$B19,'ROUND 3 - FOURBALL'!$B:$AC,22,false)</f>
        <v>3</v>
      </c>
      <c r="U20" s="241">
        <f>vlookup('ROUND 3 - FOURBALL'!$B19,'ROUND 3 - FOURBALL'!$B:$AC,23,false)</f>
        <v>5</v>
      </c>
      <c r="V20" s="241">
        <f>vlookup('ROUND 3 - FOURBALL'!$B19,'ROUND 3 - FOURBALL'!$B:$AC,24,false)</f>
        <v>4</v>
      </c>
      <c r="W20" s="241">
        <f>vlookup('ROUND 3 - FOURBALL'!$B19,'ROUND 3 - FOURBALL'!$B:$AC,25,false)</f>
        <v>4</v>
      </c>
      <c r="X20" s="242">
        <f>vlookup('ROUND 3 - FOURBALL'!$B19,'ROUND 3 - FOURBALL'!$B:$AC,26,false)</f>
        <v>6</v>
      </c>
      <c r="Y20" s="243">
        <f>if(isblank(X20),"",sum(P20:X20))</f>
        <v>46</v>
      </c>
      <c r="Z20" s="245">
        <f>if(isblank(X20),"",sum(N20,Y20))</f>
        <v>90</v>
      </c>
      <c r="AA20" s="246"/>
      <c r="AB20" s="39"/>
    </row>
    <row r="21">
      <c r="A21" s="237"/>
      <c r="B21" s="39"/>
      <c r="C21" s="247" t="s">
        <v>171</v>
      </c>
      <c r="D21" s="248"/>
      <c r="E21" s="249">
        <f t="shared" ref="E21:M21" si="18">if(isblank(E20),"",if(and(18-$D19&lt;0,18+E$7&lt;$D19),E20-2-E$6,if(or(E$7&lt;$D19,E$7=$D19),E20-1-E$6,E20-E$6)))</f>
        <v>-1</v>
      </c>
      <c r="F21" s="250">
        <f t="shared" si="18"/>
        <v>0</v>
      </c>
      <c r="G21" s="250">
        <f t="shared" si="18"/>
        <v>0</v>
      </c>
      <c r="H21" s="250">
        <f t="shared" si="18"/>
        <v>0</v>
      </c>
      <c r="I21" s="250">
        <f t="shared" si="18"/>
        <v>0</v>
      </c>
      <c r="J21" s="250">
        <f t="shared" si="18"/>
        <v>0</v>
      </c>
      <c r="K21" s="250">
        <f t="shared" si="18"/>
        <v>2</v>
      </c>
      <c r="L21" s="250">
        <f t="shared" si="18"/>
        <v>-1</v>
      </c>
      <c r="M21" s="251">
        <f t="shared" si="18"/>
        <v>2</v>
      </c>
      <c r="N21" s="243">
        <f>if(isblank(M20),"",if(or(N$7&lt;$D19,N$7=$D19),N20-1-N$6,N20-N$6))</f>
        <v>7</v>
      </c>
      <c r="O21" s="244"/>
      <c r="P21" s="249">
        <f t="shared" ref="P21:X21" si="19">if(isblank(P20),"",if(and(18-$D19&lt;0,18+P$7&lt;$D19),P20-2-P$6,if(or(P$7&lt;$D19,P$7=$D19),P20-1-P$6,P20-P$6)))</f>
        <v>2</v>
      </c>
      <c r="Q21" s="250">
        <f t="shared" si="19"/>
        <v>1</v>
      </c>
      <c r="R21" s="250">
        <f t="shared" si="19"/>
        <v>-1</v>
      </c>
      <c r="S21" s="250">
        <f t="shared" si="19"/>
        <v>2</v>
      </c>
      <c r="T21" s="250">
        <f t="shared" si="19"/>
        <v>-1</v>
      </c>
      <c r="U21" s="250">
        <f t="shared" si="19"/>
        <v>0</v>
      </c>
      <c r="V21" s="250">
        <f t="shared" si="19"/>
        <v>1</v>
      </c>
      <c r="W21" s="250">
        <f t="shared" si="19"/>
        <v>-1</v>
      </c>
      <c r="X21" s="251">
        <f t="shared" si="19"/>
        <v>0</v>
      </c>
      <c r="Y21" s="243">
        <f>if(isblank(X20),"",if(or(Y$7&lt;$D19,Y$7=$D19),Y20-1-Y$6,Y20-Y$6))</f>
        <v>8</v>
      </c>
      <c r="Z21" s="252">
        <f>if(isblank(X20),"",sum(N21,Y21))</f>
        <v>15</v>
      </c>
      <c r="AA21" s="42"/>
      <c r="AB21" s="39"/>
    </row>
    <row r="22">
      <c r="B22" s="1"/>
      <c r="C22" s="253" t="s">
        <v>172</v>
      </c>
      <c r="D22" s="253">
        <f>vlookup($C19,'TILT Round 2'!$C:$AA,25,false)</f>
        <v>1</v>
      </c>
      <c r="E22" s="255">
        <f t="shared" ref="E22:M22" si="20">if(isblank(E20),"",if(E21=-1,D22+1,if(E21=-2,D22+2,if(E21=-3,D22+3,1))))</f>
        <v>2</v>
      </c>
      <c r="F22" s="256">
        <f t="shared" si="20"/>
        <v>1</v>
      </c>
      <c r="G22" s="256">
        <f t="shared" si="20"/>
        <v>1</v>
      </c>
      <c r="H22" s="256">
        <f t="shared" si="20"/>
        <v>1</v>
      </c>
      <c r="I22" s="256">
        <f t="shared" si="20"/>
        <v>1</v>
      </c>
      <c r="J22" s="256">
        <f t="shared" si="20"/>
        <v>1</v>
      </c>
      <c r="K22" s="256">
        <f t="shared" si="20"/>
        <v>1</v>
      </c>
      <c r="L22" s="256">
        <f t="shared" si="20"/>
        <v>2</v>
      </c>
      <c r="M22" s="257">
        <f t="shared" si="20"/>
        <v>1</v>
      </c>
      <c r="N22" s="258"/>
      <c r="O22" s="259">
        <f>if(isblank(N20),"",if(N21=-1,M22+1,if(N21=-2,M22+2,if(N21=-3,M22+3,1))))</f>
        <v>1</v>
      </c>
      <c r="P22" s="255">
        <f t="shared" ref="P22:X22" si="21">if(isblank(P20),"",if(P21=-1,O22+1,if(P21=-2,O22+2,if(P21=-3,O22+3,1))))</f>
        <v>1</v>
      </c>
      <c r="Q22" s="256">
        <f t="shared" si="21"/>
        <v>1</v>
      </c>
      <c r="R22" s="256">
        <f t="shared" si="21"/>
        <v>2</v>
      </c>
      <c r="S22" s="256">
        <f t="shared" si="21"/>
        <v>1</v>
      </c>
      <c r="T22" s="256">
        <f t="shared" si="21"/>
        <v>2</v>
      </c>
      <c r="U22" s="256">
        <f t="shared" si="21"/>
        <v>1</v>
      </c>
      <c r="V22" s="256">
        <f t="shared" si="21"/>
        <v>1</v>
      </c>
      <c r="W22" s="256">
        <f t="shared" si="21"/>
        <v>2</v>
      </c>
      <c r="X22" s="257">
        <f t="shared" si="21"/>
        <v>1</v>
      </c>
      <c r="Y22" s="258"/>
      <c r="Z22" s="234">
        <f>if(isblank(Y20),"",if(Y21=-1,X22+1,if(Y21=-2,X22+2,if(Y21=-3,X22+3,1))))</f>
        <v>1</v>
      </c>
      <c r="AA22" s="236">
        <f>X22</f>
        <v>1</v>
      </c>
      <c r="AB22" s="1"/>
    </row>
    <row r="23">
      <c r="B23" s="1"/>
      <c r="C23" s="261"/>
      <c r="D23" s="261"/>
      <c r="E23" s="262"/>
      <c r="F23" s="262"/>
      <c r="G23" s="262"/>
      <c r="H23" s="263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3"/>
      <c r="W23" s="262"/>
      <c r="X23" s="262"/>
      <c r="Y23" s="262"/>
      <c r="Z23" s="262"/>
      <c r="AA23" s="236"/>
      <c r="AB23" s="1"/>
    </row>
    <row r="24">
      <c r="B24" s="1"/>
      <c r="C24" s="229" t="str">
        <f>'ROUND 3 - FOURBALL'!F20</f>
        <v>SKYLAR</v>
      </c>
      <c r="D24" s="230">
        <f>vlookup($C24,HANDICAPS!$B$33:$G$48,5,false)</f>
        <v>20</v>
      </c>
      <c r="E24" s="231">
        <f>if(isblank(E25),"",if(E26=-3,16*D27,if(E26=-2,8*D27,if(E26=-1,4*D27,if(E26=0,2*D27,if(E26=1,0,if(E26&gt;1,-4*D27))))))+D25)</f>
        <v>-8</v>
      </c>
      <c r="F24" s="232">
        <f t="shared" ref="F24:M24" si="22">if(isblank(F25),"",if(F26=-3,16*E27+E24,if(F26=-2,8*E27+E24,if(F26=-1,4*E27+E24,if(F26=0,2*E27+E24,if(F26=1,0+E24,if(F26&gt;1,-4*E27+E24)))))))</f>
        <v>-6</v>
      </c>
      <c r="G24" s="232">
        <f t="shared" si="22"/>
        <v>-10</v>
      </c>
      <c r="H24" s="232">
        <f t="shared" si="22"/>
        <v>-8</v>
      </c>
      <c r="I24" s="232">
        <f t="shared" si="22"/>
        <v>-6</v>
      </c>
      <c r="J24" s="232">
        <f t="shared" si="22"/>
        <v>-2</v>
      </c>
      <c r="K24" s="232">
        <f t="shared" si="22"/>
        <v>-2</v>
      </c>
      <c r="L24" s="232">
        <f t="shared" si="22"/>
        <v>2</v>
      </c>
      <c r="M24" s="233">
        <f t="shared" si="22"/>
        <v>-6</v>
      </c>
      <c r="N24" s="234">
        <f>M24</f>
        <v>-6</v>
      </c>
      <c r="O24" s="235"/>
      <c r="P24" s="231">
        <f>if(isblank(P25),"",if(P26=-3,16*O27+O25+N24,if(P26=-2,8*O27+O25+N24,if(P26=-1,4*O27+O25+N24,if(P26=0,2*O27+O25+N24,if(P26=1,0+N24,if(P26&gt;1,-4*O27+O25+N24)))))))</f>
        <v>-4</v>
      </c>
      <c r="Q24" s="232">
        <f t="shared" ref="Q24:X24" si="23">if(isblank(Q25),"",if(Q26=-3,16*P27+P24,if(Q26=-2,8*P27+P24,if(Q26=-1,4*P27+P24,if(Q26=0,2*P27+P24,if(Q26=1,0+P24,if(Q26&gt;1,-4*P27+P24)))))))</f>
        <v>-8</v>
      </c>
      <c r="R24" s="232">
        <f t="shared" si="23"/>
        <v>-8</v>
      </c>
      <c r="S24" s="232">
        <f t="shared" si="23"/>
        <v>-12</v>
      </c>
      <c r="T24" s="232">
        <f t="shared" si="23"/>
        <v>-12</v>
      </c>
      <c r="U24" s="232">
        <f t="shared" si="23"/>
        <v>-12</v>
      </c>
      <c r="V24" s="232">
        <f t="shared" si="23"/>
        <v>-10</v>
      </c>
      <c r="W24" s="232">
        <f t="shared" si="23"/>
        <v>-8</v>
      </c>
      <c r="X24" s="233">
        <f t="shared" si="23"/>
        <v>-6</v>
      </c>
      <c r="Y24" s="234">
        <f>if(isblank(X25),"",X24-N24)</f>
        <v>0</v>
      </c>
      <c r="Z24" s="234">
        <f>if(isblank(X25),0,X24)</f>
        <v>-6</v>
      </c>
      <c r="AA24" s="236">
        <f>X27</f>
        <v>1</v>
      </c>
      <c r="AB24" s="1"/>
    </row>
    <row r="25">
      <c r="B25" s="1"/>
      <c r="C25" s="238" t="s">
        <v>170</v>
      </c>
      <c r="D25" s="239"/>
      <c r="E25" s="240">
        <f>vlookup('ROUND 3 - FOURBALL'!$B21,'ROUND 3 - FOURBALL'!$B:$AC,7,false)</f>
        <v>7</v>
      </c>
      <c r="F25" s="241">
        <f>vlookup('ROUND 3 - FOURBALL'!$B21,'ROUND 3 - FOURBALL'!$B:$AC,8,false)</f>
        <v>5</v>
      </c>
      <c r="G25" s="241">
        <f>vlookup('ROUND 3 - FOURBALL'!$B21,'ROUND 3 - FOURBALL'!$B:$AC,9,false)</f>
        <v>8</v>
      </c>
      <c r="H25" s="241">
        <f>vlookup('ROUND 3 - FOURBALL'!$B21,'ROUND 3 - FOURBALL'!$B:$AC,10,false)</f>
        <v>5</v>
      </c>
      <c r="I25" s="241">
        <f>vlookup('ROUND 3 - FOURBALL'!$B21,'ROUND 3 - FOURBALL'!$B:$AC,11,false)</f>
        <v>6</v>
      </c>
      <c r="J25" s="241">
        <f>vlookup('ROUND 3 - FOURBALL'!$B21,'ROUND 3 - FOURBALL'!$B:$AC,12,false)</f>
        <v>5</v>
      </c>
      <c r="K25" s="241">
        <f>vlookup('ROUND 3 - FOURBALL'!$B21,'ROUND 3 - FOURBALL'!$B:$AC,13,false)</f>
        <v>5</v>
      </c>
      <c r="L25" s="241">
        <f>vlookup('ROUND 3 - FOURBALL'!$B21,'ROUND 3 - FOURBALL'!$B:$AC,14,false)</f>
        <v>4</v>
      </c>
      <c r="M25" s="242">
        <f>vlookup('ROUND 3 - FOURBALL'!$B21,'ROUND 3 - FOURBALL'!$B:$AC,15,false)</f>
        <v>6</v>
      </c>
      <c r="N25" s="243">
        <f>if(isblank(M25),"",sum(E25:M25))</f>
        <v>51</v>
      </c>
      <c r="O25" s="244"/>
      <c r="P25" s="240">
        <f>vlookup('ROUND 3 - FOURBALL'!$B21,'ROUND 3 - FOURBALL'!$B:$AC,18,false)</f>
        <v>5</v>
      </c>
      <c r="Q25" s="241">
        <f>vlookup('ROUND 3 - FOURBALL'!$B21,'ROUND 3 - FOURBALL'!$B:$AC,19,false)</f>
        <v>10</v>
      </c>
      <c r="R25" s="241">
        <f>vlookup('ROUND 3 - FOURBALL'!$B21,'ROUND 3 - FOURBALL'!$B:$AC,20,false)</f>
        <v>6</v>
      </c>
      <c r="S25" s="241">
        <f>vlookup('ROUND 3 - FOURBALL'!$B21,'ROUND 3 - FOURBALL'!$B:$AC,21,false)</f>
        <v>8</v>
      </c>
      <c r="T25" s="241">
        <f>vlookup('ROUND 3 - FOURBALL'!$B21,'ROUND 3 - FOURBALL'!$B:$AC,22,false)</f>
        <v>5</v>
      </c>
      <c r="U25" s="241">
        <f>vlookup('ROUND 3 - FOURBALL'!$B21,'ROUND 3 - FOURBALL'!$B:$AC,23,false)</f>
        <v>6</v>
      </c>
      <c r="V25" s="241">
        <f>vlookup('ROUND 3 - FOURBALL'!$B21,'ROUND 3 - FOURBALL'!$B:$AC,24,false)</f>
        <v>4</v>
      </c>
      <c r="W25" s="241">
        <f>vlookup('ROUND 3 - FOURBALL'!$B21,'ROUND 3 - FOURBALL'!$B:$AC,25,false)</f>
        <v>5</v>
      </c>
      <c r="X25" s="242">
        <f>vlookup('ROUND 3 - FOURBALL'!$B21,'ROUND 3 - FOURBALL'!$B:$AC,26,false)</f>
        <v>6</v>
      </c>
      <c r="Y25" s="243">
        <f>if(isblank(X25),"",sum(P25:X25))</f>
        <v>55</v>
      </c>
      <c r="Z25" s="245">
        <f>if(isblank(X25),"",sum(N25,Y25))</f>
        <v>106</v>
      </c>
      <c r="AA25" s="264"/>
      <c r="AB25" s="1"/>
    </row>
    <row r="26">
      <c r="B26" s="1"/>
      <c r="C26" s="247" t="s">
        <v>171</v>
      </c>
      <c r="D26" s="248"/>
      <c r="E26" s="249">
        <f t="shared" ref="E26:M26" si="24">if(isblank(E25),"",if(and(18-$D24&lt;0,18+E$7&lt;$D24),E25-2-E$6,if(or(E$7&lt;$D24,E$7=$D24),E25-1-E$6,E25-E$6)))</f>
        <v>2</v>
      </c>
      <c r="F26" s="250">
        <f t="shared" si="24"/>
        <v>0</v>
      </c>
      <c r="G26" s="250">
        <f t="shared" si="24"/>
        <v>2</v>
      </c>
      <c r="H26" s="250">
        <f t="shared" si="24"/>
        <v>0</v>
      </c>
      <c r="I26" s="250">
        <f t="shared" si="24"/>
        <v>0</v>
      </c>
      <c r="J26" s="250">
        <f t="shared" si="24"/>
        <v>-1</v>
      </c>
      <c r="K26" s="250">
        <f t="shared" si="24"/>
        <v>1</v>
      </c>
      <c r="L26" s="250">
        <f t="shared" si="24"/>
        <v>-1</v>
      </c>
      <c r="M26" s="251">
        <f t="shared" si="24"/>
        <v>2</v>
      </c>
      <c r="N26" s="243">
        <f>if(isblank(M25),"",if(or(N$7&lt;$D24,N$7=$D24),N25-1-N$6,N25-N$6))</f>
        <v>14</v>
      </c>
      <c r="O26" s="244"/>
      <c r="P26" s="249">
        <f t="shared" ref="P26:X26" si="25">if(isblank(P25),"",if(and(18-$D24&lt;0,18+P$7&lt;$D24),P25-2-P$6,if(or(P$7&lt;$D24,P$7=$D24),P25-1-P$6,P25-P$6)))</f>
        <v>0</v>
      </c>
      <c r="Q26" s="250">
        <f t="shared" si="25"/>
        <v>4</v>
      </c>
      <c r="R26" s="250">
        <f t="shared" si="25"/>
        <v>1</v>
      </c>
      <c r="S26" s="250">
        <f t="shared" si="25"/>
        <v>2</v>
      </c>
      <c r="T26" s="250">
        <f t="shared" si="25"/>
        <v>1</v>
      </c>
      <c r="U26" s="250">
        <f t="shared" si="25"/>
        <v>1</v>
      </c>
      <c r="V26" s="250">
        <f t="shared" si="25"/>
        <v>0</v>
      </c>
      <c r="W26" s="250">
        <f t="shared" si="25"/>
        <v>0</v>
      </c>
      <c r="X26" s="251">
        <f t="shared" si="25"/>
        <v>0</v>
      </c>
      <c r="Y26" s="243">
        <f>if(isblank(X25),"",if(or(Y$7&lt;$D24,Y$7=$D24),Y25-1-Y$6,Y25-Y$6))</f>
        <v>17</v>
      </c>
      <c r="Z26" s="252">
        <f>if(isblank(X25),"",sum(N26,Y26))</f>
        <v>31</v>
      </c>
      <c r="AA26" s="236"/>
      <c r="AB26" s="1"/>
    </row>
    <row r="27">
      <c r="B27" s="1"/>
      <c r="C27" s="253" t="s">
        <v>172</v>
      </c>
      <c r="D27" s="253">
        <f>vlookup($C24,'TILT Round 2'!$C:$AA,25,false)</f>
        <v>2</v>
      </c>
      <c r="E27" s="255">
        <f t="shared" ref="E27:M27" si="26">if(isblank(E25),"",if(E26=-1,D27+1,if(E26=-2,D27+2,if(E26=-3,D27+3,1))))</f>
        <v>1</v>
      </c>
      <c r="F27" s="256">
        <f t="shared" si="26"/>
        <v>1</v>
      </c>
      <c r="G27" s="256">
        <f t="shared" si="26"/>
        <v>1</v>
      </c>
      <c r="H27" s="256">
        <f t="shared" si="26"/>
        <v>1</v>
      </c>
      <c r="I27" s="256">
        <f t="shared" si="26"/>
        <v>1</v>
      </c>
      <c r="J27" s="256">
        <f t="shared" si="26"/>
        <v>2</v>
      </c>
      <c r="K27" s="256">
        <f t="shared" si="26"/>
        <v>1</v>
      </c>
      <c r="L27" s="256">
        <f t="shared" si="26"/>
        <v>2</v>
      </c>
      <c r="M27" s="257">
        <f t="shared" si="26"/>
        <v>1</v>
      </c>
      <c r="N27" s="258"/>
      <c r="O27" s="259">
        <f>if(isblank(N25),"",if(N26=-1,M27+1,if(N26=-2,M27+2,if(N26=-3,M27+3,1))))</f>
        <v>1</v>
      </c>
      <c r="P27" s="255">
        <f t="shared" ref="P27:X27" si="27">if(isblank(P25),"",if(P26=-1,O27+1,if(P26=-2,O27+2,if(P26=-3,O27+3,1))))</f>
        <v>1</v>
      </c>
      <c r="Q27" s="256">
        <f t="shared" si="27"/>
        <v>1</v>
      </c>
      <c r="R27" s="256">
        <f t="shared" si="27"/>
        <v>1</v>
      </c>
      <c r="S27" s="256">
        <f t="shared" si="27"/>
        <v>1</v>
      </c>
      <c r="T27" s="256">
        <f t="shared" si="27"/>
        <v>1</v>
      </c>
      <c r="U27" s="256">
        <f t="shared" si="27"/>
        <v>1</v>
      </c>
      <c r="V27" s="256">
        <f t="shared" si="27"/>
        <v>1</v>
      </c>
      <c r="W27" s="256">
        <f t="shared" si="27"/>
        <v>1</v>
      </c>
      <c r="X27" s="257">
        <f t="shared" si="27"/>
        <v>1</v>
      </c>
      <c r="Y27" s="258"/>
      <c r="Z27" s="234">
        <f>if(isblank(Y25),"",if(Y26=-1,X27+1,if(Y26=-2,X27+2,if(Y26=-3,X27+3,1))))</f>
        <v>1</v>
      </c>
      <c r="AA27" s="236">
        <f>X27</f>
        <v>1</v>
      </c>
      <c r="AB27" s="1"/>
    </row>
    <row r="28">
      <c r="B28" s="1"/>
      <c r="C28" s="1"/>
      <c r="D28" s="1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36"/>
      <c r="AB28" s="1"/>
    </row>
    <row r="29">
      <c r="B29" s="1"/>
      <c r="C29" s="229" t="str">
        <f>'ROUND 3 - FOURBALL'!F35</f>
        <v>DEREK</v>
      </c>
      <c r="D29" s="230">
        <f>vlookup($C29,HANDICAPS!$B$33:$G$48,5,false)</f>
        <v>-2</v>
      </c>
      <c r="E29" s="231">
        <f>if(isblank(E30),"",if(E31=-3,16*D32,if(E31=-2,8*D32,if(E31=-1,4*D32,if(E31=0,2*D32,if(E31=1,0,if(E31&gt;1,-4*D32))))))+D30)</f>
        <v>4</v>
      </c>
      <c r="F29" s="232">
        <f t="shared" ref="F29:M29" si="28">if(isblank(F30),"",if(F31=-3,16*E32+E29,if(F31=-2,8*E32+E29,if(F31=-1,4*E32+E29,if(F31=0,2*E32+E29,if(F31=1,0+E29,if(F31&gt;1,-4*E32+E29)))))))</f>
        <v>0</v>
      </c>
      <c r="G29" s="232">
        <f t="shared" si="28"/>
        <v>2</v>
      </c>
      <c r="H29" s="232">
        <f t="shared" si="28"/>
        <v>4</v>
      </c>
      <c r="I29" s="232">
        <f t="shared" si="28"/>
        <v>6</v>
      </c>
      <c r="J29" s="232">
        <f t="shared" si="28"/>
        <v>10</v>
      </c>
      <c r="K29" s="232">
        <f t="shared" si="28"/>
        <v>14</v>
      </c>
      <c r="L29" s="232">
        <f t="shared" si="28"/>
        <v>16</v>
      </c>
      <c r="M29" s="233">
        <f t="shared" si="28"/>
        <v>16</v>
      </c>
      <c r="N29" s="234">
        <f>M29</f>
        <v>16</v>
      </c>
      <c r="O29" s="235"/>
      <c r="P29" s="231">
        <f>if(isblank(P30),"",if(P31=-3,16*O32+O30+N29,if(P31=-2,8*O32+O30+N29,if(P31=-1,4*O32+O30+N29,if(P31=0,2*O32+O30+N29,if(P31=1,0+N29,if(P31&gt;1,-4*O32+O30+N29)))))))</f>
        <v>12</v>
      </c>
      <c r="Q29" s="232">
        <f t="shared" ref="Q29:X29" si="29">if(isblank(Q30),"",if(Q31=-3,16*P32+P29,if(Q31=-2,8*P32+P29,if(Q31=-1,4*P32+P29,if(Q31=0,2*P32+P29,if(Q31=1,0+P29,if(Q31&gt;1,-4*P32+P29)))))))</f>
        <v>12</v>
      </c>
      <c r="R29" s="232">
        <f t="shared" si="29"/>
        <v>12</v>
      </c>
      <c r="S29" s="232">
        <f t="shared" si="29"/>
        <v>14</v>
      </c>
      <c r="T29" s="232">
        <f t="shared" si="29"/>
        <v>16</v>
      </c>
      <c r="U29" s="232">
        <f t="shared" si="29"/>
        <v>18</v>
      </c>
      <c r="V29" s="232">
        <f t="shared" si="29"/>
        <v>20</v>
      </c>
      <c r="W29" s="232">
        <f t="shared" si="29"/>
        <v>22</v>
      </c>
      <c r="X29" s="233">
        <f t="shared" si="29"/>
        <v>26</v>
      </c>
      <c r="Y29" s="234">
        <f>if(isblank(X30),"",X29-N29)</f>
        <v>10</v>
      </c>
      <c r="Z29" s="234">
        <f>if(isblank(X30),0,X29)</f>
        <v>26</v>
      </c>
      <c r="AA29" s="236">
        <f>X32</f>
        <v>2</v>
      </c>
      <c r="AB29" s="1"/>
    </row>
    <row r="30">
      <c r="A30" s="237"/>
      <c r="B30" s="39"/>
      <c r="C30" s="238" t="s">
        <v>170</v>
      </c>
      <c r="D30" s="239"/>
      <c r="E30" s="240">
        <f>vlookup('ROUND 3 - FOURBALL'!$B36,'ROUND 3 - FOURBALL'!$B:$AC,7,false)</f>
        <v>4</v>
      </c>
      <c r="F30" s="241">
        <f>if(isblank(G30),vlookup('ROUND 3 - FOURBALL'!$B36,'ROUND 3 - FOURBALL'!$B:$AC,8,false),vlookup('ROUND 3 - FOURBALL'!$B36,'ROUND 3 - FOURBALL'!$B:$AC,8,false)+1)</f>
        <v>6</v>
      </c>
      <c r="G30" s="241">
        <f>vlookup('ROUND 3 - FOURBALL'!$B36,'ROUND 3 - FOURBALL'!$B:$AC,9,false)</f>
        <v>5</v>
      </c>
      <c r="H30" s="241">
        <f>vlookup('ROUND 3 - FOURBALL'!$B36,'ROUND 3 - FOURBALL'!$B:$AC,10,false)</f>
        <v>4</v>
      </c>
      <c r="I30" s="241">
        <f>vlookup('ROUND 3 - FOURBALL'!$B36,'ROUND 3 - FOURBALL'!$B:$AC,11,false)</f>
        <v>4</v>
      </c>
      <c r="J30" s="241">
        <f>vlookup('ROUND 3 - FOURBALL'!$B36,'ROUND 3 - FOURBALL'!$B:$AC,12,false)</f>
        <v>4</v>
      </c>
      <c r="K30" s="241">
        <f>vlookup('ROUND 3 - FOURBALL'!$B36,'ROUND 3 - FOURBALL'!$B:$AC,13,false)</f>
        <v>3</v>
      </c>
      <c r="L30" s="241">
        <f>vlookup('ROUND 3 - FOURBALL'!$B36,'ROUND 3 - FOURBALL'!$B:$AC,14,false)</f>
        <v>4</v>
      </c>
      <c r="M30" s="242">
        <f>vlookup('ROUND 3 - FOURBALL'!$B36,'ROUND 3 - FOURBALL'!$B:$AC,15,false)</f>
        <v>4</v>
      </c>
      <c r="N30" s="243">
        <f>if(isblank(M30),"",sum(E30:M30))</f>
        <v>38</v>
      </c>
      <c r="O30" s="244"/>
      <c r="P30" s="240">
        <f>if(isblank(Q30),vlookup('ROUND 3 - FOURBALL'!$B36,'ROUND 3 - FOURBALL'!$B:$AC,18,false),vlookup('ROUND 3 - FOURBALL'!$B36,'ROUND 3 - FOURBALL'!$B:$AC,18,false)+1)</f>
        <v>6</v>
      </c>
      <c r="Q30" s="241">
        <f>vlookup('ROUND 3 - FOURBALL'!$B36,'ROUND 3 - FOURBALL'!$B:$AC,19,false)</f>
        <v>6</v>
      </c>
      <c r="R30" s="241">
        <f>vlookup('ROUND 3 - FOURBALL'!$B36,'ROUND 3 - FOURBALL'!$B:$AC,20,false)</f>
        <v>5</v>
      </c>
      <c r="S30" s="241">
        <f>vlookup('ROUND 3 - FOURBALL'!$B36,'ROUND 3 - FOURBALL'!$B:$AC,21,false)</f>
        <v>5</v>
      </c>
      <c r="T30" s="241">
        <f>vlookup('ROUND 3 - FOURBALL'!$B36,'ROUND 3 - FOURBALL'!$B:$AC,22,false)</f>
        <v>3</v>
      </c>
      <c r="U30" s="241">
        <f>vlookup('ROUND 3 - FOURBALL'!$B36,'ROUND 3 - FOURBALL'!$B:$AC,23,false)</f>
        <v>4</v>
      </c>
      <c r="V30" s="241">
        <f>vlookup('ROUND 3 - FOURBALL'!$B36,'ROUND 3 - FOURBALL'!$B:$AC,24,false)</f>
        <v>3</v>
      </c>
      <c r="W30" s="241">
        <f>vlookup('ROUND 3 - FOURBALL'!$B36,'ROUND 3 - FOURBALL'!$B:$AC,25,false)</f>
        <v>4</v>
      </c>
      <c r="X30" s="242">
        <f>vlookup('ROUND 3 - FOURBALL'!$B36,'ROUND 3 - FOURBALL'!$B:$AC,26,false)</f>
        <v>4</v>
      </c>
      <c r="Y30" s="243">
        <f>if(isblank(X30),"",sum(P30:X30))</f>
        <v>40</v>
      </c>
      <c r="Z30" s="245">
        <f>if(isblank(X30),"",sum(N30,Y30))</f>
        <v>78</v>
      </c>
      <c r="AA30" s="246"/>
      <c r="AB30" s="39"/>
    </row>
    <row r="31">
      <c r="A31" s="237"/>
      <c r="B31" s="39"/>
      <c r="C31" s="247" t="s">
        <v>171</v>
      </c>
      <c r="D31" s="248"/>
      <c r="E31" s="249">
        <f t="shared" ref="E31:M31" si="30">if(isblank(E30),"",if(and(18-$D29&lt;0,18+E$7&lt;$D29),E30-2-E$6,if(or(E$7&lt;$D29,E$7=$D29),E30-1-E$6,E30-E$6)))</f>
        <v>0</v>
      </c>
      <c r="F31" s="250">
        <f t="shared" si="30"/>
        <v>2</v>
      </c>
      <c r="G31" s="250">
        <f t="shared" si="30"/>
        <v>0</v>
      </c>
      <c r="H31" s="250">
        <f t="shared" si="30"/>
        <v>0</v>
      </c>
      <c r="I31" s="250">
        <f t="shared" si="30"/>
        <v>0</v>
      </c>
      <c r="J31" s="250">
        <f t="shared" si="30"/>
        <v>-1</v>
      </c>
      <c r="K31" s="250">
        <f t="shared" si="30"/>
        <v>0</v>
      </c>
      <c r="L31" s="250">
        <f t="shared" si="30"/>
        <v>0</v>
      </c>
      <c r="M31" s="251">
        <f t="shared" si="30"/>
        <v>1</v>
      </c>
      <c r="N31" s="243">
        <f>if(isblank(M30),"",if(or(N$7&lt;$D29,N$7=$D29),N30-1-N$6,N30-N$6))</f>
        <v>2</v>
      </c>
      <c r="O31" s="244"/>
      <c r="P31" s="249">
        <f t="shared" ref="P31:X31" si="31">if(isblank(P30),"",if(and(18-$D29&lt;0,18+P$7&lt;$D29),P30-2-P$6,if(or(P$7&lt;$D29,P$7=$D29),P30-1-P$6,P30-P$6)))</f>
        <v>2</v>
      </c>
      <c r="Q31" s="250">
        <f t="shared" si="31"/>
        <v>1</v>
      </c>
      <c r="R31" s="250">
        <f t="shared" si="31"/>
        <v>1</v>
      </c>
      <c r="S31" s="250">
        <f t="shared" si="31"/>
        <v>0</v>
      </c>
      <c r="T31" s="250">
        <f t="shared" si="31"/>
        <v>0</v>
      </c>
      <c r="U31" s="250">
        <f t="shared" si="31"/>
        <v>0</v>
      </c>
      <c r="V31" s="250">
        <f t="shared" si="31"/>
        <v>0</v>
      </c>
      <c r="W31" s="250">
        <f t="shared" si="31"/>
        <v>0</v>
      </c>
      <c r="X31" s="251">
        <f t="shared" si="31"/>
        <v>-1</v>
      </c>
      <c r="Y31" s="243">
        <f>if(isblank(X30),"",if(or(Y$7&lt;$D29,Y$7=$D29),Y30-1-Y$6,Y30-Y$6))</f>
        <v>3</v>
      </c>
      <c r="Z31" s="252">
        <f>if(isblank(X30),"",sum(N31,Y31))</f>
        <v>5</v>
      </c>
      <c r="AA31" s="42"/>
      <c r="AB31" s="39"/>
    </row>
    <row r="32">
      <c r="B32" s="1"/>
      <c r="C32" s="253" t="s">
        <v>172</v>
      </c>
      <c r="D32" s="253">
        <f>vlookup($C29,'TILT Round 2'!$C:$AA,25,false)</f>
        <v>2</v>
      </c>
      <c r="E32" s="255">
        <f t="shared" ref="E32:M32" si="32">if(isblank(E30),"",if(E31=-1,D32+1,if(E31=-2,D32+2,if(E31=-3,D32+3,1))))</f>
        <v>1</v>
      </c>
      <c r="F32" s="256">
        <f t="shared" si="32"/>
        <v>1</v>
      </c>
      <c r="G32" s="256">
        <f t="shared" si="32"/>
        <v>1</v>
      </c>
      <c r="H32" s="256">
        <f t="shared" si="32"/>
        <v>1</v>
      </c>
      <c r="I32" s="256">
        <f t="shared" si="32"/>
        <v>1</v>
      </c>
      <c r="J32" s="256">
        <f t="shared" si="32"/>
        <v>2</v>
      </c>
      <c r="K32" s="256">
        <f t="shared" si="32"/>
        <v>1</v>
      </c>
      <c r="L32" s="256">
        <f t="shared" si="32"/>
        <v>1</v>
      </c>
      <c r="M32" s="257">
        <f t="shared" si="32"/>
        <v>1</v>
      </c>
      <c r="N32" s="258"/>
      <c r="O32" s="259">
        <f>if(isblank(N30),"",if(N31=-1,M32+1,if(N31=-2,M32+2,if(N31=-3,M32+3,1))))</f>
        <v>1</v>
      </c>
      <c r="P32" s="255">
        <f t="shared" ref="P32:X32" si="33">if(isblank(P30),"",if(P31=-1,O32+1,if(P31=-2,O32+2,if(P31=-3,O32+3,1))))</f>
        <v>1</v>
      </c>
      <c r="Q32" s="256">
        <f t="shared" si="33"/>
        <v>1</v>
      </c>
      <c r="R32" s="256">
        <f t="shared" si="33"/>
        <v>1</v>
      </c>
      <c r="S32" s="256">
        <f t="shared" si="33"/>
        <v>1</v>
      </c>
      <c r="T32" s="256">
        <f t="shared" si="33"/>
        <v>1</v>
      </c>
      <c r="U32" s="256">
        <f t="shared" si="33"/>
        <v>1</v>
      </c>
      <c r="V32" s="256">
        <f t="shared" si="33"/>
        <v>1</v>
      </c>
      <c r="W32" s="256">
        <f t="shared" si="33"/>
        <v>1</v>
      </c>
      <c r="X32" s="257">
        <f t="shared" si="33"/>
        <v>2</v>
      </c>
      <c r="Y32" s="258"/>
      <c r="Z32" s="234">
        <f>if(isblank(Y30),"",if(Y31=-1,X32+1,if(Y31=-2,X32+2,if(Y31=-3,X32+3,1))))</f>
        <v>1</v>
      </c>
      <c r="AA32" s="236">
        <f>X32</f>
        <v>2</v>
      </c>
      <c r="AB32" s="1"/>
    </row>
    <row r="33">
      <c r="B33" s="1"/>
      <c r="C33" s="261"/>
      <c r="D33" s="261"/>
      <c r="E33" s="262"/>
      <c r="F33" s="262"/>
      <c r="G33" s="262"/>
      <c r="H33" s="263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3"/>
      <c r="W33" s="262"/>
      <c r="X33" s="262"/>
      <c r="Y33" s="262"/>
      <c r="Z33" s="262"/>
      <c r="AA33" s="236"/>
      <c r="AB33" s="1"/>
    </row>
    <row r="34">
      <c r="B34" s="1"/>
      <c r="C34" s="229" t="str">
        <f>'ROUND 3 - FOURBALL'!F37</f>
        <v>SCOTT</v>
      </c>
      <c r="D34" s="230">
        <f>vlookup($C34,HANDICAPS!$B$33:$G$48,5,false)</f>
        <v>-1</v>
      </c>
      <c r="E34" s="231">
        <f>if(isblank(E35),"",if(E36=-3,16*D37,if(E36=-2,8*D37,if(E36=-1,4*D37,if(E36=0,2*D37,if(E36=1,0,if(E36&gt;1,-4*D37))))))+D35)</f>
        <v>2</v>
      </c>
      <c r="F34" s="232">
        <f t="shared" ref="F34:M34" si="34">if(isblank(F35),"",if(F36=-3,16*E37+E34,if(F36=-2,8*E37+E34,if(F36=-1,4*E37+E34,if(F36=0,2*E37+E34,if(F36=1,0+E34,if(F36&gt;1,-4*E37+E34)))))))</f>
        <v>4</v>
      </c>
      <c r="G34" s="232">
        <f t="shared" si="34"/>
        <v>4</v>
      </c>
      <c r="H34" s="232">
        <f t="shared" si="34"/>
        <v>6</v>
      </c>
      <c r="I34" s="232">
        <f t="shared" si="34"/>
        <v>8</v>
      </c>
      <c r="J34" s="232">
        <f t="shared" si="34"/>
        <v>8</v>
      </c>
      <c r="K34" s="232">
        <f t="shared" si="34"/>
        <v>10</v>
      </c>
      <c r="L34" s="232">
        <f t="shared" si="34"/>
        <v>12</v>
      </c>
      <c r="M34" s="233">
        <f t="shared" si="34"/>
        <v>12</v>
      </c>
      <c r="N34" s="234">
        <f>M34</f>
        <v>12</v>
      </c>
      <c r="O34" s="235"/>
      <c r="P34" s="231">
        <f>if(isblank(P35),"",if(P36=-3,16*O37+O35+N34,if(P36=-2,8*O37+O35+N34,if(P36=-1,4*O37+O35+N34,if(P36=0,2*O37+O35+N34,if(P36=1,0+N34,if(P36&gt;1,-4*O37+O35+N34)))))))</f>
        <v>12</v>
      </c>
      <c r="Q34" s="232">
        <f t="shared" ref="Q34:X34" si="35">if(isblank(Q35),"",if(Q36=-3,16*P37+P34,if(Q36=-2,8*P37+P34,if(Q36=-1,4*P37+P34,if(Q36=0,2*P37+P34,if(Q36=1,0+P34,if(Q36&gt;1,-4*P37+P34)))))))</f>
        <v>14</v>
      </c>
      <c r="R34" s="232">
        <f t="shared" si="35"/>
        <v>16</v>
      </c>
      <c r="S34" s="232">
        <f t="shared" si="35"/>
        <v>18</v>
      </c>
      <c r="T34" s="232">
        <f t="shared" si="35"/>
        <v>20</v>
      </c>
      <c r="U34" s="232">
        <f t="shared" si="35"/>
        <v>24</v>
      </c>
      <c r="V34" s="232">
        <f t="shared" si="35"/>
        <v>28</v>
      </c>
      <c r="W34" s="232">
        <f t="shared" si="35"/>
        <v>28</v>
      </c>
      <c r="X34" s="233">
        <f t="shared" si="35"/>
        <v>30</v>
      </c>
      <c r="Y34" s="234">
        <f>if(isblank(X35),"",X34-N34)</f>
        <v>18</v>
      </c>
      <c r="Z34" s="234">
        <f>if(isblank(X35),0,X34)</f>
        <v>30</v>
      </c>
      <c r="AA34" s="236">
        <f>X37</f>
        <v>1</v>
      </c>
      <c r="AB34" s="1"/>
    </row>
    <row r="35">
      <c r="B35" s="1"/>
      <c r="C35" s="238" t="s">
        <v>170</v>
      </c>
      <c r="D35" s="239"/>
      <c r="E35" s="240">
        <f>vlookup('ROUND 3 - FOURBALL'!$B38,'ROUND 3 - FOURBALL'!$B:$AC,7,false)</f>
        <v>4</v>
      </c>
      <c r="F35" s="241">
        <f>vlookup('ROUND 3 - FOURBALL'!$B38,'ROUND 3 - FOURBALL'!$B:$AC,8,false)</f>
        <v>4</v>
      </c>
      <c r="G35" s="241">
        <f>vlookup('ROUND 3 - FOURBALL'!$B38,'ROUND 3 - FOURBALL'!$B:$AC,9,false)</f>
        <v>6</v>
      </c>
      <c r="H35" s="241">
        <f>vlookup('ROUND 3 - FOURBALL'!$B38,'ROUND 3 - FOURBALL'!$B:$AC,10,false)</f>
        <v>4</v>
      </c>
      <c r="I35" s="241">
        <f>vlookup('ROUND 3 - FOURBALL'!$B38,'ROUND 3 - FOURBALL'!$B:$AC,11,false)</f>
        <v>4</v>
      </c>
      <c r="J35" s="241">
        <f>vlookup('ROUND 3 - FOURBALL'!$B38,'ROUND 3 - FOURBALL'!$B:$AC,12,false)</f>
        <v>6</v>
      </c>
      <c r="K35" s="241">
        <f>vlookup('ROUND 3 - FOURBALL'!$B38,'ROUND 3 - FOURBALL'!$B:$AC,13,false)</f>
        <v>3</v>
      </c>
      <c r="L35" s="241">
        <f>vlookup('ROUND 3 - FOURBALL'!$B38,'ROUND 3 - FOURBALL'!$B:$AC,14,false)</f>
        <v>4</v>
      </c>
      <c r="M35" s="242">
        <f>vlookup('ROUND 3 - FOURBALL'!$B38,'ROUND 3 - FOURBALL'!$B:$AC,15,false)</f>
        <v>4</v>
      </c>
      <c r="N35" s="243">
        <f>if(isblank(M35),"",sum(E35:M35))</f>
        <v>39</v>
      </c>
      <c r="O35" s="244"/>
      <c r="P35" s="240">
        <f>if(isblank(Q35),vlookup('ROUND 3 - FOURBALL'!$B38,'ROUND 3 - FOURBALL'!$B:$AC,18,false),vlookup('ROUND 3 - FOURBALL'!$B38,'ROUND 3 - FOURBALL'!$B:$AC,18,false)+1)</f>
        <v>5</v>
      </c>
      <c r="Q35" s="241">
        <f>vlookup('ROUND 3 - FOURBALL'!$B38,'ROUND 3 - FOURBALL'!$B:$AC,19,false)</f>
        <v>5</v>
      </c>
      <c r="R35" s="241">
        <f>vlookup('ROUND 3 - FOURBALL'!$B38,'ROUND 3 - FOURBALL'!$B:$AC,20,false)</f>
        <v>4</v>
      </c>
      <c r="S35" s="241">
        <f>vlookup('ROUND 3 - FOURBALL'!$B38,'ROUND 3 - FOURBALL'!$B:$AC,21,false)</f>
        <v>5</v>
      </c>
      <c r="T35" s="241">
        <f>vlookup('ROUND 3 - FOURBALL'!$B38,'ROUND 3 - FOURBALL'!$B:$AC,22,false)</f>
        <v>3</v>
      </c>
      <c r="U35" s="241">
        <f>vlookup('ROUND 3 - FOURBALL'!$B38,'ROUND 3 - FOURBALL'!$B:$AC,23,false)</f>
        <v>3</v>
      </c>
      <c r="V35" s="241">
        <f>vlookup('ROUND 3 - FOURBALL'!$B38,'ROUND 3 - FOURBALL'!$B:$AC,24,false)</f>
        <v>3</v>
      </c>
      <c r="W35" s="241">
        <f>vlookup('ROUND 3 - FOURBALL'!$B38,'ROUND 3 - FOURBALL'!$B:$AC,25,false)</f>
        <v>5</v>
      </c>
      <c r="X35" s="242">
        <f>vlookup('ROUND 3 - FOURBALL'!$B38,'ROUND 3 - FOURBALL'!$B:$AC,26,false)</f>
        <v>5</v>
      </c>
      <c r="Y35" s="243">
        <f>if(isblank(X35),"",sum(P35:X35))</f>
        <v>38</v>
      </c>
      <c r="Z35" s="245">
        <f>if(isblank(X35),"",sum(N35,Y35))</f>
        <v>77</v>
      </c>
      <c r="AA35" s="264"/>
      <c r="AB35" s="1"/>
    </row>
    <row r="36">
      <c r="B36" s="1"/>
      <c r="C36" s="247" t="s">
        <v>171</v>
      </c>
      <c r="D36" s="248"/>
      <c r="E36" s="249">
        <f t="shared" ref="E36:M36" si="36">if(isblank(E35),"",if(and(18-$D34&lt;0,18+E$7&lt;$D34),E35-2-E$6,if(or(E$7&lt;$D34,E$7=$D34),E35-1-E$6,E35-E$6)))</f>
        <v>0</v>
      </c>
      <c r="F36" s="250">
        <f t="shared" si="36"/>
        <v>0</v>
      </c>
      <c r="G36" s="250">
        <f t="shared" si="36"/>
        <v>1</v>
      </c>
      <c r="H36" s="250">
        <f t="shared" si="36"/>
        <v>0</v>
      </c>
      <c r="I36" s="250">
        <f t="shared" si="36"/>
        <v>0</v>
      </c>
      <c r="J36" s="250">
        <f t="shared" si="36"/>
        <v>1</v>
      </c>
      <c r="K36" s="250">
        <f t="shared" si="36"/>
        <v>0</v>
      </c>
      <c r="L36" s="250">
        <f t="shared" si="36"/>
        <v>0</v>
      </c>
      <c r="M36" s="251">
        <f t="shared" si="36"/>
        <v>1</v>
      </c>
      <c r="N36" s="243">
        <f>if(isblank(M35),"",if(or(N$7&lt;$D34,N$7=$D34),N35-1-N$6,N35-N$6))</f>
        <v>3</v>
      </c>
      <c r="O36" s="244"/>
      <c r="P36" s="249">
        <f t="shared" ref="P36:X36" si="37">if(isblank(P35),"",if(and(18-$D34&lt;0,18+P$7&lt;$D34),P35-2-P$6,if(or(P$7&lt;$D34,P$7=$D34),P35-1-P$6,P35-P$6)))</f>
        <v>1</v>
      </c>
      <c r="Q36" s="250">
        <f t="shared" si="37"/>
        <v>0</v>
      </c>
      <c r="R36" s="250">
        <f t="shared" si="37"/>
        <v>0</v>
      </c>
      <c r="S36" s="250">
        <f t="shared" si="37"/>
        <v>0</v>
      </c>
      <c r="T36" s="250">
        <f t="shared" si="37"/>
        <v>0</v>
      </c>
      <c r="U36" s="250">
        <f t="shared" si="37"/>
        <v>-1</v>
      </c>
      <c r="V36" s="250">
        <f t="shared" si="37"/>
        <v>0</v>
      </c>
      <c r="W36" s="250">
        <f t="shared" si="37"/>
        <v>1</v>
      </c>
      <c r="X36" s="251">
        <f t="shared" si="37"/>
        <v>0</v>
      </c>
      <c r="Y36" s="243">
        <f>if(isblank(X35),"",if(or(Y$7&lt;$D34,Y$7=$D34),Y35-1-Y$6,Y35-Y$6))</f>
        <v>1</v>
      </c>
      <c r="Z36" s="252">
        <f>if(isblank(X35),"",sum(N36,Y36))</f>
        <v>4</v>
      </c>
      <c r="AA36" s="236"/>
      <c r="AB36" s="1"/>
    </row>
    <row r="37">
      <c r="B37" s="1"/>
      <c r="C37" s="253" t="s">
        <v>172</v>
      </c>
      <c r="D37" s="253">
        <f>vlookup($C34,'TILT Round 2'!$C:$AA,25,false)</f>
        <v>1</v>
      </c>
      <c r="E37" s="255">
        <f t="shared" ref="E37:M37" si="38">if(isblank(E35),"",if(E36=-1,D37+1,if(E36=-2,D37+2,if(E36=-3,D37+3,1))))</f>
        <v>1</v>
      </c>
      <c r="F37" s="256">
        <f t="shared" si="38"/>
        <v>1</v>
      </c>
      <c r="G37" s="256">
        <f t="shared" si="38"/>
        <v>1</v>
      </c>
      <c r="H37" s="256">
        <f t="shared" si="38"/>
        <v>1</v>
      </c>
      <c r="I37" s="256">
        <f t="shared" si="38"/>
        <v>1</v>
      </c>
      <c r="J37" s="256">
        <f t="shared" si="38"/>
        <v>1</v>
      </c>
      <c r="K37" s="256">
        <f t="shared" si="38"/>
        <v>1</v>
      </c>
      <c r="L37" s="256">
        <f t="shared" si="38"/>
        <v>1</v>
      </c>
      <c r="M37" s="257">
        <f t="shared" si="38"/>
        <v>1</v>
      </c>
      <c r="N37" s="258"/>
      <c r="O37" s="259">
        <f>if(isblank(N35),"",if(N36=-1,M37+1,if(N36=-2,M37+2,if(N36=-3,M37+3,1))))</f>
        <v>1</v>
      </c>
      <c r="P37" s="255">
        <f t="shared" ref="P37:X37" si="39">if(isblank(P35),"",if(P36=-1,O37+1,if(P36=-2,O37+2,if(P36=-3,O37+3,1))))</f>
        <v>1</v>
      </c>
      <c r="Q37" s="256">
        <f t="shared" si="39"/>
        <v>1</v>
      </c>
      <c r="R37" s="256">
        <f t="shared" si="39"/>
        <v>1</v>
      </c>
      <c r="S37" s="256">
        <f t="shared" si="39"/>
        <v>1</v>
      </c>
      <c r="T37" s="256">
        <f t="shared" si="39"/>
        <v>1</v>
      </c>
      <c r="U37" s="256">
        <f t="shared" si="39"/>
        <v>2</v>
      </c>
      <c r="V37" s="256">
        <f t="shared" si="39"/>
        <v>1</v>
      </c>
      <c r="W37" s="256">
        <f t="shared" si="39"/>
        <v>1</v>
      </c>
      <c r="X37" s="257">
        <f t="shared" si="39"/>
        <v>1</v>
      </c>
      <c r="Y37" s="258"/>
      <c r="Z37" s="234">
        <f>if(isblank(Y35),"",if(Y36=-1,X37+1,if(Y36=-2,X37+2,if(Y36=-3,X37+3,1))))</f>
        <v>1</v>
      </c>
      <c r="AA37" s="236">
        <f>X37</f>
        <v>1</v>
      </c>
      <c r="AB37" s="1"/>
    </row>
    <row r="38">
      <c r="B38" s="1"/>
      <c r="C38" s="1"/>
      <c r="D38" s="1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36"/>
      <c r="AB38" s="1"/>
    </row>
    <row r="39">
      <c r="B39" s="1"/>
      <c r="C39" s="229" t="str">
        <f>'ROUND 3 - FOURBALL'!F43</f>
        <v>ZACH</v>
      </c>
      <c r="D39" s="230">
        <f>vlookup($C39,HANDICAPS!$B$33:$G$48,5,false)</f>
        <v>6</v>
      </c>
      <c r="E39" s="231">
        <f>if(isblank(E40),"",if(E41=-3,16*D42,if(E41=-2,8*D42,if(E41=-1,4*D42,if(E41=0,2*D42,if(E41=1,0,if(E41&gt;1,-4*D42))))))+D40)</f>
        <v>0</v>
      </c>
      <c r="F39" s="232">
        <f t="shared" ref="F39:M39" si="40">if(isblank(F40),"",if(F41=-3,16*E42+E39,if(F41=-2,8*E42+E39,if(F41=-1,4*E42+E39,if(F41=0,2*E42+E39,if(F41=1,0+E39,if(F41&gt;1,-4*E42+E39)))))))</f>
        <v>0</v>
      </c>
      <c r="G39" s="232">
        <f t="shared" si="40"/>
        <v>4</v>
      </c>
      <c r="H39" s="232">
        <f t="shared" si="40"/>
        <v>4</v>
      </c>
      <c r="I39" s="232">
        <f t="shared" si="40"/>
        <v>6</v>
      </c>
      <c r="J39" s="232">
        <f t="shared" si="40"/>
        <v>6</v>
      </c>
      <c r="K39" s="232">
        <f t="shared" si="40"/>
        <v>8</v>
      </c>
      <c r="L39" s="232">
        <f t="shared" si="40"/>
        <v>10</v>
      </c>
      <c r="M39" s="233">
        <f t="shared" si="40"/>
        <v>10</v>
      </c>
      <c r="N39" s="234">
        <f>M39</f>
        <v>10</v>
      </c>
      <c r="O39" s="235"/>
      <c r="P39" s="231">
        <f>if(isblank(P40),"",if(P41=-3,16*O42+O40+N39,if(P41=-2,8*O42+O40+N39,if(P41=-1,4*O42+O40+N39,if(P41=0,2*O42+O40+N39,if(P41=1,0+N39,if(P41&gt;1,-4*O42+O40+N39)))))))</f>
        <v>10</v>
      </c>
      <c r="Q39" s="232">
        <f t="shared" ref="Q39:X39" si="41">if(isblank(Q40),"",if(Q41=-3,16*P42+P39,if(Q41=-2,8*P42+P39,if(Q41=-1,4*P42+P39,if(Q41=0,2*P42+P39,if(Q41=1,0+P39,if(Q41&gt;1,-4*P42+P39)))))))</f>
        <v>12</v>
      </c>
      <c r="R39" s="232">
        <f t="shared" si="41"/>
        <v>14</v>
      </c>
      <c r="S39" s="232">
        <f t="shared" si="41"/>
        <v>16</v>
      </c>
      <c r="T39" s="232">
        <f t="shared" si="41"/>
        <v>12</v>
      </c>
      <c r="U39" s="232">
        <f t="shared" si="41"/>
        <v>14</v>
      </c>
      <c r="V39" s="232">
        <f t="shared" si="41"/>
        <v>18</v>
      </c>
      <c r="W39" s="232">
        <f t="shared" si="41"/>
        <v>26</v>
      </c>
      <c r="X39" s="233">
        <f t="shared" si="41"/>
        <v>26</v>
      </c>
      <c r="Y39" s="234">
        <f>if(isblank(X40),"",X39-N39)</f>
        <v>16</v>
      </c>
      <c r="Z39" s="234">
        <f>if(isblank(X40),0,X39)</f>
        <v>26</v>
      </c>
      <c r="AA39" s="236">
        <f>X42</f>
        <v>1</v>
      </c>
      <c r="AB39" s="1"/>
    </row>
    <row r="40">
      <c r="A40" s="237"/>
      <c r="B40" s="39"/>
      <c r="C40" s="238" t="s">
        <v>170</v>
      </c>
      <c r="D40" s="239"/>
      <c r="E40" s="240">
        <f>vlookup('ROUND 3 - FOURBALL'!$B44,'ROUND 3 - FOURBALL'!$B:$AC,7,false)</f>
        <v>5</v>
      </c>
      <c r="F40" s="241">
        <f>vlookup('ROUND 3 - FOURBALL'!$B44,'ROUND 3 - FOURBALL'!$B:$AC,8,false)</f>
        <v>5</v>
      </c>
      <c r="G40" s="241">
        <f>vlookup('ROUND 3 - FOURBALL'!$B44,'ROUND 3 - FOURBALL'!$B:$AC,9,false)</f>
        <v>5</v>
      </c>
      <c r="H40" s="241">
        <f>vlookup('ROUND 3 - FOURBALL'!$B44,'ROUND 3 - FOURBALL'!$B:$AC,10,false)</f>
        <v>5</v>
      </c>
      <c r="I40" s="241">
        <f>vlookup('ROUND 3 - FOURBALL'!$B44,'ROUND 3 - FOURBALL'!$B:$AC,11,false)</f>
        <v>5</v>
      </c>
      <c r="J40" s="241">
        <f>vlookup('ROUND 3 - FOURBALL'!$B44,'ROUND 3 - FOURBALL'!$B:$AC,12,false)</f>
        <v>6</v>
      </c>
      <c r="K40" s="241">
        <f>vlookup('ROUND 3 - FOURBALL'!$B44,'ROUND 3 - FOURBALL'!$B:$AC,13,false)</f>
        <v>3</v>
      </c>
      <c r="L40" s="241">
        <f>vlookup('ROUND 3 - FOURBALL'!$B44,'ROUND 3 - FOURBALL'!$B:$AC,14,false)</f>
        <v>5</v>
      </c>
      <c r="M40" s="242">
        <f>vlookup('ROUND 3 - FOURBALL'!$B44,'ROUND 3 - FOURBALL'!$B:$AC,15,false)</f>
        <v>4</v>
      </c>
      <c r="N40" s="243">
        <f>if(isblank(M40),"",sum(E40:M40))</f>
        <v>43</v>
      </c>
      <c r="O40" s="244"/>
      <c r="P40" s="240">
        <f>vlookup('ROUND 3 - FOURBALL'!$B44,'ROUND 3 - FOURBALL'!$B:$AC,18,false)</f>
        <v>5</v>
      </c>
      <c r="Q40" s="241">
        <f>vlookup('ROUND 3 - FOURBALL'!$B44,'ROUND 3 - FOURBALL'!$B:$AC,19,false)</f>
        <v>6</v>
      </c>
      <c r="R40" s="241">
        <f>vlookup('ROUND 3 - FOURBALL'!$B44,'ROUND 3 - FOURBALL'!$B:$AC,20,false)</f>
        <v>4</v>
      </c>
      <c r="S40" s="241">
        <f>vlookup('ROUND 3 - FOURBALL'!$B44,'ROUND 3 - FOURBALL'!$B:$AC,21,false)</f>
        <v>5</v>
      </c>
      <c r="T40" s="241">
        <f>vlookup('ROUND 3 - FOURBALL'!$B44,'ROUND 3 - FOURBALL'!$B:$AC,22,false)</f>
        <v>5</v>
      </c>
      <c r="U40" s="241">
        <f>vlookup('ROUND 3 - FOURBALL'!$B44,'ROUND 3 - FOURBALL'!$B:$AC,23,false)</f>
        <v>5</v>
      </c>
      <c r="V40" s="241">
        <f>vlookup('ROUND 3 - FOURBALL'!$B44,'ROUND 3 - FOURBALL'!$B:$AC,24,false)</f>
        <v>2</v>
      </c>
      <c r="W40" s="241">
        <f>vlookup('ROUND 3 - FOURBALL'!$B44,'ROUND 3 - FOURBALL'!$B:$AC,25,false)</f>
        <v>4</v>
      </c>
      <c r="X40" s="242">
        <f>vlookup('ROUND 3 - FOURBALL'!$B44,'ROUND 3 - FOURBALL'!$B:$AC,26,false)</f>
        <v>6</v>
      </c>
      <c r="Y40" s="243">
        <f>if(isblank(X40),"",sum(P40:X40))</f>
        <v>42</v>
      </c>
      <c r="Z40" s="245">
        <f>if(isblank(X40),"",sum(N40,Y40))</f>
        <v>85</v>
      </c>
      <c r="AA40" s="246"/>
      <c r="AB40" s="39"/>
    </row>
    <row r="41">
      <c r="A41" s="237"/>
      <c r="B41" s="39"/>
      <c r="C41" s="247" t="s">
        <v>171</v>
      </c>
      <c r="D41" s="248"/>
      <c r="E41" s="249">
        <f t="shared" ref="E41:M41" si="42">if(isblank(E40),"",if(and(18-$D39&lt;0,18+E$7&lt;$D39),E40-2-E$6,if(or(E$7&lt;$D39,E$7=$D39),E40-1-E$6,E40-E$6)))</f>
        <v>1</v>
      </c>
      <c r="F41" s="250">
        <f t="shared" si="42"/>
        <v>1</v>
      </c>
      <c r="G41" s="250">
        <f t="shared" si="42"/>
        <v>-1</v>
      </c>
      <c r="H41" s="250">
        <f t="shared" si="42"/>
        <v>1</v>
      </c>
      <c r="I41" s="250">
        <f t="shared" si="42"/>
        <v>0</v>
      </c>
      <c r="J41" s="250">
        <f t="shared" si="42"/>
        <v>1</v>
      </c>
      <c r="K41" s="250">
        <f t="shared" si="42"/>
        <v>0</v>
      </c>
      <c r="L41" s="250">
        <f t="shared" si="42"/>
        <v>0</v>
      </c>
      <c r="M41" s="251">
        <f t="shared" si="42"/>
        <v>1</v>
      </c>
      <c r="N41" s="243">
        <f>if(isblank(M40),"",if(or(N$7&lt;$D39,N$7=$D39),N40-1-N$6,N40-N$6))</f>
        <v>6</v>
      </c>
      <c r="O41" s="244"/>
      <c r="P41" s="249">
        <f t="shared" ref="P41:X41" si="43">if(isblank(P40),"",if(and(18-$D39&lt;0,18+P$7&lt;$D39),P40-2-P$6,if(or(P$7&lt;$D39,P$7=$D39),P40-1-P$6,P40-P$6)))</f>
        <v>1</v>
      </c>
      <c r="Q41" s="250">
        <f t="shared" si="43"/>
        <v>0</v>
      </c>
      <c r="R41" s="250">
        <f t="shared" si="43"/>
        <v>0</v>
      </c>
      <c r="S41" s="250">
        <f t="shared" si="43"/>
        <v>0</v>
      </c>
      <c r="T41" s="250">
        <f t="shared" si="43"/>
        <v>2</v>
      </c>
      <c r="U41" s="250">
        <f t="shared" si="43"/>
        <v>0</v>
      </c>
      <c r="V41" s="250">
        <f t="shared" si="43"/>
        <v>-1</v>
      </c>
      <c r="W41" s="250">
        <f t="shared" si="43"/>
        <v>-1</v>
      </c>
      <c r="X41" s="251">
        <f t="shared" si="43"/>
        <v>1</v>
      </c>
      <c r="Y41" s="243">
        <f>if(isblank(X40),"",if(or(Y$7&lt;$D39,Y$7=$D39),Y40-1-Y$6,Y40-Y$6))</f>
        <v>4</v>
      </c>
      <c r="Z41" s="252">
        <f>if(isblank(X40),"",sum(N41,Y41))</f>
        <v>10</v>
      </c>
      <c r="AA41" s="42"/>
      <c r="AB41" s="39"/>
    </row>
    <row r="42">
      <c r="B42" s="1"/>
      <c r="C42" s="253" t="s">
        <v>172</v>
      </c>
      <c r="D42" s="253">
        <f>vlookup($C39,'TILT Round 2'!$C:$AA,25,false)</f>
        <v>1</v>
      </c>
      <c r="E42" s="255">
        <f t="shared" ref="E42:M42" si="44">if(isblank(E40),"",if(E41=-1,D42+1,if(E41=-2,D42+2,if(E41=-3,D42+3,1))))</f>
        <v>1</v>
      </c>
      <c r="F42" s="256">
        <f t="shared" si="44"/>
        <v>1</v>
      </c>
      <c r="G42" s="256">
        <f t="shared" si="44"/>
        <v>2</v>
      </c>
      <c r="H42" s="256">
        <f t="shared" si="44"/>
        <v>1</v>
      </c>
      <c r="I42" s="256">
        <f t="shared" si="44"/>
        <v>1</v>
      </c>
      <c r="J42" s="256">
        <f t="shared" si="44"/>
        <v>1</v>
      </c>
      <c r="K42" s="256">
        <f t="shared" si="44"/>
        <v>1</v>
      </c>
      <c r="L42" s="256">
        <f t="shared" si="44"/>
        <v>1</v>
      </c>
      <c r="M42" s="257">
        <f t="shared" si="44"/>
        <v>1</v>
      </c>
      <c r="N42" s="258"/>
      <c r="O42" s="259">
        <f>if(isblank(N40),"",if(N41=-1,M42+1,if(N41=-2,M42+2,if(N41=-3,M42+3,1))))</f>
        <v>1</v>
      </c>
      <c r="P42" s="255">
        <f t="shared" ref="P42:X42" si="45">if(isblank(P40),"",if(P41=-1,O42+1,if(P41=-2,O42+2,if(P41=-3,O42+3,1))))</f>
        <v>1</v>
      </c>
      <c r="Q42" s="256">
        <f t="shared" si="45"/>
        <v>1</v>
      </c>
      <c r="R42" s="256">
        <f t="shared" si="45"/>
        <v>1</v>
      </c>
      <c r="S42" s="256">
        <f t="shared" si="45"/>
        <v>1</v>
      </c>
      <c r="T42" s="256">
        <f t="shared" si="45"/>
        <v>1</v>
      </c>
      <c r="U42" s="256">
        <f t="shared" si="45"/>
        <v>1</v>
      </c>
      <c r="V42" s="256">
        <f t="shared" si="45"/>
        <v>2</v>
      </c>
      <c r="W42" s="256">
        <f t="shared" si="45"/>
        <v>3</v>
      </c>
      <c r="X42" s="257">
        <f t="shared" si="45"/>
        <v>1</v>
      </c>
      <c r="Y42" s="258"/>
      <c r="Z42" s="234">
        <f>if(isblank(Y40),"",if(Y41=-1,X42+1,if(Y41=-2,X42+2,if(Y41=-3,X42+3,1))))</f>
        <v>1</v>
      </c>
      <c r="AA42" s="236"/>
      <c r="AB42" s="1"/>
    </row>
    <row r="43">
      <c r="B43" s="1"/>
      <c r="C43" s="261"/>
      <c r="D43" s="261"/>
      <c r="E43" s="262"/>
      <c r="F43" s="262"/>
      <c r="G43" s="262"/>
      <c r="H43" s="263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3"/>
      <c r="W43" s="262"/>
      <c r="X43" s="262"/>
      <c r="Y43" s="262"/>
      <c r="Z43" s="234"/>
      <c r="AA43" s="236"/>
      <c r="AB43" s="1"/>
    </row>
    <row r="44">
      <c r="B44" s="1"/>
      <c r="C44" s="229" t="str">
        <f>'ROUND 3 - FOURBALL'!F45</f>
        <v>SLICK</v>
      </c>
      <c r="D44" s="230">
        <f>vlookup($C44,HANDICAPS!$B$33:$G$48,5,false)</f>
        <v>7</v>
      </c>
      <c r="E44" s="231">
        <f>if(isblank(E45),"",if(E46=-3,16*D47,if(E46=-2,8*D47,if(E46=-1,4*D47,if(E46=0,2*D47,if(E46=1,0,if(E46&gt;1,-4*D47))))))+D45)</f>
        <v>4</v>
      </c>
      <c r="F44" s="232">
        <f t="shared" ref="F44:M44" si="46">if(isblank(F45),"",if(F46=-3,16*E47+E44,if(F46=-2,8*E47+E44,if(F46=-1,4*E47+E44,if(F46=0,2*E47+E44,if(F46=1,0+E44,if(F46&gt;1,-4*E47+E44)))))))</f>
        <v>0</v>
      </c>
      <c r="G44" s="232">
        <f t="shared" si="46"/>
        <v>4</v>
      </c>
      <c r="H44" s="232">
        <f t="shared" si="46"/>
        <v>4</v>
      </c>
      <c r="I44" s="232">
        <f t="shared" si="46"/>
        <v>6</v>
      </c>
      <c r="J44" s="232">
        <f t="shared" si="46"/>
        <v>6</v>
      </c>
      <c r="K44" s="232">
        <f t="shared" si="46"/>
        <v>6</v>
      </c>
      <c r="L44" s="232">
        <f t="shared" si="46"/>
        <v>10</v>
      </c>
      <c r="M44" s="233">
        <f t="shared" si="46"/>
        <v>14</v>
      </c>
      <c r="N44" s="234">
        <f>M44</f>
        <v>14</v>
      </c>
      <c r="O44" s="235"/>
      <c r="P44" s="231">
        <f>if(isblank(P45),"",if(P46=-3,16*O47+O45+N44,if(P46=-2,8*O47+O45+N44,if(P46=-1,4*O47+O45+N44,if(P46=0,2*O47+O45+N44,if(P46=1,0+N44,if(P46&gt;1,-4*O47+O45+N44)))))))</f>
        <v>16</v>
      </c>
      <c r="Q44" s="232">
        <f t="shared" ref="Q44:X44" si="47">if(isblank(Q45),"",if(Q46=-3,16*P47+P44,if(Q46=-2,8*P47+P44,if(Q46=-1,4*P47+P44,if(Q46=0,2*P47+P44,if(Q46=1,0+P44,if(Q46&gt;1,-4*P47+P44)))))))</f>
        <v>20</v>
      </c>
      <c r="R44" s="232">
        <f t="shared" si="47"/>
        <v>24</v>
      </c>
      <c r="S44" s="232">
        <f t="shared" si="47"/>
        <v>26</v>
      </c>
      <c r="T44" s="232">
        <f t="shared" si="47"/>
        <v>26</v>
      </c>
      <c r="U44" s="232">
        <f t="shared" si="47"/>
        <v>26</v>
      </c>
      <c r="V44" s="232">
        <f t="shared" si="47"/>
        <v>26</v>
      </c>
      <c r="W44" s="232">
        <f t="shared" si="47"/>
        <v>30</v>
      </c>
      <c r="X44" s="233">
        <f t="shared" si="47"/>
        <v>30</v>
      </c>
      <c r="Y44" s="234">
        <f>if(isblank(X45),"",X44-N44)</f>
        <v>16</v>
      </c>
      <c r="Z44" s="234">
        <f>if(isblank(X45),0,X44)</f>
        <v>30</v>
      </c>
      <c r="AA44" s="236">
        <f>X47</f>
        <v>1</v>
      </c>
      <c r="AB44" s="1"/>
    </row>
    <row r="45">
      <c r="B45" s="1"/>
      <c r="C45" s="238" t="s">
        <v>170</v>
      </c>
      <c r="D45" s="239"/>
      <c r="E45" s="240">
        <f>vlookup('ROUND 3 - FOURBALL'!$B46,'ROUND 3 - FOURBALL'!$B:$AC,7,false)</f>
        <v>4</v>
      </c>
      <c r="F45" s="241">
        <f>vlookup('ROUND 3 - FOURBALL'!$B46,'ROUND 3 - FOURBALL'!$B:$AC,8,false)</f>
        <v>6</v>
      </c>
      <c r="G45" s="241">
        <f>vlookup('ROUND 3 - FOURBALL'!$B46,'ROUND 3 - FOURBALL'!$B:$AC,9,false)</f>
        <v>5</v>
      </c>
      <c r="H45" s="241">
        <f>vlookup('ROUND 3 - FOURBALL'!$B46,'ROUND 3 - FOURBALL'!$B:$AC,10,false)</f>
        <v>6</v>
      </c>
      <c r="I45" s="241">
        <f>vlookup('ROUND 3 - FOURBALL'!$B46,'ROUND 3 - FOURBALL'!$B:$AC,11,false)</f>
        <v>5</v>
      </c>
      <c r="J45" s="241">
        <f>vlookup('ROUND 3 - FOURBALL'!$B46,'ROUND 3 - FOURBALL'!$B:$AC,12,false)</f>
        <v>6</v>
      </c>
      <c r="K45" s="241">
        <f>vlookup('ROUND 3 - FOURBALL'!$B46,'ROUND 3 - FOURBALL'!$B:$AC,13,false)</f>
        <v>4</v>
      </c>
      <c r="L45" s="241">
        <f>vlookup('ROUND 3 - FOURBALL'!$B46,'ROUND 3 - FOURBALL'!$B:$AC,14,false)</f>
        <v>4</v>
      </c>
      <c r="M45" s="242">
        <f>vlookup('ROUND 3 - FOURBALL'!$B46,'ROUND 3 - FOURBALL'!$B:$AC,15,false)</f>
        <v>3</v>
      </c>
      <c r="N45" s="243">
        <f>if(isblank(M45),"",sum(E45:M45))</f>
        <v>43</v>
      </c>
      <c r="O45" s="244"/>
      <c r="P45" s="240">
        <f>vlookup('ROUND 3 - FOURBALL'!$B46,'ROUND 3 - FOURBALL'!$B:$AC,18,false)</f>
        <v>4</v>
      </c>
      <c r="Q45" s="241">
        <f>vlookup('ROUND 3 - FOURBALL'!$B46,'ROUND 3 - FOURBALL'!$B:$AC,19,false)</f>
        <v>5</v>
      </c>
      <c r="R45" s="241">
        <f>vlookup('ROUND 3 - FOURBALL'!$B46,'ROUND 3 - FOURBALL'!$B:$AC,20,false)</f>
        <v>4</v>
      </c>
      <c r="S45" s="241">
        <f>vlookup('ROUND 3 - FOURBALL'!$B46,'ROUND 3 - FOURBALL'!$B:$AC,21,false)</f>
        <v>5</v>
      </c>
      <c r="T45" s="241">
        <f>vlookup('ROUND 3 - FOURBALL'!$B46,'ROUND 3 - FOURBALL'!$B:$AC,22,false)</f>
        <v>4</v>
      </c>
      <c r="U45" s="241">
        <f>vlookup('ROUND 3 - FOURBALL'!$B46,'ROUND 3 - FOURBALL'!$B:$AC,23,false)</f>
        <v>6</v>
      </c>
      <c r="V45" s="241">
        <f>vlookup('ROUND 3 - FOURBALL'!$B46,'ROUND 3 - FOURBALL'!$B:$AC,24,false)</f>
        <v>4</v>
      </c>
      <c r="W45" s="241">
        <f>vlookup('ROUND 3 - FOURBALL'!$B46,'ROUND 3 - FOURBALL'!$B:$AC,25,false)</f>
        <v>4</v>
      </c>
      <c r="X45" s="242">
        <f>vlookup('ROUND 3 - FOURBALL'!$B46,'ROUND 3 - FOURBALL'!$B:$AC,26,false)</f>
        <v>6</v>
      </c>
      <c r="Y45" s="243">
        <f>if(isblank(X45),"",sum(P45:X45))</f>
        <v>42</v>
      </c>
      <c r="Z45" s="245">
        <f>if(isblank(X45),"",sum(N45,Y45))</f>
        <v>85</v>
      </c>
      <c r="AA45" s="264"/>
      <c r="AB45" s="1"/>
    </row>
    <row r="46">
      <c r="B46" s="1"/>
      <c r="C46" s="247" t="s">
        <v>171</v>
      </c>
      <c r="D46" s="248"/>
      <c r="E46" s="249">
        <f t="shared" ref="E46:M46" si="48">if(isblank(E45),"",if(and(18-$D44&lt;0,18+E$7&lt;$D44),E45-2-E$6,if(or(E$7&lt;$D44,E$7=$D44),E45-1-E$6,E45-E$6)))</f>
        <v>0</v>
      </c>
      <c r="F46" s="250">
        <f t="shared" si="48"/>
        <v>2</v>
      </c>
      <c r="G46" s="250">
        <f t="shared" si="48"/>
        <v>-1</v>
      </c>
      <c r="H46" s="250">
        <f t="shared" si="48"/>
        <v>1</v>
      </c>
      <c r="I46" s="250">
        <f t="shared" si="48"/>
        <v>0</v>
      </c>
      <c r="J46" s="250">
        <f t="shared" si="48"/>
        <v>1</v>
      </c>
      <c r="K46" s="250">
        <f t="shared" si="48"/>
        <v>1</v>
      </c>
      <c r="L46" s="250">
        <f t="shared" si="48"/>
        <v>-1</v>
      </c>
      <c r="M46" s="251">
        <f t="shared" si="48"/>
        <v>0</v>
      </c>
      <c r="N46" s="243">
        <f>if(isblank(M45),"",if(or(N$7&lt;$D44,N$7=$D44),N45-1-N$6,N45-N$6))</f>
        <v>6</v>
      </c>
      <c r="O46" s="244"/>
      <c r="P46" s="249">
        <f t="shared" ref="P46:X46" si="49">if(isblank(P45),"",if(and(18-$D44&lt;0,18+P$7&lt;$D44),P45-2-P$6,if(or(P$7&lt;$D44,P$7=$D44),P45-1-P$6,P45-P$6)))</f>
        <v>0</v>
      </c>
      <c r="Q46" s="250">
        <f t="shared" si="49"/>
        <v>-1</v>
      </c>
      <c r="R46" s="250">
        <f t="shared" si="49"/>
        <v>0</v>
      </c>
      <c r="S46" s="250">
        <f t="shared" si="49"/>
        <v>0</v>
      </c>
      <c r="T46" s="250">
        <f t="shared" si="49"/>
        <v>1</v>
      </c>
      <c r="U46" s="250">
        <f t="shared" si="49"/>
        <v>1</v>
      </c>
      <c r="V46" s="250">
        <f t="shared" si="49"/>
        <v>1</v>
      </c>
      <c r="W46" s="250">
        <f t="shared" si="49"/>
        <v>-1</v>
      </c>
      <c r="X46" s="251">
        <f t="shared" si="49"/>
        <v>1</v>
      </c>
      <c r="Y46" s="243">
        <f>if(isblank(X45),"",if(or(Y$7&lt;$D44,Y$7=$D44),Y45-1-Y$6,Y45-Y$6))</f>
        <v>4</v>
      </c>
      <c r="Z46" s="252">
        <f>if(isblank(X45),"",sum(N46,Y46))</f>
        <v>10</v>
      </c>
      <c r="AA46" s="236"/>
      <c r="AB46" s="1"/>
    </row>
    <row r="47">
      <c r="B47" s="1"/>
      <c r="C47" s="253" t="s">
        <v>172</v>
      </c>
      <c r="D47" s="253">
        <f>vlookup($C44,'TILT Round 2'!$C:$AA,25,false)</f>
        <v>2</v>
      </c>
      <c r="E47" s="255">
        <f t="shared" ref="E47:M47" si="50">if(isblank(E45),"",if(E46=-1,D47+1,if(E46=-2,D47+2,if(E46=-3,D47+3,1))))</f>
        <v>1</v>
      </c>
      <c r="F47" s="256">
        <f t="shared" si="50"/>
        <v>1</v>
      </c>
      <c r="G47" s="256">
        <f t="shared" si="50"/>
        <v>2</v>
      </c>
      <c r="H47" s="256">
        <f t="shared" si="50"/>
        <v>1</v>
      </c>
      <c r="I47" s="256">
        <f t="shared" si="50"/>
        <v>1</v>
      </c>
      <c r="J47" s="256">
        <f t="shared" si="50"/>
        <v>1</v>
      </c>
      <c r="K47" s="256">
        <f t="shared" si="50"/>
        <v>1</v>
      </c>
      <c r="L47" s="256">
        <f t="shared" si="50"/>
        <v>2</v>
      </c>
      <c r="M47" s="257">
        <f t="shared" si="50"/>
        <v>1</v>
      </c>
      <c r="N47" s="258"/>
      <c r="O47" s="259">
        <f>if(isblank(N45),"",if(N46=-1,M47+1,if(N46=-2,M47+2,if(N46=-3,M47+3,1))))</f>
        <v>1</v>
      </c>
      <c r="P47" s="255">
        <f t="shared" ref="P47:X47" si="51">if(isblank(P45),"",if(P46=-1,O47+1,if(P46=-2,O47+2,if(P46=-3,O47+3,1))))</f>
        <v>1</v>
      </c>
      <c r="Q47" s="256">
        <f t="shared" si="51"/>
        <v>2</v>
      </c>
      <c r="R47" s="256">
        <f t="shared" si="51"/>
        <v>1</v>
      </c>
      <c r="S47" s="256">
        <f t="shared" si="51"/>
        <v>1</v>
      </c>
      <c r="T47" s="256">
        <f t="shared" si="51"/>
        <v>1</v>
      </c>
      <c r="U47" s="256">
        <f t="shared" si="51"/>
        <v>1</v>
      </c>
      <c r="V47" s="256">
        <f t="shared" si="51"/>
        <v>1</v>
      </c>
      <c r="W47" s="256">
        <f t="shared" si="51"/>
        <v>2</v>
      </c>
      <c r="X47" s="257">
        <f t="shared" si="51"/>
        <v>1</v>
      </c>
      <c r="Y47" s="258"/>
      <c r="Z47" s="234">
        <f>if(isblank(Y45),"",if(Y46=-1,X47+1,if(Y46=-2,X47+2,if(Y46=-3,X47+3,1))))</f>
        <v>1</v>
      </c>
      <c r="AA47" s="236"/>
      <c r="AB47" s="1"/>
    </row>
    <row r="48">
      <c r="B48" s="1"/>
      <c r="C48" s="1"/>
      <c r="D48" s="1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36"/>
      <c r="AB48" s="1"/>
    </row>
    <row r="49">
      <c r="B49" s="1"/>
      <c r="C49" s="229" t="str">
        <f>'ROUND 3 - FOURBALL'!F60</f>
        <v>PAXTON</v>
      </c>
      <c r="D49" s="230">
        <f>vlookup($C49,HANDICAPS!$B$33:$G$48,5,false)</f>
        <v>9</v>
      </c>
      <c r="E49" s="231">
        <f>if(isblank(E50),"",if(E51=-3,16*D52,if(E51=-2,8*D52,if(E51=-1,4*D52,if(E51=0,2*D52,if(E51=1,0,if(E51&gt;1,-4*D52))))))+D50)</f>
        <v>0</v>
      </c>
      <c r="F49" s="232">
        <f t="shared" ref="F49:M49" si="52">if(isblank(F50),"",if(F51=-3,16*E52+E49,if(F51=-2,8*E52+E49,if(F51=-1,4*E52+E49,if(F51=0,2*E52+E49,if(F51=1,0+E49,if(F51&gt;1,-4*E52+E49)))))))</f>
        <v>-4</v>
      </c>
      <c r="G49" s="232">
        <f t="shared" si="52"/>
        <v>-8</v>
      </c>
      <c r="H49" s="232">
        <f t="shared" si="52"/>
        <v>-4</v>
      </c>
      <c r="I49" s="232">
        <f t="shared" si="52"/>
        <v>0</v>
      </c>
      <c r="J49" s="232">
        <f t="shared" si="52"/>
        <v>2</v>
      </c>
      <c r="K49" s="232">
        <f t="shared" si="52"/>
        <v>2</v>
      </c>
      <c r="L49" s="232">
        <f t="shared" si="52"/>
        <v>6</v>
      </c>
      <c r="M49" s="233">
        <f t="shared" si="52"/>
        <v>6</v>
      </c>
      <c r="N49" s="234">
        <f>M49</f>
        <v>6</v>
      </c>
      <c r="O49" s="235"/>
      <c r="P49" s="231">
        <f>if(isblank(P50),"",if(P51=-3,16*O52+O50+N49,if(P51=-2,8*O52+O50+N49,if(P51=-1,4*O52+O50+N49,if(P51=0,2*O52+O50+N49,if(P51=1,0+N49,if(P51&gt;1,-4*O52+O50+N49)))))))</f>
        <v>6</v>
      </c>
      <c r="Q49" s="232">
        <f t="shared" ref="Q49:X49" si="53">if(isblank(Q50),"",if(Q51=-3,16*P52+P49,if(Q51=-2,8*P52+P49,if(Q51=-1,4*P52+P49,if(Q51=0,2*P52+P49,if(Q51=1,0+P49,if(Q51&gt;1,-4*P52+P49)))))))</f>
        <v>10</v>
      </c>
      <c r="R49" s="232">
        <f t="shared" si="53"/>
        <v>10</v>
      </c>
      <c r="S49" s="232">
        <f t="shared" si="53"/>
        <v>10</v>
      </c>
      <c r="T49" s="232">
        <f t="shared" si="53"/>
        <v>14</v>
      </c>
      <c r="U49" s="232">
        <f t="shared" si="53"/>
        <v>18</v>
      </c>
      <c r="V49" s="232">
        <f t="shared" si="53"/>
        <v>18</v>
      </c>
      <c r="W49" s="232">
        <f t="shared" si="53"/>
        <v>20</v>
      </c>
      <c r="X49" s="233">
        <f t="shared" si="53"/>
        <v>22</v>
      </c>
      <c r="Y49" s="234">
        <f>if(isblank(X50),"",X49-N49)</f>
        <v>16</v>
      </c>
      <c r="Z49" s="234">
        <f>if(isblank(X50),0,X49)</f>
        <v>22</v>
      </c>
      <c r="AA49" s="236">
        <f>X52</f>
        <v>1</v>
      </c>
      <c r="AB49" s="1"/>
    </row>
    <row r="50">
      <c r="A50" s="237"/>
      <c r="B50" s="39"/>
      <c r="C50" s="238" t="s">
        <v>170</v>
      </c>
      <c r="D50" s="239"/>
      <c r="E50" s="240">
        <f>vlookup('ROUND 3 - FOURBALL'!$B61,'ROUND 3 - FOURBALL'!$B:$AC,7,false)</f>
        <v>6</v>
      </c>
      <c r="F50" s="241">
        <f>vlookup('ROUND 3 - FOURBALL'!$B61,'ROUND 3 - FOURBALL'!$B:$AC,8,false)</f>
        <v>7</v>
      </c>
      <c r="G50" s="241">
        <f>vlookup('ROUND 3 - FOURBALL'!$B61,'ROUND 3 - FOURBALL'!$B:$AC,9,false)</f>
        <v>8</v>
      </c>
      <c r="H50" s="241">
        <f>vlookup('ROUND 3 - FOURBALL'!$B61,'ROUND 3 - FOURBALL'!$B:$AC,10,false)</f>
        <v>4</v>
      </c>
      <c r="I50" s="241">
        <f>vlookup('ROUND 3 - FOURBALL'!$B61,'ROUND 3 - FOURBALL'!$B:$AC,11,false)</f>
        <v>5</v>
      </c>
      <c r="J50" s="241">
        <f>vlookup('ROUND 3 - FOURBALL'!$B61,'ROUND 3 - FOURBALL'!$B:$AC,12,false)</f>
        <v>5</v>
      </c>
      <c r="K50" s="241">
        <f>vlookup('ROUND 3 - FOURBALL'!$B61,'ROUND 3 - FOURBALL'!$B:$AC,13,false)</f>
        <v>4</v>
      </c>
      <c r="L50" s="241">
        <f>vlookup('ROUND 3 - FOURBALL'!$B61,'ROUND 3 - FOURBALL'!$B:$AC,14,false)</f>
        <v>4</v>
      </c>
      <c r="M50" s="242">
        <f>vlookup('ROUND 3 - FOURBALL'!$B61,'ROUND 3 - FOURBALL'!$B:$AC,15,false)</f>
        <v>4</v>
      </c>
      <c r="N50" s="243">
        <f>if(isblank(M50),"",sum(E50:M50))</f>
        <v>47</v>
      </c>
      <c r="O50" s="244"/>
      <c r="P50" s="240">
        <f>vlookup('ROUND 3 - FOURBALL'!$B61,'ROUND 3 - FOURBALL'!$B:$AC,18,false)</f>
        <v>5</v>
      </c>
      <c r="Q50" s="241">
        <f>vlookup('ROUND 3 - FOURBALL'!$B61,'ROUND 3 - FOURBALL'!$B:$AC,19,false)</f>
        <v>5</v>
      </c>
      <c r="R50" s="241">
        <f>vlookup('ROUND 3 - FOURBALL'!$B61,'ROUND 3 - FOURBALL'!$B:$AC,20,false)</f>
        <v>6</v>
      </c>
      <c r="S50" s="241">
        <f>vlookup('ROUND 3 - FOURBALL'!$B61,'ROUND 3 - FOURBALL'!$B:$AC,21,false)</f>
        <v>6</v>
      </c>
      <c r="T50" s="241">
        <f>vlookup('ROUND 3 - FOURBALL'!$B61,'ROUND 3 - FOURBALL'!$B:$AC,22,false)</f>
        <v>2</v>
      </c>
      <c r="U50" s="241">
        <f>vlookup('ROUND 3 - FOURBALL'!$B61,'ROUND 3 - FOURBALL'!$B:$AC,23,false)</f>
        <v>5</v>
      </c>
      <c r="V50" s="241">
        <f>vlookup('ROUND 3 - FOURBALL'!$B61,'ROUND 3 - FOURBALL'!$B:$AC,24,false)</f>
        <v>4</v>
      </c>
      <c r="W50" s="241">
        <f>vlookup('ROUND 3 - FOURBALL'!$B61,'ROUND 3 - FOURBALL'!$B:$AC,25,false)</f>
        <v>5</v>
      </c>
      <c r="X50" s="242">
        <f>vlookup('ROUND 3 - FOURBALL'!$B61,'ROUND 3 - FOURBALL'!$B:$AC,26,false)</f>
        <v>5</v>
      </c>
      <c r="Y50" s="243">
        <f>if(isblank(X50),"",sum(P50:X50))</f>
        <v>43</v>
      </c>
      <c r="Z50" s="245">
        <f>if(isblank(X50),"",sum(N50,Y50))</f>
        <v>90</v>
      </c>
      <c r="AA50" s="42"/>
      <c r="AB50" s="39"/>
    </row>
    <row r="51">
      <c r="A51" s="237"/>
      <c r="B51" s="39"/>
      <c r="C51" s="247" t="s">
        <v>171</v>
      </c>
      <c r="D51" s="248"/>
      <c r="E51" s="249">
        <f t="shared" ref="E51:M51" si="54">if(isblank(E50),"",if(and(18-$D49&lt;0,18+E$7&lt;$D49),E50-2-E$6,if(or(E$7&lt;$D49,E$7=$D49),E50-1-E$6,E50-E$6)))</f>
        <v>1</v>
      </c>
      <c r="F51" s="250">
        <f t="shared" si="54"/>
        <v>3</v>
      </c>
      <c r="G51" s="250">
        <f t="shared" si="54"/>
        <v>2</v>
      </c>
      <c r="H51" s="250">
        <f t="shared" si="54"/>
        <v>-1</v>
      </c>
      <c r="I51" s="250">
        <f t="shared" si="54"/>
        <v>0</v>
      </c>
      <c r="J51" s="250">
        <f t="shared" si="54"/>
        <v>0</v>
      </c>
      <c r="K51" s="250">
        <f t="shared" si="54"/>
        <v>1</v>
      </c>
      <c r="L51" s="250">
        <f t="shared" si="54"/>
        <v>-1</v>
      </c>
      <c r="M51" s="251">
        <f t="shared" si="54"/>
        <v>1</v>
      </c>
      <c r="N51" s="243">
        <f>if(isblank(M50),"",if(or(N$7&lt;$D49,N$7=$D49),N50-1-N$6,N50-N$6))</f>
        <v>10</v>
      </c>
      <c r="O51" s="244"/>
      <c r="P51" s="249">
        <f t="shared" ref="P51:X51" si="55">if(isblank(P50),"",if(and(18-$D49&lt;0,18+P$7&lt;$D49),P50-2-P$6,if(or(P$7&lt;$D49,P$7=$D49),P50-1-P$6,P50-P$6)))</f>
        <v>1</v>
      </c>
      <c r="Q51" s="250">
        <f t="shared" si="55"/>
        <v>-1</v>
      </c>
      <c r="R51" s="250">
        <f t="shared" si="55"/>
        <v>1</v>
      </c>
      <c r="S51" s="250">
        <f t="shared" si="55"/>
        <v>1</v>
      </c>
      <c r="T51" s="250">
        <f t="shared" si="55"/>
        <v>-1</v>
      </c>
      <c r="U51" s="250">
        <f t="shared" si="55"/>
        <v>0</v>
      </c>
      <c r="V51" s="250">
        <f t="shared" si="55"/>
        <v>1</v>
      </c>
      <c r="W51" s="250">
        <f t="shared" si="55"/>
        <v>0</v>
      </c>
      <c r="X51" s="251">
        <f t="shared" si="55"/>
        <v>0</v>
      </c>
      <c r="Y51" s="243">
        <f>if(isblank(X50),"",if(or(Y$7&lt;$D49,Y$7=$D49),Y50-1-Y$6,Y50-Y$6))</f>
        <v>5</v>
      </c>
      <c r="Z51" s="252">
        <f>if(isblank(X50),"",sum(N51,Y51))</f>
        <v>15</v>
      </c>
      <c r="AA51" s="42"/>
      <c r="AB51" s="39"/>
    </row>
    <row r="52">
      <c r="B52" s="1"/>
      <c r="C52" s="253" t="s">
        <v>172</v>
      </c>
      <c r="D52" s="253">
        <f>vlookup($C49,'TILT Round 2'!$C:$AA,25,false)</f>
        <v>1</v>
      </c>
      <c r="E52" s="255">
        <f t="shared" ref="E52:M52" si="56">if(isblank(E50),"",if(E51=-1,D52+1,if(E51=-2,D52+2,if(E51=-3,D52+3,1))))</f>
        <v>1</v>
      </c>
      <c r="F52" s="256">
        <f t="shared" si="56"/>
        <v>1</v>
      </c>
      <c r="G52" s="256">
        <f t="shared" si="56"/>
        <v>1</v>
      </c>
      <c r="H52" s="256">
        <f t="shared" si="56"/>
        <v>2</v>
      </c>
      <c r="I52" s="256">
        <f t="shared" si="56"/>
        <v>1</v>
      </c>
      <c r="J52" s="256">
        <f t="shared" si="56"/>
        <v>1</v>
      </c>
      <c r="K52" s="256">
        <f t="shared" si="56"/>
        <v>1</v>
      </c>
      <c r="L52" s="256">
        <f t="shared" si="56"/>
        <v>2</v>
      </c>
      <c r="M52" s="257">
        <f t="shared" si="56"/>
        <v>1</v>
      </c>
      <c r="N52" s="258"/>
      <c r="O52" s="259">
        <f>if(isblank(N50),"",if(N51=-1,M52+1,if(N51=-2,M52+2,if(N51=-3,M52+3,1))))</f>
        <v>1</v>
      </c>
      <c r="P52" s="255">
        <f t="shared" ref="P52:X52" si="57">if(isblank(P50),"",if(P51=-1,O52+1,if(P51=-2,O52+2,if(P51=-3,O52+3,1))))</f>
        <v>1</v>
      </c>
      <c r="Q52" s="256">
        <f t="shared" si="57"/>
        <v>2</v>
      </c>
      <c r="R52" s="256">
        <f t="shared" si="57"/>
        <v>1</v>
      </c>
      <c r="S52" s="256">
        <f t="shared" si="57"/>
        <v>1</v>
      </c>
      <c r="T52" s="256">
        <f t="shared" si="57"/>
        <v>2</v>
      </c>
      <c r="U52" s="256">
        <f t="shared" si="57"/>
        <v>1</v>
      </c>
      <c r="V52" s="256">
        <f t="shared" si="57"/>
        <v>1</v>
      </c>
      <c r="W52" s="256">
        <f t="shared" si="57"/>
        <v>1</v>
      </c>
      <c r="X52" s="257">
        <f t="shared" si="57"/>
        <v>1</v>
      </c>
      <c r="Y52" s="258"/>
      <c r="Z52" s="234">
        <f>if(isblank(Y50),"",if(Y51=-1,X52+1,if(Y51=-2,X52+2,if(Y51=-3,X52+3,1))))</f>
        <v>1</v>
      </c>
      <c r="AA52" s="236"/>
      <c r="AB52" s="1"/>
    </row>
    <row r="53">
      <c r="B53" s="1"/>
      <c r="C53" s="261"/>
      <c r="D53" s="261"/>
      <c r="E53" s="262"/>
      <c r="F53" s="262"/>
      <c r="G53" s="262"/>
      <c r="H53" s="263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3"/>
      <c r="W53" s="262"/>
      <c r="X53" s="262"/>
      <c r="Y53" s="262"/>
      <c r="Z53" s="262"/>
      <c r="AA53" s="236"/>
      <c r="AB53" s="1"/>
    </row>
    <row r="54">
      <c r="B54" s="1"/>
      <c r="C54" s="229" t="str">
        <f>'ROUND 3 - FOURBALL'!F62</f>
        <v>KIP</v>
      </c>
      <c r="D54" s="230">
        <f>vlookup($C54,HANDICAPS!$B$33:$G$48,5,false)</f>
        <v>19</v>
      </c>
      <c r="E54" s="231">
        <f>if(isblank(E55),"",if(E56=-3,16*D57,if(E56=-2,8*D57,if(E56=-1,4*D57,if(E56=0,2*D57,if(E56=1,0,if(E56&gt;1,-4*D57))))))+D55)</f>
        <v>4</v>
      </c>
      <c r="F54" s="232">
        <f t="shared" ref="F54:M54" si="58">if(isblank(F55),"",if(F56=-3,16*E57+E54,if(F56=-2,8*E57+E54,if(F56=-1,4*E57+E54,if(F56=0,2*E57+E54,if(F56=1,0+E54,if(F56&gt;1,-4*E57+E54)))))))</f>
        <v>4</v>
      </c>
      <c r="G54" s="232">
        <f t="shared" si="58"/>
        <v>0</v>
      </c>
      <c r="H54" s="232">
        <f t="shared" si="58"/>
        <v>-4</v>
      </c>
      <c r="I54" s="232">
        <f t="shared" si="58"/>
        <v>-8</v>
      </c>
      <c r="J54" s="232">
        <f t="shared" si="58"/>
        <v>-8</v>
      </c>
      <c r="K54" s="232">
        <f t="shared" si="58"/>
        <v>-12</v>
      </c>
      <c r="L54" s="232">
        <f t="shared" si="58"/>
        <v>-16</v>
      </c>
      <c r="M54" s="233">
        <f t="shared" si="58"/>
        <v>-16</v>
      </c>
      <c r="N54" s="234">
        <f>M54</f>
        <v>-16</v>
      </c>
      <c r="O54" s="235"/>
      <c r="P54" s="231">
        <f>if(isblank(P55),"",if(P56=-3,16*O57+O55+N54,if(P56=-2,8*O57+O55+N54,if(P56=-1,4*O57+O55+N54,if(P56=0,2*O57+O55+N54,if(P56=1,0+N54,if(P56&gt;1,-4*O57+O55+N54)))))))</f>
        <v>-20</v>
      </c>
      <c r="Q54" s="232">
        <f t="shared" ref="Q54:X54" si="59">if(isblank(Q55),"",if(Q56=-3,16*P57+P54,if(Q56=-2,8*P57+P54,if(Q56=-1,4*P57+P54,if(Q56=0,2*P57+P54,if(Q56=1,0+P54,if(Q56&gt;1,-4*P57+P54)))))))</f>
        <v>-20</v>
      </c>
      <c r="R54" s="232">
        <f t="shared" si="59"/>
        <v>-24</v>
      </c>
      <c r="S54" s="232">
        <f t="shared" si="59"/>
        <v>-28</v>
      </c>
      <c r="T54" s="232">
        <f t="shared" si="59"/>
        <v>-26</v>
      </c>
      <c r="U54" s="232">
        <f t="shared" si="59"/>
        <v>-30</v>
      </c>
      <c r="V54" s="232">
        <f t="shared" si="59"/>
        <v>-28</v>
      </c>
      <c r="W54" s="232">
        <f t="shared" si="59"/>
        <v>-32</v>
      </c>
      <c r="X54" s="233">
        <f t="shared" si="59"/>
        <v>-30</v>
      </c>
      <c r="Y54" s="234">
        <f>if(isblank(X55),"",X54-N54)</f>
        <v>-14</v>
      </c>
      <c r="Z54" s="234">
        <f>if(isblank(X55),0,X54)</f>
        <v>-30</v>
      </c>
      <c r="AA54" s="236">
        <f>X57</f>
        <v>1</v>
      </c>
      <c r="AB54" s="1"/>
    </row>
    <row r="55">
      <c r="B55" s="1"/>
      <c r="C55" s="238" t="s">
        <v>170</v>
      </c>
      <c r="D55" s="239"/>
      <c r="E55" s="240">
        <f>vlookup('ROUND 3 - FOURBALL'!$B63,'ROUND 3 - FOURBALL'!$B:$AC,7,false)</f>
        <v>4</v>
      </c>
      <c r="F55" s="241">
        <f>vlookup('ROUND 3 - FOURBALL'!$B63,'ROUND 3 - FOURBALL'!$B:$AC,8,false)</f>
        <v>6</v>
      </c>
      <c r="G55" s="241">
        <f>vlookup('ROUND 3 - FOURBALL'!$B63,'ROUND 3 - FOURBALL'!$B:$AC,9,false)</f>
        <v>8</v>
      </c>
      <c r="H55" s="241">
        <f>vlookup('ROUND 3 - FOURBALL'!$B63,'ROUND 3 - FOURBALL'!$B:$AC,10,false)</f>
        <v>8</v>
      </c>
      <c r="I55" s="241">
        <f>vlookup('ROUND 3 - FOURBALL'!$B63,'ROUND 3 - FOURBALL'!$B:$AC,11,false)</f>
        <v>7</v>
      </c>
      <c r="J55" s="241">
        <f>vlookup('ROUND 3 - FOURBALL'!$B63,'ROUND 3 - FOURBALL'!$B:$AC,12,false)</f>
        <v>7</v>
      </c>
      <c r="K55" s="241">
        <f>vlookup('ROUND 3 - FOURBALL'!$B63,'ROUND 3 - FOURBALL'!$B:$AC,13,false)</f>
        <v>6</v>
      </c>
      <c r="L55" s="241">
        <f>vlookup('ROUND 3 - FOURBALL'!$B63,'ROUND 3 - FOURBALL'!$B:$AC,14,false)</f>
        <v>8</v>
      </c>
      <c r="M55" s="242">
        <f>vlookup('ROUND 3 - FOURBALL'!$B63,'ROUND 3 - FOURBALL'!$B:$AC,15,false)</f>
        <v>5</v>
      </c>
      <c r="N55" s="243">
        <f>if(isblank(M55),"",sum(E55:M55))</f>
        <v>59</v>
      </c>
      <c r="O55" s="244"/>
      <c r="P55" s="240">
        <f>vlookup('ROUND 3 - FOURBALL'!$B63,'ROUND 3 - FOURBALL'!$B:$AC,18,false)</f>
        <v>7</v>
      </c>
      <c r="Q55" s="241">
        <f>vlookup('ROUND 3 - FOURBALL'!$B63,'ROUND 3 - FOURBALL'!$B:$AC,19,false)</f>
        <v>7</v>
      </c>
      <c r="R55" s="241">
        <f>vlookup('ROUND 3 - FOURBALL'!$B63,'ROUND 3 - FOURBALL'!$B:$AC,20,false)</f>
        <v>8</v>
      </c>
      <c r="S55" s="241">
        <f>vlookup('ROUND 3 - FOURBALL'!$B63,'ROUND 3 - FOURBALL'!$B:$AC,21,false)</f>
        <v>8</v>
      </c>
      <c r="T55" s="241">
        <f>vlookup('ROUND 3 - FOURBALL'!$B63,'ROUND 3 - FOURBALL'!$B:$AC,22,false)</f>
        <v>4</v>
      </c>
      <c r="U55" s="241">
        <f>vlookup('ROUND 3 - FOURBALL'!$B63,'ROUND 3 - FOURBALL'!$B:$AC,23,false)</f>
        <v>7</v>
      </c>
      <c r="V55" s="241">
        <f>vlookup('ROUND 3 - FOURBALL'!$B63,'ROUND 3 - FOURBALL'!$B:$AC,24,false)</f>
        <v>4</v>
      </c>
      <c r="W55" s="241">
        <f>vlookup('ROUND 3 - FOURBALL'!$B63,'ROUND 3 - FOURBALL'!$B:$AC,25,false)</f>
        <v>8</v>
      </c>
      <c r="X55" s="242">
        <f>vlookup('ROUND 3 - FOURBALL'!$B63,'ROUND 3 - FOURBALL'!$B:$AC,26,false)</f>
        <v>6</v>
      </c>
      <c r="Y55" s="243">
        <f>if(isblank(X55),"",sum(P55:X55))</f>
        <v>59</v>
      </c>
      <c r="Z55" s="245">
        <f>if(isblank(X55),"",sum(N55,Y55))</f>
        <v>118</v>
      </c>
      <c r="AA55" s="236"/>
      <c r="AB55" s="1"/>
    </row>
    <row r="56">
      <c r="B56" s="1"/>
      <c r="C56" s="247"/>
      <c r="D56" s="248"/>
      <c r="E56" s="250">
        <f t="shared" ref="E56:M56" si="60">if(isblank(E55),"",if(and(18-$D54&lt;0,18+E$7&lt;$D54),E55-2-E$6,if(or(E$7&lt;$D54,E$7=$D54),E55-1-E$6,E55-E$6)))</f>
        <v>-1</v>
      </c>
      <c r="F56" s="250">
        <f t="shared" si="60"/>
        <v>1</v>
      </c>
      <c r="G56" s="250">
        <f t="shared" si="60"/>
        <v>2</v>
      </c>
      <c r="H56" s="250">
        <f t="shared" si="60"/>
        <v>3</v>
      </c>
      <c r="I56" s="250">
        <f t="shared" si="60"/>
        <v>2</v>
      </c>
      <c r="J56" s="250">
        <f t="shared" si="60"/>
        <v>1</v>
      </c>
      <c r="K56" s="250">
        <f t="shared" si="60"/>
        <v>2</v>
      </c>
      <c r="L56" s="250">
        <f t="shared" si="60"/>
        <v>3</v>
      </c>
      <c r="M56" s="250">
        <f t="shared" si="60"/>
        <v>1</v>
      </c>
      <c r="N56" s="243">
        <f>if(isblank(M55),"",if(or(N$7&lt;$D54,N$7=$D54),N55-1-N$6,N55-N$6))</f>
        <v>22</v>
      </c>
      <c r="O56" s="244"/>
      <c r="P56" s="249">
        <f t="shared" ref="P56:X56" si="61">if(isblank(P55),"",if(and(18-$D54&lt;0,18+P$7&lt;$D54),P55-2-P$6,if(or(P$7&lt;$D54,P$7=$D54),P55-1-P$6,P55-P$6)))</f>
        <v>2</v>
      </c>
      <c r="Q56" s="250">
        <f t="shared" si="61"/>
        <v>1</v>
      </c>
      <c r="R56" s="250">
        <f t="shared" si="61"/>
        <v>3</v>
      </c>
      <c r="S56" s="250">
        <f t="shared" si="61"/>
        <v>2</v>
      </c>
      <c r="T56" s="250">
        <f t="shared" si="61"/>
        <v>0</v>
      </c>
      <c r="U56" s="250">
        <f t="shared" si="61"/>
        <v>2</v>
      </c>
      <c r="V56" s="250">
        <f t="shared" si="61"/>
        <v>0</v>
      </c>
      <c r="W56" s="250">
        <f t="shared" si="61"/>
        <v>3</v>
      </c>
      <c r="X56" s="251">
        <f t="shared" si="61"/>
        <v>0</v>
      </c>
      <c r="Y56" s="243">
        <f>if(isblank(X55),"",if(or(Y$7&lt;$D54,Y$7=$D54),Y55-1-Y$6,Y55-Y$6))</f>
        <v>21</v>
      </c>
      <c r="Z56" s="252">
        <f>if(isblank(X55),"",sum(N56,Y56))</f>
        <v>43</v>
      </c>
      <c r="AA56" s="236"/>
      <c r="AB56" s="1"/>
    </row>
    <row r="57">
      <c r="B57" s="1"/>
      <c r="C57" s="253" t="s">
        <v>172</v>
      </c>
      <c r="D57" s="253">
        <f>vlookup($C54,'TILT Round 2'!$C:$AA,25,false)</f>
        <v>1</v>
      </c>
      <c r="E57" s="255">
        <f t="shared" ref="E57:M57" si="62">if(isblank(E55),"",if(E56=-1,D57+1,if(E56=-2,D57+2,if(E56=-3,D57+3,1))))</f>
        <v>2</v>
      </c>
      <c r="F57" s="256">
        <f t="shared" si="62"/>
        <v>1</v>
      </c>
      <c r="G57" s="256">
        <f t="shared" si="62"/>
        <v>1</v>
      </c>
      <c r="H57" s="256">
        <f t="shared" si="62"/>
        <v>1</v>
      </c>
      <c r="I57" s="256">
        <f t="shared" si="62"/>
        <v>1</v>
      </c>
      <c r="J57" s="256">
        <f t="shared" si="62"/>
        <v>1</v>
      </c>
      <c r="K57" s="256">
        <f t="shared" si="62"/>
        <v>1</v>
      </c>
      <c r="L57" s="256">
        <f t="shared" si="62"/>
        <v>1</v>
      </c>
      <c r="M57" s="257">
        <f t="shared" si="62"/>
        <v>1</v>
      </c>
      <c r="N57" s="258"/>
      <c r="O57" s="259">
        <f>if(isblank(N55),"",if(N56=-1,M57+1,if(N56=-2,M57+2,if(N56=-3,M57+3,1))))</f>
        <v>1</v>
      </c>
      <c r="P57" s="255">
        <f t="shared" ref="P57:X57" si="63">if(isblank(P55),"",if(P56=-1,O57+1,if(P56=-2,O57+2,if(P56=-3,O57+3,1))))</f>
        <v>1</v>
      </c>
      <c r="Q57" s="256">
        <f t="shared" si="63"/>
        <v>1</v>
      </c>
      <c r="R57" s="256">
        <f t="shared" si="63"/>
        <v>1</v>
      </c>
      <c r="S57" s="256">
        <f t="shared" si="63"/>
        <v>1</v>
      </c>
      <c r="T57" s="256">
        <f t="shared" si="63"/>
        <v>1</v>
      </c>
      <c r="U57" s="256">
        <f t="shared" si="63"/>
        <v>1</v>
      </c>
      <c r="V57" s="256">
        <f t="shared" si="63"/>
        <v>1</v>
      </c>
      <c r="W57" s="256">
        <f t="shared" si="63"/>
        <v>1</v>
      </c>
      <c r="X57" s="257">
        <f t="shared" si="63"/>
        <v>1</v>
      </c>
      <c r="Y57" s="258"/>
      <c r="Z57" s="234">
        <f>if(isblank(Y55),"",if(Y56=-1,X57+1,if(Y56=-2,X57+2,if(Y56=-3,X57+3,1))))</f>
        <v>1</v>
      </c>
      <c r="AA57" s="236"/>
      <c r="AB57" s="1"/>
    </row>
    <row r="58">
      <c r="B58" s="1"/>
      <c r="C58" s="1"/>
      <c r="D58" s="1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36"/>
      <c r="AB58" s="1"/>
    </row>
    <row r="59">
      <c r="B59" s="1"/>
      <c r="C59" s="229" t="str">
        <f>'ROUND 3 - FOURBALL'!F68</f>
        <v>DANNY</v>
      </c>
      <c r="D59" s="230">
        <f>vlookup($C59,HANDICAPS!$B$33:$G$48,5,false)</f>
        <v>6</v>
      </c>
      <c r="E59" s="231">
        <f>if(isblank(E60),"",if(E61=-3,16*D62,if(E61=-2,8*D62,if(E61=-1,4*D62,if(E61=0,2*D62,if(E61=1,0,if(E61&gt;1,-4*D62))))))+D60)</f>
        <v>2</v>
      </c>
      <c r="F59" s="232">
        <f t="shared" ref="F59:M59" si="64">if(isblank(F60),"",if(F61=-3,16*E62+E59,if(F61=-2,8*E62+E59,if(F61=-1,4*E62+E59,if(F61=0,2*E62+E59,if(F61=1,0+E59,if(F61&gt;1,-4*E62+E59)))))))</f>
        <v>2</v>
      </c>
      <c r="G59" s="232">
        <f t="shared" si="64"/>
        <v>6</v>
      </c>
      <c r="H59" s="232">
        <f t="shared" si="64"/>
        <v>10</v>
      </c>
      <c r="I59" s="232">
        <f t="shared" si="64"/>
        <v>12</v>
      </c>
      <c r="J59" s="232">
        <f t="shared" si="64"/>
        <v>16</v>
      </c>
      <c r="K59" s="232">
        <f t="shared" si="64"/>
        <v>20</v>
      </c>
      <c r="L59" s="232">
        <f t="shared" si="64"/>
        <v>24</v>
      </c>
      <c r="M59" s="233">
        <f t="shared" si="64"/>
        <v>24</v>
      </c>
      <c r="N59" s="234">
        <f>M59</f>
        <v>24</v>
      </c>
      <c r="O59" s="235"/>
      <c r="P59" s="231">
        <f>if(isblank(P60),"",if(P61=-3,16*O62+O60+N59,if(P61=-2,8*O62+O60+N59,if(P61=-1,4*O62+O60+N59,if(P61=0,2*O62+O60+N59,if(P61=1,0+N59,if(P61&gt;1,-4*O62+O60+N59)))))))</f>
        <v>24</v>
      </c>
      <c r="Q59" s="232">
        <f t="shared" ref="Q59:X59" si="65">if(isblank(Q60),"",if(Q61=-3,16*P62+P59,if(Q61=-2,8*P62+P59,if(Q61=-1,4*P62+P59,if(Q61=0,2*P62+P59,if(Q61=1,0+P59,if(Q61&gt;1,-4*P62+P59)))))))</f>
        <v>26</v>
      </c>
      <c r="R59" s="232">
        <f t="shared" si="65"/>
        <v>26</v>
      </c>
      <c r="S59" s="232">
        <f t="shared" si="65"/>
        <v>26</v>
      </c>
      <c r="T59" s="232">
        <f t="shared" si="65"/>
        <v>26</v>
      </c>
      <c r="U59" s="232">
        <f t="shared" si="65"/>
        <v>30</v>
      </c>
      <c r="V59" s="232">
        <f t="shared" si="65"/>
        <v>30</v>
      </c>
      <c r="W59" s="232">
        <f t="shared" si="65"/>
        <v>34</v>
      </c>
      <c r="X59" s="233">
        <f t="shared" si="65"/>
        <v>42</v>
      </c>
      <c r="Y59" s="234">
        <f>if(isblank(X60),"",X59-N59)</f>
        <v>18</v>
      </c>
      <c r="Z59" s="234">
        <f>if(isblank(X60),0,X59)</f>
        <v>42</v>
      </c>
      <c r="AA59" s="236">
        <f>X62</f>
        <v>3</v>
      </c>
      <c r="AB59" s="1"/>
    </row>
    <row r="60">
      <c r="A60" s="237"/>
      <c r="B60" s="39"/>
      <c r="C60" s="238" t="s">
        <v>170</v>
      </c>
      <c r="D60" s="239"/>
      <c r="E60" s="240">
        <f>vlookup('ROUND 3 - FOURBALL'!$B69,'ROUND 3 - FOURBALL'!$B:$AC,7,false)</f>
        <v>4</v>
      </c>
      <c r="F60" s="241">
        <f>vlookup('ROUND 3 - FOURBALL'!$B69,'ROUND 3 - FOURBALL'!$B:$AC,8,false)</f>
        <v>5</v>
      </c>
      <c r="G60" s="241">
        <f>vlookup('ROUND 3 - FOURBALL'!$B69,'ROUND 3 - FOURBALL'!$B:$AC,9,false)</f>
        <v>5</v>
      </c>
      <c r="H60" s="241">
        <f>vlookup('ROUND 3 - FOURBALL'!$B69,'ROUND 3 - FOURBALL'!$B:$AC,10,false)</f>
        <v>4</v>
      </c>
      <c r="I60" s="241">
        <f>vlookup('ROUND 3 - FOURBALL'!$B69,'ROUND 3 - FOURBALL'!$B:$AC,11,false)</f>
        <v>5</v>
      </c>
      <c r="J60" s="241">
        <f>vlookup('ROUND 3 - FOURBALL'!$B69,'ROUND 3 - FOURBALL'!$B:$AC,12,false)</f>
        <v>4</v>
      </c>
      <c r="K60" s="241">
        <f>vlookup('ROUND 3 - FOURBALL'!$B69,'ROUND 3 - FOURBALL'!$B:$AC,13,false)</f>
        <v>3</v>
      </c>
      <c r="L60" s="241">
        <f>vlookup('ROUND 3 - FOURBALL'!$B69,'ROUND 3 - FOURBALL'!$B:$AC,14,false)</f>
        <v>4</v>
      </c>
      <c r="M60" s="242">
        <f>vlookup('ROUND 3 - FOURBALL'!$B69,'ROUND 3 - FOURBALL'!$B:$AC,15,false)</f>
        <v>4</v>
      </c>
      <c r="N60" s="243">
        <f>if(isblank(M60),"",sum(E60:M60))</f>
        <v>38</v>
      </c>
      <c r="O60" s="244"/>
      <c r="P60" s="240">
        <f>vlookup('ROUND 3 - FOURBALL'!$B69,'ROUND 3 - FOURBALL'!$B:$AC,18,false)</f>
        <v>5</v>
      </c>
      <c r="Q60" s="241">
        <f>vlookup('ROUND 3 - FOURBALL'!$B69,'ROUND 3 - FOURBALL'!$B:$AC,19,false)</f>
        <v>6</v>
      </c>
      <c r="R60" s="241">
        <f>vlookup('ROUND 3 - FOURBALL'!$B69,'ROUND 3 - FOURBALL'!$B:$AC,20,false)</f>
        <v>5</v>
      </c>
      <c r="S60" s="241">
        <f>vlookup('ROUND 3 - FOURBALL'!$B69,'ROUND 3 - FOURBALL'!$B:$AC,21,false)</f>
        <v>6</v>
      </c>
      <c r="T60" s="241">
        <f>vlookup('ROUND 3 - FOURBALL'!$B69,'ROUND 3 - FOURBALL'!$B:$AC,22,false)</f>
        <v>4</v>
      </c>
      <c r="U60" s="241">
        <f>vlookup('ROUND 3 - FOURBALL'!$B69,'ROUND 3 - FOURBALL'!$B:$AC,23,false)</f>
        <v>4</v>
      </c>
      <c r="V60" s="241">
        <f>vlookup('ROUND 3 - FOURBALL'!$B69,'ROUND 3 - FOURBALL'!$B:$AC,24,false)</f>
        <v>4</v>
      </c>
      <c r="W60" s="241">
        <f>vlookup('ROUND 3 - FOURBALL'!$B69,'ROUND 3 - FOURBALL'!$B:$AC,25,false)</f>
        <v>4</v>
      </c>
      <c r="X60" s="242">
        <f>vlookup('ROUND 3 - FOURBALL'!$B69,'ROUND 3 - FOURBALL'!$B:$AC,26,false)</f>
        <v>4</v>
      </c>
      <c r="Y60" s="243">
        <f>if(isblank(X60),"",sum(P60:X60))</f>
        <v>42</v>
      </c>
      <c r="Z60" s="245">
        <f>if(isblank(X60),"",sum(N60,Y60))</f>
        <v>80</v>
      </c>
      <c r="AA60" s="42"/>
      <c r="AB60" s="39"/>
    </row>
    <row r="61">
      <c r="A61" s="237"/>
      <c r="B61" s="39"/>
      <c r="C61" s="247" t="s">
        <v>171</v>
      </c>
      <c r="D61" s="248"/>
      <c r="E61" s="249">
        <f t="shared" ref="E61:M61" si="66">if(isblank(E60),"",if(and(18-$D59&lt;0,18+E$7&lt;$D59),E60-2-E$6,if(or(E$7&lt;$D59,E$7=$D59),E60-1-E$6,E60-E$6)))</f>
        <v>0</v>
      </c>
      <c r="F61" s="250">
        <f t="shared" si="66"/>
        <v>1</v>
      </c>
      <c r="G61" s="250">
        <f t="shared" si="66"/>
        <v>-1</v>
      </c>
      <c r="H61" s="250">
        <f t="shared" si="66"/>
        <v>0</v>
      </c>
      <c r="I61" s="250">
        <f t="shared" si="66"/>
        <v>0</v>
      </c>
      <c r="J61" s="250">
        <f t="shared" si="66"/>
        <v>-1</v>
      </c>
      <c r="K61" s="250">
        <f t="shared" si="66"/>
        <v>0</v>
      </c>
      <c r="L61" s="250">
        <f t="shared" si="66"/>
        <v>-1</v>
      </c>
      <c r="M61" s="251">
        <f t="shared" si="66"/>
        <v>1</v>
      </c>
      <c r="N61" s="243">
        <f>if(isblank(M60),"",if(or(N$7&lt;$D59,N$7=$D59),N60-1-N$6,N60-N$6))</f>
        <v>1</v>
      </c>
      <c r="O61" s="244"/>
      <c r="P61" s="249">
        <f t="shared" ref="P61:X61" si="67">if(isblank(P60),"",if(and(18-$D59&lt;0,18+P$7&lt;$D59),P60-2-P$6,if(or(P$7&lt;$D59,P$7=$D59),P60-1-P$6,P60-P$6)))</f>
        <v>1</v>
      </c>
      <c r="Q61" s="250">
        <f t="shared" si="67"/>
        <v>0</v>
      </c>
      <c r="R61" s="250">
        <f t="shared" si="67"/>
        <v>1</v>
      </c>
      <c r="S61" s="250">
        <f t="shared" si="67"/>
        <v>1</v>
      </c>
      <c r="T61" s="250">
        <f t="shared" si="67"/>
        <v>1</v>
      </c>
      <c r="U61" s="250">
        <f t="shared" si="67"/>
        <v>-1</v>
      </c>
      <c r="V61" s="250">
        <f t="shared" si="67"/>
        <v>1</v>
      </c>
      <c r="W61" s="250">
        <f t="shared" si="67"/>
        <v>-1</v>
      </c>
      <c r="X61" s="251">
        <f t="shared" si="67"/>
        <v>-1</v>
      </c>
      <c r="Y61" s="243">
        <f>if(isblank(X60),"",if(or(Y$7&lt;$D59,Y$7=$D59),Y60-1-Y$6,Y60-Y$6))</f>
        <v>4</v>
      </c>
      <c r="Z61" s="252">
        <f>if(isblank(X60),"",sum(N61,Y61))</f>
        <v>5</v>
      </c>
      <c r="AA61" s="42"/>
      <c r="AB61" s="39"/>
    </row>
    <row r="62">
      <c r="B62" s="1"/>
      <c r="C62" s="253" t="s">
        <v>172</v>
      </c>
      <c r="D62" s="253">
        <f>vlookup($C59,'TILT Round 2'!$C:$AA,25,false)</f>
        <v>1</v>
      </c>
      <c r="E62" s="255">
        <f t="shared" ref="E62:M62" si="68">if(isblank(E60),"",if(E61=-1,D62+1,if(E61=-2,D62+2,if(E61=-3,D62+3,1))))</f>
        <v>1</v>
      </c>
      <c r="F62" s="256">
        <f t="shared" si="68"/>
        <v>1</v>
      </c>
      <c r="G62" s="256">
        <f t="shared" si="68"/>
        <v>2</v>
      </c>
      <c r="H62" s="256">
        <f t="shared" si="68"/>
        <v>1</v>
      </c>
      <c r="I62" s="256">
        <f t="shared" si="68"/>
        <v>1</v>
      </c>
      <c r="J62" s="256">
        <f t="shared" si="68"/>
        <v>2</v>
      </c>
      <c r="K62" s="256">
        <f t="shared" si="68"/>
        <v>1</v>
      </c>
      <c r="L62" s="256">
        <f t="shared" si="68"/>
        <v>2</v>
      </c>
      <c r="M62" s="257">
        <f t="shared" si="68"/>
        <v>1</v>
      </c>
      <c r="N62" s="258"/>
      <c r="O62" s="259">
        <f>if(isblank(N60),"",if(N61=-1,M62+1,if(N61=-2,M62+2,if(N61=-3,M62+3,1))))</f>
        <v>1</v>
      </c>
      <c r="P62" s="255">
        <f t="shared" ref="P62:X62" si="69">if(isblank(P60),"",if(P61=-1,O62+1,if(P61=-2,O62+2,if(P61=-3,O62+3,1))))</f>
        <v>1</v>
      </c>
      <c r="Q62" s="256">
        <f t="shared" si="69"/>
        <v>1</v>
      </c>
      <c r="R62" s="256">
        <f t="shared" si="69"/>
        <v>1</v>
      </c>
      <c r="S62" s="256">
        <f t="shared" si="69"/>
        <v>1</v>
      </c>
      <c r="T62" s="256">
        <f t="shared" si="69"/>
        <v>1</v>
      </c>
      <c r="U62" s="256">
        <f t="shared" si="69"/>
        <v>2</v>
      </c>
      <c r="V62" s="256">
        <f t="shared" si="69"/>
        <v>1</v>
      </c>
      <c r="W62" s="256">
        <f t="shared" si="69"/>
        <v>2</v>
      </c>
      <c r="X62" s="257">
        <f t="shared" si="69"/>
        <v>3</v>
      </c>
      <c r="Y62" s="258"/>
      <c r="Z62" s="234">
        <f>if(isblank(Y60),"",if(Y61=-1,X62+1,if(Y61=-2,X62+2,if(Y61=-3,X62+3,1))))</f>
        <v>1</v>
      </c>
      <c r="AA62" s="236"/>
      <c r="AB62" s="1"/>
    </row>
    <row r="63">
      <c r="B63" s="1"/>
      <c r="C63" s="261"/>
      <c r="D63" s="261"/>
      <c r="E63" s="262"/>
      <c r="F63" s="262"/>
      <c r="G63" s="262"/>
      <c r="H63" s="263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3"/>
      <c r="W63" s="262"/>
      <c r="X63" s="262"/>
      <c r="Y63" s="262"/>
      <c r="Z63" s="262"/>
      <c r="AA63" s="236"/>
      <c r="AB63" s="1"/>
    </row>
    <row r="64">
      <c r="B64" s="1"/>
      <c r="C64" s="229" t="str">
        <f>'ROUND 3 - FOURBALL'!F70</f>
        <v>WAYS</v>
      </c>
      <c r="D64" s="230">
        <f>vlookup($C64,HANDICAPS!$B$33:$G$48,5,false)</f>
        <v>5</v>
      </c>
      <c r="E64" s="231">
        <f>if(isblank(E65),"",if(E66=-3,16*D67,if(E66=-2,8*D67,if(E66=-1,4*D67,if(E66=0,2*D67,if(E66=1,0,if(E66&gt;1,-4*D67))))))+D65)</f>
        <v>0</v>
      </c>
      <c r="F64" s="232">
        <f t="shared" ref="F64:M64" si="70">if(isblank(F65),"",if(F66=-3,16*E67+E64,if(F66=-2,8*E67+E64,if(F66=-1,4*E67+E64,if(F66=0,2*E67+E64,if(F66=1,0+E64,if(F66&gt;1,-4*E67+E64)))))))</f>
        <v>0</v>
      </c>
      <c r="G64" s="232">
        <f t="shared" si="70"/>
        <v>2</v>
      </c>
      <c r="H64" s="232">
        <f t="shared" si="70"/>
        <v>4</v>
      </c>
      <c r="I64" s="232">
        <f t="shared" si="70"/>
        <v>4</v>
      </c>
      <c r="J64" s="232">
        <f t="shared" si="70"/>
        <v>4</v>
      </c>
      <c r="K64" s="232">
        <f t="shared" si="70"/>
        <v>4</v>
      </c>
      <c r="L64" s="232">
        <f t="shared" si="70"/>
        <v>4</v>
      </c>
      <c r="M64" s="233">
        <f t="shared" si="70"/>
        <v>6</v>
      </c>
      <c r="N64" s="234">
        <f>M64</f>
        <v>6</v>
      </c>
      <c r="O64" s="235"/>
      <c r="P64" s="231">
        <f>if(isblank(P65),"",if(P66=-3,16*O67+O65+N64,if(P66=-2,8*O67+O65+N64,if(P66=-1,4*O67+O65+N64,if(P66=0,2*O67+O65+N64,if(P66=1,0+N64,if(P66&gt;1,-4*O67+O65+N64)))))))</f>
        <v>8</v>
      </c>
      <c r="Q64" s="232">
        <f t="shared" ref="Q64:X64" si="71">if(isblank(Q65),"",if(Q66=-3,16*P67+P64,if(Q66=-2,8*P67+P64,if(Q66=-1,4*P67+P64,if(Q66=0,2*P67+P64,if(Q66=1,0+P64,if(Q66&gt;1,-4*P67+P64)))))))</f>
        <v>12</v>
      </c>
      <c r="R64" s="232">
        <f t="shared" si="71"/>
        <v>12</v>
      </c>
      <c r="S64" s="232">
        <f t="shared" si="71"/>
        <v>14</v>
      </c>
      <c r="T64" s="232">
        <f t="shared" si="71"/>
        <v>14</v>
      </c>
      <c r="U64" s="232">
        <f t="shared" si="71"/>
        <v>14</v>
      </c>
      <c r="V64" s="232">
        <f t="shared" si="71"/>
        <v>14</v>
      </c>
      <c r="W64" s="232">
        <f t="shared" si="71"/>
        <v>16</v>
      </c>
      <c r="X64" s="233">
        <f t="shared" si="71"/>
        <v>20</v>
      </c>
      <c r="Y64" s="234">
        <f>if(isblank(X65),"",X64-N64)</f>
        <v>14</v>
      </c>
      <c r="Z64" s="234">
        <f>if(isblank(X65),0,X64)</f>
        <v>20</v>
      </c>
      <c r="AA64" s="236">
        <f>X67</f>
        <v>2</v>
      </c>
      <c r="AB64" s="1"/>
    </row>
    <row r="65">
      <c r="B65" s="1"/>
      <c r="C65" s="238" t="s">
        <v>170</v>
      </c>
      <c r="D65" s="239"/>
      <c r="E65" s="240">
        <f>vlookup('ROUND 3 - FOURBALL'!$B71,'ROUND 3 - FOURBALL'!$B:$AC,7,false)</f>
        <v>5</v>
      </c>
      <c r="F65" s="241">
        <f>vlookup('ROUND 3 - FOURBALL'!$B71,'ROUND 3 - FOURBALL'!$B:$AC,8,false)</f>
        <v>5</v>
      </c>
      <c r="G65" s="241">
        <f>vlookup('ROUND 3 - FOURBALL'!$B71,'ROUND 3 - FOURBALL'!$B:$AC,9,false)</f>
        <v>6</v>
      </c>
      <c r="H65" s="241">
        <f>vlookup('ROUND 3 - FOURBALL'!$B71,'ROUND 3 - FOURBALL'!$B:$AC,10,false)</f>
        <v>4</v>
      </c>
      <c r="I65" s="241">
        <f>vlookup('ROUND 3 - FOURBALL'!$B71,'ROUND 3 - FOURBALL'!$B:$AC,11,false)</f>
        <v>6</v>
      </c>
      <c r="J65" s="241">
        <f>vlookup('ROUND 3 - FOURBALL'!$B71,'ROUND 3 - FOURBALL'!$B:$AC,12,false)</f>
        <v>6</v>
      </c>
      <c r="K65" s="241">
        <f>vlookup('ROUND 3 - FOURBALL'!$B71,'ROUND 3 - FOURBALL'!$B:$AC,13,false)</f>
        <v>4</v>
      </c>
      <c r="L65" s="241">
        <f>vlookup('ROUND 3 - FOURBALL'!$B71,'ROUND 3 - FOURBALL'!$B:$AC,14,false)</f>
        <v>6</v>
      </c>
      <c r="M65" s="242">
        <f>vlookup('ROUND 3 - FOURBALL'!$B71,'ROUND 3 - FOURBALL'!$B:$AC,15,false)</f>
        <v>3</v>
      </c>
      <c r="N65" s="243">
        <f>if(isblank(M65),"",sum(E65:M65))</f>
        <v>45</v>
      </c>
      <c r="O65" s="244"/>
      <c r="P65" s="240">
        <f>vlookup('ROUND 3 - FOURBALL'!$B71,'ROUND 3 - FOURBALL'!$B:$AC,18,false)</f>
        <v>4</v>
      </c>
      <c r="Q65" s="241">
        <f>vlookup('ROUND 3 - FOURBALL'!$B71,'ROUND 3 - FOURBALL'!$B:$AC,19,false)</f>
        <v>5</v>
      </c>
      <c r="R65" s="241">
        <f>vlookup('ROUND 3 - FOURBALL'!$B71,'ROUND 3 - FOURBALL'!$B:$AC,20,false)</f>
        <v>5</v>
      </c>
      <c r="S65" s="241">
        <f>vlookup('ROUND 3 - FOURBALL'!$B71,'ROUND 3 - FOURBALL'!$B:$AC,21,false)</f>
        <v>5</v>
      </c>
      <c r="T65" s="241">
        <f>vlookup('ROUND 3 - FOURBALL'!$B71,'ROUND 3 - FOURBALL'!$B:$AC,22,false)</f>
        <v>4</v>
      </c>
      <c r="U65" s="241">
        <f>vlookup('ROUND 3 - FOURBALL'!$B71,'ROUND 3 - FOURBALL'!$B:$AC,23,false)</f>
        <v>6</v>
      </c>
      <c r="V65" s="241">
        <f>vlookup('ROUND 3 - FOURBALL'!$B71,'ROUND 3 - FOURBALL'!$B:$AC,24,false)</f>
        <v>4</v>
      </c>
      <c r="W65" s="241">
        <f>vlookup('ROUND 3 - FOURBALL'!$B71,'ROUND 3 - FOURBALL'!$B:$AC,25,false)</f>
        <v>4</v>
      </c>
      <c r="X65" s="242">
        <f>vlookup('ROUND 3 - FOURBALL'!$B71,'ROUND 3 - FOURBALL'!$B:$AC,26,false)</f>
        <v>4</v>
      </c>
      <c r="Y65" s="243">
        <f>if(isblank(X65),"",sum(P65:X65))</f>
        <v>41</v>
      </c>
      <c r="Z65" s="245">
        <f>if(isblank(X65),"",sum(N65,Y65))</f>
        <v>86</v>
      </c>
      <c r="AA65" s="236"/>
      <c r="AB65" s="1"/>
    </row>
    <row r="66">
      <c r="B66" s="1"/>
      <c r="C66" s="247" t="s">
        <v>171</v>
      </c>
      <c r="D66" s="248"/>
      <c r="E66" s="249">
        <f t="shared" ref="E66:M66" si="72">if(isblank(E65),"",if(and(18-$D64&lt;0,18+E$7&lt;$D64),E65-2-E$6,if(or(E$7&lt;$D64,E$7=$D64),E65-1-E$6,E65-E$6)))</f>
        <v>1</v>
      </c>
      <c r="F66" s="250">
        <f t="shared" si="72"/>
        <v>1</v>
      </c>
      <c r="G66" s="250">
        <f t="shared" si="72"/>
        <v>0</v>
      </c>
      <c r="H66" s="250">
        <f t="shared" si="72"/>
        <v>0</v>
      </c>
      <c r="I66" s="250">
        <f t="shared" si="72"/>
        <v>1</v>
      </c>
      <c r="J66" s="250">
        <f t="shared" si="72"/>
        <v>1</v>
      </c>
      <c r="K66" s="250">
        <f t="shared" si="72"/>
        <v>1</v>
      </c>
      <c r="L66" s="250">
        <f t="shared" si="72"/>
        <v>1</v>
      </c>
      <c r="M66" s="251">
        <f t="shared" si="72"/>
        <v>0</v>
      </c>
      <c r="N66" s="243">
        <f>if(isblank(M65),"",if(or(N$7&lt;$D64,N$7=$D64),N65-1-N$6,N65-N$6))</f>
        <v>8</v>
      </c>
      <c r="O66" s="244"/>
      <c r="P66" s="249">
        <f t="shared" ref="P66:X66" si="73">if(isblank(P65),"",if(and(18-$D64&lt;0,18+P$7&lt;$D64),P65-2-P$6,if(or(P$7&lt;$D64,P$7=$D64),P65-1-P$6,P65-P$6)))</f>
        <v>0</v>
      </c>
      <c r="Q66" s="250">
        <f t="shared" si="73"/>
        <v>-1</v>
      </c>
      <c r="R66" s="250">
        <f t="shared" si="73"/>
        <v>1</v>
      </c>
      <c r="S66" s="250">
        <f t="shared" si="73"/>
        <v>0</v>
      </c>
      <c r="T66" s="250">
        <f t="shared" si="73"/>
        <v>1</v>
      </c>
      <c r="U66" s="250">
        <f t="shared" si="73"/>
        <v>1</v>
      </c>
      <c r="V66" s="250">
        <f t="shared" si="73"/>
        <v>1</v>
      </c>
      <c r="W66" s="250">
        <f t="shared" si="73"/>
        <v>0</v>
      </c>
      <c r="X66" s="251">
        <f t="shared" si="73"/>
        <v>-1</v>
      </c>
      <c r="Y66" s="243">
        <f>if(isblank(X65),"",if(or(Y$7&lt;$D64,Y$7=$D64),Y65-1-Y$6,Y65-Y$6))</f>
        <v>3</v>
      </c>
      <c r="Z66" s="252">
        <f>if(isblank(X65),"",sum(N66,Y66))</f>
        <v>11</v>
      </c>
      <c r="AA66" s="236"/>
      <c r="AB66" s="1"/>
    </row>
    <row r="67">
      <c r="B67" s="1"/>
      <c r="C67" s="253" t="s">
        <v>172</v>
      </c>
      <c r="D67" s="253">
        <f>vlookup($C64,'TILT Round 2'!$C:$AA,25,false)</f>
        <v>3</v>
      </c>
      <c r="E67" s="255">
        <f t="shared" ref="E67:M67" si="74">if(isblank(E65),"",if(E66=-1,D67+1,if(E66=-2,D67+2,if(E66=-3,D67+3,1))))</f>
        <v>1</v>
      </c>
      <c r="F67" s="256">
        <f t="shared" si="74"/>
        <v>1</v>
      </c>
      <c r="G67" s="256">
        <f t="shared" si="74"/>
        <v>1</v>
      </c>
      <c r="H67" s="256">
        <f t="shared" si="74"/>
        <v>1</v>
      </c>
      <c r="I67" s="256">
        <f t="shared" si="74"/>
        <v>1</v>
      </c>
      <c r="J67" s="256">
        <f t="shared" si="74"/>
        <v>1</v>
      </c>
      <c r="K67" s="256">
        <f t="shared" si="74"/>
        <v>1</v>
      </c>
      <c r="L67" s="256">
        <f t="shared" si="74"/>
        <v>1</v>
      </c>
      <c r="M67" s="257">
        <f t="shared" si="74"/>
        <v>1</v>
      </c>
      <c r="N67" s="258"/>
      <c r="O67" s="259">
        <f>if(isblank(N65),"",if(N66=-1,M67+1,if(N66=-2,M67+2,if(N66=-3,M67+3,1))))</f>
        <v>1</v>
      </c>
      <c r="P67" s="255">
        <f t="shared" ref="P67:X67" si="75">if(isblank(P65),"",if(P66=-1,O67+1,if(P66=-2,O67+2,if(P66=-3,O67+3,1))))</f>
        <v>1</v>
      </c>
      <c r="Q67" s="256">
        <f t="shared" si="75"/>
        <v>2</v>
      </c>
      <c r="R67" s="256">
        <f t="shared" si="75"/>
        <v>1</v>
      </c>
      <c r="S67" s="256">
        <f t="shared" si="75"/>
        <v>1</v>
      </c>
      <c r="T67" s="256">
        <f t="shared" si="75"/>
        <v>1</v>
      </c>
      <c r="U67" s="256">
        <f t="shared" si="75"/>
        <v>1</v>
      </c>
      <c r="V67" s="256">
        <f t="shared" si="75"/>
        <v>1</v>
      </c>
      <c r="W67" s="256">
        <f t="shared" si="75"/>
        <v>1</v>
      </c>
      <c r="X67" s="257">
        <f t="shared" si="75"/>
        <v>2</v>
      </c>
      <c r="Y67" s="258"/>
      <c r="Z67" s="234">
        <f>if(isblank(Y65),"",if(Y66=-1,X67+1,if(Y66=-2,X67+2,if(Y66=-3,X67+3,1))))</f>
        <v>1</v>
      </c>
      <c r="AA67" s="236"/>
      <c r="AB67" s="1"/>
    </row>
    <row r="68">
      <c r="B68" s="1"/>
      <c r="C68" s="1"/>
      <c r="D68" s="1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36"/>
      <c r="AB68" s="1"/>
    </row>
    <row r="69">
      <c r="B69" s="1"/>
      <c r="C69" s="229" t="str">
        <f>'ROUND 3 - FOURBALL'!F85</f>
        <v>DYLAN</v>
      </c>
      <c r="D69" s="230">
        <f>vlookup($C69,HANDICAPS!$B$33:$G$48,5,false)</f>
        <v>11</v>
      </c>
      <c r="E69" s="231">
        <f>if(isblank(E70),"",if(E71=-3,16*D72,if(E71=-2,8*D72,if(E71=-1,4*D72,if(E71=0,2*D72,if(E71=1,0,if(E71&gt;1,-4*D72))))))+D70)</f>
        <v>4</v>
      </c>
      <c r="F69" s="232">
        <f t="shared" ref="F69:M69" si="76">if(isblank(F70),"",if(F71=-3,16*E72+E69,if(F71=-2,8*E72+E69,if(F71=-1,4*E72+E69,if(F71=0,2*E72+E69,if(F71=1,0+E69,if(F71&gt;1,-4*E72+E69)))))))</f>
        <v>4</v>
      </c>
      <c r="G69" s="232">
        <f t="shared" si="76"/>
        <v>6</v>
      </c>
      <c r="H69" s="232">
        <f t="shared" si="76"/>
        <v>2</v>
      </c>
      <c r="I69" s="232">
        <f t="shared" si="76"/>
        <v>2</v>
      </c>
      <c r="J69" s="232">
        <f t="shared" si="76"/>
        <v>-2</v>
      </c>
      <c r="K69" s="232">
        <f t="shared" si="76"/>
        <v>-2</v>
      </c>
      <c r="L69" s="232">
        <f t="shared" si="76"/>
        <v>0</v>
      </c>
      <c r="M69" s="233">
        <f t="shared" si="76"/>
        <v>2</v>
      </c>
      <c r="N69" s="234">
        <f>M69</f>
        <v>2</v>
      </c>
      <c r="O69" s="235"/>
      <c r="P69" s="231">
        <f>if(isblank(P70),"",if(P71=-3,16*O72+O70+N69,if(P71=-2,8*O72+O70+N69,if(P71=-1,4*O72+O70+N69,if(P71=0,2*O72+O70+N69,if(P71=1,0+N69,if(P71&gt;1,-4*O72+O70+N69)))))))</f>
        <v>2</v>
      </c>
      <c r="Q69" s="232">
        <f t="shared" ref="Q69:X69" si="77">if(isblank(Q70),"",if(Q71=-3,16*P72+P69,if(Q71=-2,8*P72+P69,if(Q71=-1,4*P72+P69,if(Q71=0,2*P72+P69,if(Q71=1,0+P69,if(Q71&gt;1,-4*P72+P69)))))))</f>
        <v>4</v>
      </c>
      <c r="R69" s="232">
        <f t="shared" si="77"/>
        <v>6</v>
      </c>
      <c r="S69" s="232">
        <f t="shared" si="77"/>
        <v>8</v>
      </c>
      <c r="T69" s="232">
        <f t="shared" si="77"/>
        <v>8</v>
      </c>
      <c r="U69" s="232">
        <f t="shared" si="77"/>
        <v>10</v>
      </c>
      <c r="V69" s="232">
        <f t="shared" si="77"/>
        <v>10</v>
      </c>
      <c r="W69" s="232">
        <f t="shared" si="77"/>
        <v>12</v>
      </c>
      <c r="X69" s="233">
        <f t="shared" si="77"/>
        <v>14</v>
      </c>
      <c r="Y69" s="234">
        <f>if(isblank(X70),"",X69-N69)</f>
        <v>12</v>
      </c>
      <c r="Z69" s="234">
        <f>if(isblank(X70),0,X69)</f>
        <v>14</v>
      </c>
      <c r="AA69" s="236">
        <f>X72</f>
        <v>1</v>
      </c>
      <c r="AB69" s="1"/>
    </row>
    <row r="70">
      <c r="A70" s="237"/>
      <c r="B70" s="39"/>
      <c r="C70" s="238" t="s">
        <v>170</v>
      </c>
      <c r="D70" s="239"/>
      <c r="E70" s="240">
        <f>vlookup('ROUND 3 - FOURBALL'!$B86,'ROUND 3 - FOURBALL'!$B:$AC,7,false)</f>
        <v>4</v>
      </c>
      <c r="F70" s="241">
        <f>vlookup('ROUND 3 - FOURBALL'!$B86,'ROUND 3 - FOURBALL'!$B:$AC,8,false)</f>
        <v>5</v>
      </c>
      <c r="G70" s="241">
        <f>vlookup('ROUND 3 - FOURBALL'!$B86,'ROUND 3 - FOURBALL'!$B:$AC,9,false)</f>
        <v>6</v>
      </c>
      <c r="H70" s="241">
        <f>vlookup('ROUND 3 - FOURBALL'!$B86,'ROUND 3 - FOURBALL'!$B:$AC,10,false)</f>
        <v>7</v>
      </c>
      <c r="I70" s="241">
        <f>vlookup('ROUND 3 - FOURBALL'!$B86,'ROUND 3 - FOURBALL'!$B:$AC,11,false)</f>
        <v>6</v>
      </c>
      <c r="J70" s="241">
        <f>vlookup('ROUND 3 - FOURBALL'!$B86,'ROUND 3 - FOURBALL'!$B:$AC,12,false)</f>
        <v>7</v>
      </c>
      <c r="K70" s="241">
        <f>vlookup('ROUND 3 - FOURBALL'!$B86,'ROUND 3 - FOURBALL'!$B:$AC,13,false)</f>
        <v>4</v>
      </c>
      <c r="L70" s="241">
        <f>vlookup('ROUND 3 - FOURBALL'!$B86,'ROUND 3 - FOURBALL'!$B:$AC,14,false)</f>
        <v>5</v>
      </c>
      <c r="M70" s="242">
        <f>vlookup('ROUND 3 - FOURBALL'!$B86,'ROUND 3 - FOURBALL'!$B:$AC,15,false)</f>
        <v>4</v>
      </c>
      <c r="N70" s="243">
        <f>if(isblank(M70),"",sum(E70:M70))</f>
        <v>48</v>
      </c>
      <c r="O70" s="244"/>
      <c r="P70" s="240">
        <f>vlookup('ROUND 3 - FOURBALL'!$B86,'ROUND 3 - FOURBALL'!$B:$AC,18,false)</f>
        <v>5</v>
      </c>
      <c r="Q70" s="241">
        <f>vlookup('ROUND 3 - FOURBALL'!$B86,'ROUND 3 - FOURBALL'!$B:$AC,19,false)</f>
        <v>6</v>
      </c>
      <c r="R70" s="241">
        <f>vlookup('ROUND 3 - FOURBALL'!$B86,'ROUND 3 - FOURBALL'!$B:$AC,20,false)</f>
        <v>5</v>
      </c>
      <c r="S70" s="241">
        <f>vlookup('ROUND 3 - FOURBALL'!$B86,'ROUND 3 - FOURBALL'!$B:$AC,21,false)</f>
        <v>5</v>
      </c>
      <c r="T70" s="241">
        <f>vlookup('ROUND 3 - FOURBALL'!$B86,'ROUND 3 - FOURBALL'!$B:$AC,22,false)</f>
        <v>4</v>
      </c>
      <c r="U70" s="241">
        <f>vlookup('ROUND 3 - FOURBALL'!$B86,'ROUND 3 - FOURBALL'!$B:$AC,23,false)</f>
        <v>5</v>
      </c>
      <c r="V70" s="241">
        <f>vlookup('ROUND 3 - FOURBALL'!$B86,'ROUND 3 - FOURBALL'!$B:$AC,24,false)</f>
        <v>4</v>
      </c>
      <c r="W70" s="241">
        <f>vlookup('ROUND 3 - FOURBALL'!$B86,'ROUND 3 - FOURBALL'!$B:$AC,25,false)</f>
        <v>5</v>
      </c>
      <c r="X70" s="242">
        <f>vlookup('ROUND 3 - FOURBALL'!$B86,'ROUND 3 - FOURBALL'!$B:$AC,26,false)</f>
        <v>6</v>
      </c>
      <c r="Y70" s="243">
        <f>if(isblank(X70),"",sum(P70:X70))</f>
        <v>45</v>
      </c>
      <c r="Z70" s="245">
        <f>if(isblank(X70),"",sum(N70,Y70))</f>
        <v>93</v>
      </c>
      <c r="AA70" s="42"/>
      <c r="AB70" s="39"/>
    </row>
    <row r="71">
      <c r="A71" s="237"/>
      <c r="B71" s="39"/>
      <c r="C71" s="247" t="s">
        <v>171</v>
      </c>
      <c r="D71" s="248"/>
      <c r="E71" s="249">
        <f t="shared" ref="E71:M71" si="78">if(isblank(E70),"",if(and(18-$D69&lt;0,18+E$7&lt;$D69),E70-2-E$6,if(or(E$7&lt;$D69,E$7=$D69),E70-1-E$6,E70-E$6)))</f>
        <v>-1</v>
      </c>
      <c r="F71" s="250">
        <f t="shared" si="78"/>
        <v>1</v>
      </c>
      <c r="G71" s="250">
        <f t="shared" si="78"/>
        <v>0</v>
      </c>
      <c r="H71" s="250">
        <f t="shared" si="78"/>
        <v>2</v>
      </c>
      <c r="I71" s="250">
        <f t="shared" si="78"/>
        <v>1</v>
      </c>
      <c r="J71" s="250">
        <f t="shared" si="78"/>
        <v>2</v>
      </c>
      <c r="K71" s="250">
        <f t="shared" si="78"/>
        <v>1</v>
      </c>
      <c r="L71" s="250">
        <f t="shared" si="78"/>
        <v>0</v>
      </c>
      <c r="M71" s="251">
        <f t="shared" si="78"/>
        <v>0</v>
      </c>
      <c r="N71" s="243">
        <f>if(isblank(M70),"",if(or(N$7&lt;$D69,N$7=$D69),N70-1-N$6,N70-N$6))</f>
        <v>11</v>
      </c>
      <c r="O71" s="244"/>
      <c r="P71" s="249">
        <f t="shared" ref="P71:X71" si="79">if(isblank(P70),"",if(and(18-$D69&lt;0,18+P$7&lt;$D69),P70-2-P$6,if(or(P$7&lt;$D69,P$7=$D69),P70-1-P$6,P70-P$6)))</f>
        <v>1</v>
      </c>
      <c r="Q71" s="250">
        <f t="shared" si="79"/>
        <v>0</v>
      </c>
      <c r="R71" s="250">
        <f t="shared" si="79"/>
        <v>0</v>
      </c>
      <c r="S71" s="250">
        <f t="shared" si="79"/>
        <v>0</v>
      </c>
      <c r="T71" s="250">
        <f t="shared" si="79"/>
        <v>1</v>
      </c>
      <c r="U71" s="250">
        <f t="shared" si="79"/>
        <v>0</v>
      </c>
      <c r="V71" s="250">
        <f t="shared" si="79"/>
        <v>1</v>
      </c>
      <c r="W71" s="250">
        <f t="shared" si="79"/>
        <v>0</v>
      </c>
      <c r="X71" s="251">
        <f t="shared" si="79"/>
        <v>0</v>
      </c>
      <c r="Y71" s="243">
        <f>if(isblank(X70),"",if(or(Y$7&lt;$D69,Y$7=$D69),Y70-1-Y$6,Y70-Y$6))</f>
        <v>7</v>
      </c>
      <c r="Z71" s="252">
        <f>if(isblank(X70),"",sum(N71,Y71))</f>
        <v>18</v>
      </c>
      <c r="AA71" s="42"/>
      <c r="AB71" s="39"/>
    </row>
    <row r="72">
      <c r="B72" s="1"/>
      <c r="C72" s="253" t="s">
        <v>172</v>
      </c>
      <c r="D72" s="253">
        <f>vlookup($C69,'TILT Round 2'!$C:$AA,25,false)</f>
        <v>1</v>
      </c>
      <c r="E72" s="255">
        <f t="shared" ref="E72:M72" si="80">if(isblank(E70),"",if(E71=-1,D72+1,if(E71=-2,D72+2,if(E71=-3,D72+3,1))))</f>
        <v>2</v>
      </c>
      <c r="F72" s="256">
        <f t="shared" si="80"/>
        <v>1</v>
      </c>
      <c r="G72" s="256">
        <f t="shared" si="80"/>
        <v>1</v>
      </c>
      <c r="H72" s="256">
        <f t="shared" si="80"/>
        <v>1</v>
      </c>
      <c r="I72" s="256">
        <f t="shared" si="80"/>
        <v>1</v>
      </c>
      <c r="J72" s="256">
        <f t="shared" si="80"/>
        <v>1</v>
      </c>
      <c r="K72" s="256">
        <f t="shared" si="80"/>
        <v>1</v>
      </c>
      <c r="L72" s="256">
        <f t="shared" si="80"/>
        <v>1</v>
      </c>
      <c r="M72" s="257">
        <f t="shared" si="80"/>
        <v>1</v>
      </c>
      <c r="N72" s="258"/>
      <c r="O72" s="259">
        <f>if(isblank(N70),"",if(N71=-1,M72+1,if(N71=-2,M72+2,if(N71=-3,M72+3,1))))</f>
        <v>1</v>
      </c>
      <c r="P72" s="255">
        <f t="shared" ref="P72:X72" si="81">if(isblank(P70),"",if(P71=-1,O72+1,if(P71=-2,O72+2,if(P71=-3,O72+3,1))))</f>
        <v>1</v>
      </c>
      <c r="Q72" s="256">
        <f t="shared" si="81"/>
        <v>1</v>
      </c>
      <c r="R72" s="256">
        <f t="shared" si="81"/>
        <v>1</v>
      </c>
      <c r="S72" s="256">
        <f t="shared" si="81"/>
        <v>1</v>
      </c>
      <c r="T72" s="256">
        <f t="shared" si="81"/>
        <v>1</v>
      </c>
      <c r="U72" s="256">
        <f t="shared" si="81"/>
        <v>1</v>
      </c>
      <c r="V72" s="256">
        <f t="shared" si="81"/>
        <v>1</v>
      </c>
      <c r="W72" s="256">
        <f t="shared" si="81"/>
        <v>1</v>
      </c>
      <c r="X72" s="257">
        <f t="shared" si="81"/>
        <v>1</v>
      </c>
      <c r="Y72" s="258"/>
      <c r="Z72" s="234">
        <f>if(isblank(Y70),"",if(Y71=-1,X72+1,if(Y71=-2,X72+2,if(Y71=-3,X72+3,1))))</f>
        <v>1</v>
      </c>
      <c r="AA72" s="236"/>
      <c r="AB72" s="1"/>
    </row>
    <row r="73">
      <c r="B73" s="1"/>
      <c r="C73" s="261"/>
      <c r="D73" s="261"/>
      <c r="E73" s="262"/>
      <c r="F73" s="262"/>
      <c r="G73" s="262"/>
      <c r="H73" s="263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3"/>
      <c r="W73" s="262"/>
      <c r="X73" s="262"/>
      <c r="Y73" s="262"/>
      <c r="Z73" s="262"/>
      <c r="AA73" s="236"/>
      <c r="AB73" s="1"/>
    </row>
    <row r="74">
      <c r="B74" s="1"/>
      <c r="C74" s="229" t="str">
        <f>'ROUND 3 - FOURBALL'!F87</f>
        <v>MAX</v>
      </c>
      <c r="D74" s="230">
        <f>vlookup($C74,HANDICAPS!$B$33:$G$48,5,false)</f>
        <v>13</v>
      </c>
      <c r="E74" s="231">
        <f>if(isblank(E75),"",if(E76=-3,16*D77,if(E76=-2,8*D77,if(E76=-1,4*D77,if(E76=0,2*D77,if(E76=1,0,if(E76&gt;1,-4*D77))))))+D75)</f>
        <v>4</v>
      </c>
      <c r="F74" s="232">
        <f t="shared" ref="F74:M74" si="82">if(isblank(F75),"",if(F76=-3,16*E77+E74,if(F76=-2,8*E77+E74,if(F76=-1,4*E77+E74,if(F76=0,2*E77+E74,if(F76=1,0+E74,if(F76&gt;1,-4*E77+E74)))))))</f>
        <v>8</v>
      </c>
      <c r="G74" s="232">
        <f t="shared" si="82"/>
        <v>10</v>
      </c>
      <c r="H74" s="232">
        <f t="shared" si="82"/>
        <v>14</v>
      </c>
      <c r="I74" s="232">
        <f t="shared" si="82"/>
        <v>18</v>
      </c>
      <c r="J74" s="232">
        <f t="shared" si="82"/>
        <v>22</v>
      </c>
      <c r="K74" s="232">
        <f t="shared" si="82"/>
        <v>22</v>
      </c>
      <c r="L74" s="232">
        <f t="shared" si="82"/>
        <v>24</v>
      </c>
      <c r="M74" s="233">
        <f t="shared" si="82"/>
        <v>26</v>
      </c>
      <c r="N74" s="234">
        <f>M74</f>
        <v>26</v>
      </c>
      <c r="O74" s="235"/>
      <c r="P74" s="231">
        <f>if(isblank(P75),"",if(P76=-3,16*O77+O75+N74,if(P76=-2,8*O77+O75+N74,if(P76=-1,4*O77+O75+N74,if(P76=0,2*O77+O75+N74,if(P76=1,0+N74,if(P76&gt;1,-4*O77+O75+N74)))))))</f>
        <v>26</v>
      </c>
      <c r="Q74" s="232">
        <f t="shared" ref="Q74:X74" si="83">if(isblank(Q75),"",if(Q76=-3,16*P77+P74,if(Q76=-2,8*P77+P74,if(Q76=-1,4*P77+P74,if(Q76=0,2*P77+P74,if(Q76=1,0+P74,if(Q76&gt;1,-4*P77+P74)))))))</f>
        <v>28</v>
      </c>
      <c r="R74" s="232">
        <f t="shared" si="83"/>
        <v>30</v>
      </c>
      <c r="S74" s="232">
        <f t="shared" si="83"/>
        <v>32</v>
      </c>
      <c r="T74" s="232">
        <f t="shared" si="83"/>
        <v>32</v>
      </c>
      <c r="U74" s="232">
        <f t="shared" si="83"/>
        <v>36</v>
      </c>
      <c r="V74" s="232">
        <f t="shared" si="83"/>
        <v>40</v>
      </c>
      <c r="W74" s="232">
        <f t="shared" si="83"/>
        <v>44</v>
      </c>
      <c r="X74" s="233">
        <f t="shared" si="83"/>
        <v>52</v>
      </c>
      <c r="Y74" s="234">
        <f>if(isblank(X75),"",X74-N74)</f>
        <v>26</v>
      </c>
      <c r="Z74" s="234">
        <f>if(isblank(X75),0,X74)</f>
        <v>52</v>
      </c>
      <c r="AA74" s="236">
        <f>X77</f>
        <v>3</v>
      </c>
      <c r="AB74" s="1"/>
    </row>
    <row r="75">
      <c r="B75" s="1"/>
      <c r="C75" s="238" t="s">
        <v>170</v>
      </c>
      <c r="D75" s="239"/>
      <c r="E75" s="240">
        <f>vlookup('ROUND 3 - FOURBALL'!$B88,'ROUND 3 - FOURBALL'!$B:$AC,7,false)</f>
        <v>4</v>
      </c>
      <c r="F75" s="241">
        <f>vlookup('ROUND 3 - FOURBALL'!$B88,'ROUND 3 - FOURBALL'!$B:$AC,8,false)</f>
        <v>4</v>
      </c>
      <c r="G75" s="241">
        <f>vlookup('ROUND 3 - FOURBALL'!$B88,'ROUND 3 - FOURBALL'!$B:$AC,9,false)</f>
        <v>6</v>
      </c>
      <c r="H75" s="241">
        <f>vlookup('ROUND 3 - FOURBALL'!$B88,'ROUND 3 - FOURBALL'!$B:$AC,10,false)</f>
        <v>4</v>
      </c>
      <c r="I75" s="241">
        <f>vlookup('ROUND 3 - FOURBALL'!$B88,'ROUND 3 - FOURBALL'!$B:$AC,11,false)</f>
        <v>5</v>
      </c>
      <c r="J75" s="241">
        <f>vlookup('ROUND 3 - FOURBALL'!$B88,'ROUND 3 - FOURBALL'!$B:$AC,12,false)</f>
        <v>5</v>
      </c>
      <c r="K75" s="241">
        <f>vlookup('ROUND 3 - FOURBALL'!$B88,'ROUND 3 - FOURBALL'!$B:$AC,13,false)</f>
        <v>4</v>
      </c>
      <c r="L75" s="241">
        <f>vlookup('ROUND 3 - FOURBALL'!$B88,'ROUND 3 - FOURBALL'!$B:$AC,14,false)</f>
        <v>5</v>
      </c>
      <c r="M75" s="242">
        <f>vlookup('ROUND 3 - FOURBALL'!$B88,'ROUND 3 - FOURBALL'!$B:$AC,15,false)</f>
        <v>4</v>
      </c>
      <c r="N75" s="243">
        <f>if(isblank(M75),"",sum(E75:M75))</f>
        <v>41</v>
      </c>
      <c r="O75" s="244"/>
      <c r="P75" s="240">
        <f>vlookup('ROUND 3 - FOURBALL'!$B88,'ROUND 3 - FOURBALL'!$B:$AC,18,false)</f>
        <v>5</v>
      </c>
      <c r="Q75" s="241">
        <f>vlookup('ROUND 3 - FOURBALL'!$B88,'ROUND 3 - FOURBALL'!$B:$AC,19,false)</f>
        <v>6</v>
      </c>
      <c r="R75" s="241">
        <f>vlookup('ROUND 3 - FOURBALL'!$B88,'ROUND 3 - FOURBALL'!$B:$AC,20,false)</f>
        <v>5</v>
      </c>
      <c r="S75" s="241">
        <f>vlookup('ROUND 3 - FOURBALL'!$B88,'ROUND 3 - FOURBALL'!$B:$AC,21,false)</f>
        <v>5</v>
      </c>
      <c r="T75" s="241">
        <f>vlookup('ROUND 3 - FOURBALL'!$B88,'ROUND 3 - FOURBALL'!$B:$AC,22,false)</f>
        <v>5</v>
      </c>
      <c r="U75" s="241">
        <f>vlookup('ROUND 3 - FOURBALL'!$B88,'ROUND 3 - FOURBALL'!$B:$AC,23,false)</f>
        <v>4</v>
      </c>
      <c r="V75" s="241">
        <f>vlookup('ROUND 3 - FOURBALL'!$B88,'ROUND 3 - FOURBALL'!$B:$AC,24,false)</f>
        <v>3</v>
      </c>
      <c r="W75" s="241">
        <f>vlookup('ROUND 3 - FOURBALL'!$B88,'ROUND 3 - FOURBALL'!$B:$AC,25,false)</f>
        <v>4</v>
      </c>
      <c r="X75" s="242">
        <f>vlookup('ROUND 3 - FOURBALL'!$B88,'ROUND 3 - FOURBALL'!$B:$AC,26,false)</f>
        <v>5</v>
      </c>
      <c r="Y75" s="243">
        <f>if(isblank(X75),"",sum(P75:X75))</f>
        <v>42</v>
      </c>
      <c r="Z75" s="245">
        <f>if(isblank(X75),"",sum(N75,Y75))</f>
        <v>83</v>
      </c>
      <c r="AA75" s="236"/>
      <c r="AB75" s="1"/>
    </row>
    <row r="76">
      <c r="B76" s="1"/>
      <c r="C76" s="247" t="s">
        <v>171</v>
      </c>
      <c r="D76" s="248"/>
      <c r="E76" s="249">
        <f t="shared" ref="E76:M76" si="84">if(isblank(E75),"",if(and(18-$D74&lt;0,18+E$7&lt;$D74),E75-2-E$6,if(or(E$7&lt;$D74,E$7=$D74),E75-1-E$6,E75-E$6)))</f>
        <v>-1</v>
      </c>
      <c r="F76" s="250">
        <f t="shared" si="84"/>
        <v>0</v>
      </c>
      <c r="G76" s="250">
        <f t="shared" si="84"/>
        <v>0</v>
      </c>
      <c r="H76" s="250">
        <f t="shared" si="84"/>
        <v>-1</v>
      </c>
      <c r="I76" s="250">
        <f t="shared" si="84"/>
        <v>0</v>
      </c>
      <c r="J76" s="250">
        <f t="shared" si="84"/>
        <v>-1</v>
      </c>
      <c r="K76" s="250">
        <f t="shared" si="84"/>
        <v>1</v>
      </c>
      <c r="L76" s="250">
        <f t="shared" si="84"/>
        <v>0</v>
      </c>
      <c r="M76" s="251">
        <f t="shared" si="84"/>
        <v>0</v>
      </c>
      <c r="N76" s="243">
        <f>if(isblank(M75),"",if(or(N$7&lt;$D74,N$7=$D74),N75-1-N$6,N75-N$6))</f>
        <v>4</v>
      </c>
      <c r="O76" s="244"/>
      <c r="P76" s="249">
        <f t="shared" ref="P76:X76" si="85">if(isblank(P75),"",if(and(18-$D74&lt;0,18+P$7&lt;$D74),P75-2-P$6,if(or(P$7&lt;$D74,P$7=$D74),P75-1-P$6,P75-P$6)))</f>
        <v>1</v>
      </c>
      <c r="Q76" s="250">
        <f t="shared" si="85"/>
        <v>0</v>
      </c>
      <c r="R76" s="250">
        <f t="shared" si="85"/>
        <v>0</v>
      </c>
      <c r="S76" s="250">
        <f t="shared" si="85"/>
        <v>0</v>
      </c>
      <c r="T76" s="250">
        <f t="shared" si="85"/>
        <v>1</v>
      </c>
      <c r="U76" s="250">
        <f t="shared" si="85"/>
        <v>-1</v>
      </c>
      <c r="V76" s="250">
        <f t="shared" si="85"/>
        <v>0</v>
      </c>
      <c r="W76" s="250">
        <f t="shared" si="85"/>
        <v>-1</v>
      </c>
      <c r="X76" s="251">
        <f t="shared" si="85"/>
        <v>-1</v>
      </c>
      <c r="Y76" s="243">
        <f>if(isblank(X75),"",if(or(Y$7&lt;$D74,Y$7=$D74),Y75-1-Y$6,Y75-Y$6))</f>
        <v>4</v>
      </c>
      <c r="Z76" s="252">
        <f>if(isblank(X75),"",sum(N76,Y76))</f>
        <v>8</v>
      </c>
      <c r="AA76" s="236"/>
      <c r="AB76" s="1"/>
    </row>
    <row r="77">
      <c r="B77" s="1"/>
      <c r="C77" s="253" t="s">
        <v>172</v>
      </c>
      <c r="D77" s="253">
        <f>vlookup($C74,'TILT Round 2'!$C:$AA,25,false)</f>
        <v>1</v>
      </c>
      <c r="E77" s="255">
        <f t="shared" ref="E77:M77" si="86">if(isblank(E75),"",if(E76=-1,D77+1,if(E76=-2,D77+2,if(E76=-3,D77+3,1))))</f>
        <v>2</v>
      </c>
      <c r="F77" s="256">
        <f t="shared" si="86"/>
        <v>1</v>
      </c>
      <c r="G77" s="256">
        <f t="shared" si="86"/>
        <v>1</v>
      </c>
      <c r="H77" s="256">
        <f t="shared" si="86"/>
        <v>2</v>
      </c>
      <c r="I77" s="256">
        <f t="shared" si="86"/>
        <v>1</v>
      </c>
      <c r="J77" s="256">
        <f t="shared" si="86"/>
        <v>2</v>
      </c>
      <c r="K77" s="256">
        <f t="shared" si="86"/>
        <v>1</v>
      </c>
      <c r="L77" s="256">
        <f t="shared" si="86"/>
        <v>1</v>
      </c>
      <c r="M77" s="257">
        <f t="shared" si="86"/>
        <v>1</v>
      </c>
      <c r="N77" s="258"/>
      <c r="O77" s="259">
        <f>if(isblank(N75),"",if(N76=-1,M77+1,if(N76=-2,M77+2,if(N76=-3,M77+3,1))))</f>
        <v>1</v>
      </c>
      <c r="P77" s="255">
        <f t="shared" ref="P77:X77" si="87">if(isblank(P75),"",if(P76=-1,O77+1,if(P76=-2,O77+2,if(P76=-3,O77+3,1))))</f>
        <v>1</v>
      </c>
      <c r="Q77" s="256">
        <f t="shared" si="87"/>
        <v>1</v>
      </c>
      <c r="R77" s="256">
        <f t="shared" si="87"/>
        <v>1</v>
      </c>
      <c r="S77" s="256">
        <f t="shared" si="87"/>
        <v>1</v>
      </c>
      <c r="T77" s="256">
        <f t="shared" si="87"/>
        <v>1</v>
      </c>
      <c r="U77" s="256">
        <f t="shared" si="87"/>
        <v>2</v>
      </c>
      <c r="V77" s="256">
        <f t="shared" si="87"/>
        <v>1</v>
      </c>
      <c r="W77" s="256">
        <f t="shared" si="87"/>
        <v>2</v>
      </c>
      <c r="X77" s="257">
        <f t="shared" si="87"/>
        <v>3</v>
      </c>
      <c r="Y77" s="258"/>
      <c r="Z77" s="234">
        <f>if(isblank(Y75),"",if(Y76=-1,X77+1,if(Y76=-2,X77+2,if(Y76=-3,X77+3,1))))</f>
        <v>1</v>
      </c>
      <c r="AA77" s="236"/>
      <c r="AB77" s="1"/>
    </row>
    <row r="78">
      <c r="B78" s="1"/>
      <c r="C78" s="1"/>
      <c r="D78" s="1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36"/>
      <c r="AB78" s="1"/>
    </row>
    <row r="79">
      <c r="B79" s="1"/>
      <c r="C79" s="229" t="str">
        <f>'ROUND 3 - FOURBALL'!F93</f>
        <v>BEN</v>
      </c>
      <c r="D79" s="230">
        <f>vlookup($C79,HANDICAPS!$B$33:$G$48,5,false)</f>
        <v>5</v>
      </c>
      <c r="E79" s="231">
        <f>if(isblank(E80),"",if(E81=-3,16*D82,if(E81=-2,8*D82,if(E81=-1,4*D82,if(E81=0,2*D82,if(E81=1,0,if(E81&gt;1,-4*D82))))))+D80)</f>
        <v>8</v>
      </c>
      <c r="F79" s="232">
        <f t="shared" ref="F79:M79" si="88">if(isblank(F80),"",if(F81=-3,16*E82+E79,if(F81=-2,8*E82+E79,if(F81=-1,4*E82+E79,if(F81=0,2*E82+E79,if(F81=1,0+E79,if(F81&gt;1,-4*E82+E79)))))))</f>
        <v>8</v>
      </c>
      <c r="G79" s="232">
        <f t="shared" si="88"/>
        <v>12</v>
      </c>
      <c r="H79" s="232">
        <f t="shared" si="88"/>
        <v>20</v>
      </c>
      <c r="I79" s="232">
        <f t="shared" si="88"/>
        <v>26</v>
      </c>
      <c r="J79" s="232">
        <f t="shared" si="88"/>
        <v>22</v>
      </c>
      <c r="K79" s="232">
        <f t="shared" si="88"/>
        <v>24</v>
      </c>
      <c r="L79" s="232">
        <f t="shared" si="88"/>
        <v>28</v>
      </c>
      <c r="M79" s="233">
        <f t="shared" si="88"/>
        <v>28</v>
      </c>
      <c r="N79" s="234">
        <f>M79</f>
        <v>28</v>
      </c>
      <c r="O79" s="235"/>
      <c r="P79" s="231">
        <f>if(isblank(P80),"",if(P81=-3,16*O82+O80+N79,if(P81=-2,8*O82+O80+N79,if(P81=-1,4*O82+O80+N79,if(P81=0,2*O82+O80+N79,if(P81=1,0+N79,if(P81&gt;1,-4*O82+O80+N79)))))))</f>
        <v>24</v>
      </c>
      <c r="Q79" s="232">
        <f t="shared" ref="Q79:X79" si="89">if(isblank(Q80),"",if(Q81=-3,16*P82+P79,if(Q81=-2,8*P82+P79,if(Q81=-1,4*P82+P79,if(Q81=0,2*P82+P79,if(Q81=1,0+P79,if(Q81&gt;1,-4*P82+P79)))))))</f>
        <v>28</v>
      </c>
      <c r="R79" s="232">
        <f t="shared" si="89"/>
        <v>32</v>
      </c>
      <c r="S79" s="232">
        <f t="shared" si="89"/>
        <v>36</v>
      </c>
      <c r="T79" s="232">
        <f t="shared" si="89"/>
        <v>36</v>
      </c>
      <c r="U79" s="232">
        <f t="shared" si="89"/>
        <v>38</v>
      </c>
      <c r="V79" s="232">
        <f t="shared" si="89"/>
        <v>38</v>
      </c>
      <c r="W79" s="232">
        <f t="shared" si="89"/>
        <v>40</v>
      </c>
      <c r="X79" s="233">
        <f t="shared" si="89"/>
        <v>42</v>
      </c>
      <c r="Y79" s="234">
        <f>if(isblank(X80),"",X79-N79)</f>
        <v>14</v>
      </c>
      <c r="Z79" s="234">
        <f>if(isblank(X80),0,X79)</f>
        <v>42</v>
      </c>
      <c r="AA79" s="236">
        <f>X82</f>
        <v>1</v>
      </c>
      <c r="AB79" s="1"/>
    </row>
    <row r="80">
      <c r="A80" s="237"/>
      <c r="B80" s="39"/>
      <c r="C80" s="238" t="s">
        <v>170</v>
      </c>
      <c r="D80" s="239"/>
      <c r="E80" s="240">
        <f>vlookup('ROUND 3 - FOURBALL'!$B94,'ROUND 3 - FOURBALL'!$B:$AC,7,false)</f>
        <v>4</v>
      </c>
      <c r="F80" s="241">
        <f>vlookup('ROUND 3 - FOURBALL'!$B94,'ROUND 3 - FOURBALL'!$B:$AC,8,false)</f>
        <v>5</v>
      </c>
      <c r="G80" s="241">
        <f>vlookup('ROUND 3 - FOURBALL'!$B94,'ROUND 3 - FOURBALL'!$B:$AC,9,false)</f>
        <v>5</v>
      </c>
      <c r="H80" s="241">
        <f>vlookup('ROUND 3 - FOURBALL'!$B94,'ROUND 3 - FOURBALL'!$B:$AC,10,false)</f>
        <v>3</v>
      </c>
      <c r="I80" s="241">
        <f>vlookup('ROUND 3 - FOURBALL'!$B94,'ROUND 3 - FOURBALL'!$B:$AC,11,false)</f>
        <v>5</v>
      </c>
      <c r="J80" s="241">
        <f>vlookup('ROUND 3 - FOURBALL'!$B94,'ROUND 3 - FOURBALL'!$B:$AC,12,false)</f>
        <v>7</v>
      </c>
      <c r="K80" s="241">
        <f>vlookup('ROUND 3 - FOURBALL'!$B94,'ROUND 3 - FOURBALL'!$B:$AC,13,false)</f>
        <v>3</v>
      </c>
      <c r="L80" s="241">
        <f>vlookup('ROUND 3 - FOURBALL'!$B94,'ROUND 3 - FOURBALL'!$B:$AC,14,false)</f>
        <v>4</v>
      </c>
      <c r="M80" s="242">
        <f>vlookup('ROUND 3 - FOURBALL'!$B94,'ROUND 3 - FOURBALL'!$B:$AC,15,false)</f>
        <v>4</v>
      </c>
      <c r="N80" s="243">
        <f>if(isblank(M80),"",sum(E80:M80))</f>
        <v>40</v>
      </c>
      <c r="O80" s="244"/>
      <c r="P80" s="240">
        <f>vlookup('ROUND 3 - FOURBALL'!$B94,'ROUND 3 - FOURBALL'!$B:$AC,18,false)</f>
        <v>6</v>
      </c>
      <c r="Q80" s="241">
        <f>vlookup('ROUND 3 - FOURBALL'!$B94,'ROUND 3 - FOURBALL'!$B:$AC,19,false)</f>
        <v>5</v>
      </c>
      <c r="R80" s="241">
        <f>vlookup('ROUND 3 - FOURBALL'!$B94,'ROUND 3 - FOURBALL'!$B:$AC,20,false)</f>
        <v>4</v>
      </c>
      <c r="S80" s="241">
        <f>vlookup('ROUND 3 - FOURBALL'!$B94,'ROUND 3 - FOURBALL'!$B:$AC,21,false)</f>
        <v>4</v>
      </c>
      <c r="T80" s="241">
        <f>vlookup('ROUND 3 - FOURBALL'!$B94,'ROUND 3 - FOURBALL'!$B:$AC,22,false)</f>
        <v>4</v>
      </c>
      <c r="U80" s="241">
        <f>vlookup('ROUND 3 - FOURBALL'!$B94,'ROUND 3 - FOURBALL'!$B:$AC,23,false)</f>
        <v>5</v>
      </c>
      <c r="V80" s="241">
        <f>vlookup('ROUND 3 - FOURBALL'!$B94,'ROUND 3 - FOURBALL'!$B:$AC,24,false)</f>
        <v>4</v>
      </c>
      <c r="W80" s="241">
        <f>vlookup('ROUND 3 - FOURBALL'!$B94,'ROUND 3 - FOURBALL'!$B:$AC,25,false)</f>
        <v>4</v>
      </c>
      <c r="X80" s="242">
        <f>vlookup('ROUND 3 - FOURBALL'!$B94,'ROUND 3 - FOURBALL'!$B:$AC,26,false)</f>
        <v>5</v>
      </c>
      <c r="Y80" s="243">
        <f>if(isblank(X80),"",sum(P80:X80))</f>
        <v>41</v>
      </c>
      <c r="Z80" s="245">
        <f>if(isblank(X80),"",sum(N80,Y80))</f>
        <v>81</v>
      </c>
      <c r="AA80" s="42"/>
      <c r="AB80" s="39"/>
    </row>
    <row r="81">
      <c r="A81" s="237"/>
      <c r="B81" s="39"/>
      <c r="C81" s="247" t="s">
        <v>171</v>
      </c>
      <c r="D81" s="248"/>
      <c r="E81" s="249">
        <f t="shared" ref="E81:M81" si="90">if(isblank(E80),"",if(and(18-$D79&lt;0,18+E$7&lt;$D79),E80-2-E$6,if(or(E$7&lt;$D79,E$7=$D79),E80-1-E$6,E80-E$6)))</f>
        <v>0</v>
      </c>
      <c r="F81" s="250">
        <f t="shared" si="90"/>
        <v>1</v>
      </c>
      <c r="G81" s="250">
        <f t="shared" si="90"/>
        <v>-1</v>
      </c>
      <c r="H81" s="250">
        <f t="shared" si="90"/>
        <v>-1</v>
      </c>
      <c r="I81" s="250">
        <f t="shared" si="90"/>
        <v>0</v>
      </c>
      <c r="J81" s="250">
        <f t="shared" si="90"/>
        <v>2</v>
      </c>
      <c r="K81" s="250">
        <f t="shared" si="90"/>
        <v>0</v>
      </c>
      <c r="L81" s="250">
        <f t="shared" si="90"/>
        <v>-1</v>
      </c>
      <c r="M81" s="251">
        <f t="shared" si="90"/>
        <v>1</v>
      </c>
      <c r="N81" s="243">
        <f>if(isblank(M80),"",if(or(N$7&lt;$D79,N$7=$D79),N80-1-N$6,N80-N$6))</f>
        <v>3</v>
      </c>
      <c r="O81" s="244"/>
      <c r="P81" s="249">
        <f t="shared" ref="P81:X81" si="91">if(isblank(P80),"",if(and(18-$D79&lt;0,18+P$7&lt;$D79),P80-2-P$6,if(or(P$7&lt;$D79,P$7=$D79),P80-1-P$6,P80-P$6)))</f>
        <v>2</v>
      </c>
      <c r="Q81" s="250">
        <f t="shared" si="91"/>
        <v>-1</v>
      </c>
      <c r="R81" s="250">
        <f t="shared" si="91"/>
        <v>0</v>
      </c>
      <c r="S81" s="250">
        <f t="shared" si="91"/>
        <v>-1</v>
      </c>
      <c r="T81" s="250">
        <f t="shared" si="91"/>
        <v>1</v>
      </c>
      <c r="U81" s="250">
        <f t="shared" si="91"/>
        <v>0</v>
      </c>
      <c r="V81" s="250">
        <f t="shared" si="91"/>
        <v>1</v>
      </c>
      <c r="W81" s="250">
        <f t="shared" si="91"/>
        <v>0</v>
      </c>
      <c r="X81" s="251">
        <f t="shared" si="91"/>
        <v>0</v>
      </c>
      <c r="Y81" s="243">
        <f>if(isblank(X80),"",if(or(Y$7&lt;$D79,Y$7=$D79),Y80-1-Y$6,Y80-Y$6))</f>
        <v>3</v>
      </c>
      <c r="Z81" s="252">
        <f>if(isblank(X80),"",sum(N81,Y81))</f>
        <v>6</v>
      </c>
      <c r="AA81" s="42"/>
      <c r="AB81" s="39"/>
    </row>
    <row r="82">
      <c r="B82" s="1"/>
      <c r="C82" s="253" t="s">
        <v>172</v>
      </c>
      <c r="D82" s="253">
        <f>vlookup($C79,'TILT Round 2'!$C:$AA,25,false)</f>
        <v>4</v>
      </c>
      <c r="E82" s="255">
        <f t="shared" ref="E82:M82" si="92">if(isblank(E80),"",if(E81=-1,D82+1,if(E81=-2,D82+2,if(E81=-3,D82+3,1))))</f>
        <v>1</v>
      </c>
      <c r="F82" s="256">
        <f t="shared" si="92"/>
        <v>1</v>
      </c>
      <c r="G82" s="256">
        <f t="shared" si="92"/>
        <v>2</v>
      </c>
      <c r="H82" s="256">
        <f t="shared" si="92"/>
        <v>3</v>
      </c>
      <c r="I82" s="256">
        <f t="shared" si="92"/>
        <v>1</v>
      </c>
      <c r="J82" s="256">
        <f t="shared" si="92"/>
        <v>1</v>
      </c>
      <c r="K82" s="256">
        <f t="shared" si="92"/>
        <v>1</v>
      </c>
      <c r="L82" s="256">
        <f t="shared" si="92"/>
        <v>2</v>
      </c>
      <c r="M82" s="257">
        <f t="shared" si="92"/>
        <v>1</v>
      </c>
      <c r="N82" s="258"/>
      <c r="O82" s="259">
        <f>if(isblank(N80),"",if(N81=-1,M82+1,if(N81=-2,M82+2,if(N81=-3,M82+3,1))))</f>
        <v>1</v>
      </c>
      <c r="P82" s="255">
        <f t="shared" ref="P82:X82" si="93">if(isblank(P80),"",if(P81=-1,O82+1,if(P81=-2,O82+2,if(P81=-3,O82+3,1))))</f>
        <v>1</v>
      </c>
      <c r="Q82" s="256">
        <f t="shared" si="93"/>
        <v>2</v>
      </c>
      <c r="R82" s="256">
        <f t="shared" si="93"/>
        <v>1</v>
      </c>
      <c r="S82" s="256">
        <f t="shared" si="93"/>
        <v>2</v>
      </c>
      <c r="T82" s="256">
        <f t="shared" si="93"/>
        <v>1</v>
      </c>
      <c r="U82" s="256">
        <f t="shared" si="93"/>
        <v>1</v>
      </c>
      <c r="V82" s="256">
        <f t="shared" si="93"/>
        <v>1</v>
      </c>
      <c r="W82" s="256">
        <f t="shared" si="93"/>
        <v>1</v>
      </c>
      <c r="X82" s="257">
        <f t="shared" si="93"/>
        <v>1</v>
      </c>
      <c r="Y82" s="258"/>
      <c r="Z82" s="234">
        <f>if(isblank(Y80),"",if(Y81=-1,X82+1,if(Y81=-2,X82+2,if(Y81=-3,X82+3,1))))</f>
        <v>1</v>
      </c>
      <c r="AA82" s="236"/>
      <c r="AB82" s="1"/>
    </row>
    <row r="83">
      <c r="B83" s="1"/>
      <c r="C83" s="261"/>
      <c r="D83" s="261"/>
      <c r="E83" s="262"/>
      <c r="F83" s="262"/>
      <c r="G83" s="262"/>
      <c r="H83" s="263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3"/>
      <c r="W83" s="262"/>
      <c r="X83" s="262"/>
      <c r="Y83" s="262"/>
      <c r="Z83" s="262"/>
      <c r="AA83" s="236"/>
      <c r="AB83" s="1"/>
    </row>
    <row r="84">
      <c r="B84" s="1"/>
      <c r="C84" s="229" t="str">
        <f>'ROUND 3 - FOURBALL'!F95</f>
        <v>SHEPP</v>
      </c>
      <c r="D84" s="230">
        <f>vlookup($C84,HANDICAPS!$B$33:$G$48,5,false)</f>
        <v>19</v>
      </c>
      <c r="E84" s="231">
        <f>if(isblank(E85),"",if(E86=-3,16*D87,if(E86=-2,8*D87,if(E86=-1,4*D87,if(E86=0,2*D87,if(E86=1,0,if(E86&gt;1,-4*D87))))))+D85)</f>
        <v>-4</v>
      </c>
      <c r="F84" s="232">
        <f t="shared" ref="F84:M84" si="94">if(isblank(F85),"",if(F86=-3,16*E87+E84,if(F86=-2,8*E87+E84,if(F86=-1,4*E87+E84,if(F86=0,2*E87+E84,if(F86=1,0+E84,if(F86&gt;1,-4*E87+E84)))))))</f>
        <v>-2</v>
      </c>
      <c r="G84" s="232">
        <f t="shared" si="94"/>
        <v>2</v>
      </c>
      <c r="H84" s="232">
        <f t="shared" si="94"/>
        <v>2</v>
      </c>
      <c r="I84" s="232">
        <f t="shared" si="94"/>
        <v>2</v>
      </c>
      <c r="J84" s="232">
        <f t="shared" si="94"/>
        <v>2</v>
      </c>
      <c r="K84" s="232">
        <f t="shared" si="94"/>
        <v>4</v>
      </c>
      <c r="L84" s="232">
        <f t="shared" si="94"/>
        <v>6</v>
      </c>
      <c r="M84" s="233">
        <f t="shared" si="94"/>
        <v>8</v>
      </c>
      <c r="N84" s="234">
        <f>M84</f>
        <v>8</v>
      </c>
      <c r="O84" s="235"/>
      <c r="P84" s="231">
        <f>if(isblank(P85),"",if(P86=-3,16*O87+O85+N84,if(P86=-2,8*O87+O85+N84,if(P86=-1,4*O87+O85+N84,if(P86=0,2*O87+O85+N84,if(P86=1,0+N84,if(P86&gt;1,-4*O87+O85+N84)))))))</f>
        <v>8</v>
      </c>
      <c r="Q84" s="232">
        <f t="shared" ref="Q84:X84" si="95">if(isblank(Q85),"",if(Q86=-3,16*P87+P84,if(Q86=-2,8*P87+P84,if(Q86=-1,4*P87+P84,if(Q86=0,2*P87+P84,if(Q86=1,0+P84,if(Q86&gt;1,-4*P87+P84)))))))</f>
        <v>4</v>
      </c>
      <c r="R84" s="232">
        <f t="shared" si="95"/>
        <v>4</v>
      </c>
      <c r="S84" s="232">
        <f t="shared" si="95"/>
        <v>0</v>
      </c>
      <c r="T84" s="232">
        <f t="shared" si="95"/>
        <v>0</v>
      </c>
      <c r="U84" s="232">
        <f t="shared" si="95"/>
        <v>2</v>
      </c>
      <c r="V84" s="232">
        <f t="shared" si="95"/>
        <v>4</v>
      </c>
      <c r="W84" s="232">
        <f t="shared" si="95"/>
        <v>6</v>
      </c>
      <c r="X84" s="233">
        <f t="shared" si="95"/>
        <v>8</v>
      </c>
      <c r="Y84" s="234">
        <f>if(isblank(X85),"",X84-N84)</f>
        <v>0</v>
      </c>
      <c r="Z84" s="234">
        <f>if(isblank(X85),0,X84)</f>
        <v>8</v>
      </c>
      <c r="AA84" s="236">
        <f>X87</f>
        <v>1</v>
      </c>
      <c r="AB84" s="1"/>
    </row>
    <row r="85">
      <c r="B85" s="1"/>
      <c r="C85" s="238" t="s">
        <v>170</v>
      </c>
      <c r="D85" s="239"/>
      <c r="E85" s="240">
        <f>vlookup('ROUND 3 - FOURBALL'!$B96,'ROUND 3 - FOURBALL'!$B:$AC,7,false)</f>
        <v>8</v>
      </c>
      <c r="F85" s="241">
        <f>vlookup('ROUND 3 - FOURBALL'!$B96,'ROUND 3 - FOURBALL'!$B:$AC,8,false)</f>
        <v>5</v>
      </c>
      <c r="G85" s="241">
        <f>vlookup('ROUND 3 - FOURBALL'!$B96,'ROUND 3 - FOURBALL'!$B:$AC,9,false)</f>
        <v>5</v>
      </c>
      <c r="H85" s="241">
        <f>vlookup('ROUND 3 - FOURBALL'!$B96,'ROUND 3 - FOURBALL'!$B:$AC,10,false)</f>
        <v>6</v>
      </c>
      <c r="I85" s="241">
        <f>vlookup('ROUND 3 - FOURBALL'!$B96,'ROUND 3 - FOURBALL'!$B:$AC,11,false)</f>
        <v>6</v>
      </c>
      <c r="J85" s="241">
        <f>vlookup('ROUND 3 - FOURBALL'!$B96,'ROUND 3 - FOURBALL'!$B:$AC,12,false)</f>
        <v>7</v>
      </c>
      <c r="K85" s="241">
        <f>vlookup('ROUND 3 - FOURBALL'!$B96,'ROUND 3 - FOURBALL'!$B:$AC,13,false)</f>
        <v>4</v>
      </c>
      <c r="L85" s="241">
        <f>vlookup('ROUND 3 - FOURBALL'!$B96,'ROUND 3 - FOURBALL'!$B:$AC,14,false)</f>
        <v>5</v>
      </c>
      <c r="M85" s="242">
        <f>vlookup('ROUND 3 - FOURBALL'!$B96,'ROUND 3 - FOURBALL'!$B:$AC,15,false)</f>
        <v>4</v>
      </c>
      <c r="N85" s="243">
        <f>if(isblank(M85),"",sum(E85:M85))</f>
        <v>50</v>
      </c>
      <c r="O85" s="244"/>
      <c r="P85" s="240">
        <f>vlookup('ROUND 3 - FOURBALL'!$B96,'ROUND 3 - FOURBALL'!$B:$AC,18,false)</f>
        <v>6</v>
      </c>
      <c r="Q85" s="241">
        <f>vlookup('ROUND 3 - FOURBALL'!$B96,'ROUND 3 - FOURBALL'!$B:$AC,19,false)</f>
        <v>8</v>
      </c>
      <c r="R85" s="241">
        <f>vlookup('ROUND 3 - FOURBALL'!$B96,'ROUND 3 - FOURBALL'!$B:$AC,20,false)</f>
        <v>6</v>
      </c>
      <c r="S85" s="241">
        <f>vlookup('ROUND 3 - FOURBALL'!$B96,'ROUND 3 - FOURBALL'!$B:$AC,21,false)</f>
        <v>8</v>
      </c>
      <c r="T85" s="241">
        <f>vlookup('ROUND 3 - FOURBALL'!$B96,'ROUND 3 - FOURBALL'!$B:$AC,22,false)</f>
        <v>5</v>
      </c>
      <c r="U85" s="241">
        <f>vlookup('ROUND 3 - FOURBALL'!$B96,'ROUND 3 - FOURBALL'!$B:$AC,23,false)</f>
        <v>5</v>
      </c>
      <c r="V85" s="241">
        <f>vlookup('ROUND 3 - FOURBALL'!$B96,'ROUND 3 - FOURBALL'!$B:$AC,24,false)</f>
        <v>4</v>
      </c>
      <c r="W85" s="241">
        <f>vlookup('ROUND 3 - FOURBALL'!$B96,'ROUND 3 - FOURBALL'!$B:$AC,25,false)</f>
        <v>5</v>
      </c>
      <c r="X85" s="242">
        <f>vlookup('ROUND 3 - FOURBALL'!$B96,'ROUND 3 - FOURBALL'!$B:$AC,26,false)</f>
        <v>6</v>
      </c>
      <c r="Y85" s="243">
        <f>if(isblank(X85),"",sum(P85:X85))</f>
        <v>53</v>
      </c>
      <c r="Z85" s="245">
        <f>if(isblank(X85),"",sum(N85,Y85))</f>
        <v>103</v>
      </c>
      <c r="AA85" s="236"/>
      <c r="AB85" s="1"/>
    </row>
    <row r="86">
      <c r="B86" s="1"/>
      <c r="C86" s="247" t="s">
        <v>171</v>
      </c>
      <c r="D86" s="248"/>
      <c r="E86" s="249">
        <f t="shared" ref="E86:M86" si="96">if(isblank(E85),"",if(and(18-$D84&lt;0,18+E$7&lt;$D84),E85-2-E$6,if(or(E$7&lt;$D84,E$7=$D84),E85-1-E$6,E85-E$6)))</f>
        <v>3</v>
      </c>
      <c r="F86" s="250">
        <f t="shared" si="96"/>
        <v>0</v>
      </c>
      <c r="G86" s="250">
        <f t="shared" si="96"/>
        <v>-1</v>
      </c>
      <c r="H86" s="250">
        <f t="shared" si="96"/>
        <v>1</v>
      </c>
      <c r="I86" s="250">
        <f t="shared" si="96"/>
        <v>1</v>
      </c>
      <c r="J86" s="250">
        <f t="shared" si="96"/>
        <v>1</v>
      </c>
      <c r="K86" s="250">
        <f t="shared" si="96"/>
        <v>0</v>
      </c>
      <c r="L86" s="250">
        <f t="shared" si="96"/>
        <v>0</v>
      </c>
      <c r="M86" s="251">
        <f t="shared" si="96"/>
        <v>0</v>
      </c>
      <c r="N86" s="243">
        <f>if(isblank(M85),"",if(or(N$7&lt;$D84,N$7=$D84),N85-1-N$6,N85-N$6))</f>
        <v>13</v>
      </c>
      <c r="O86" s="244"/>
      <c r="P86" s="249">
        <f t="shared" ref="P86:X86" si="97">if(isblank(P85),"",if(and(18-$D84&lt;0,18+P$7&lt;$D84),P85-2-P$6,if(or(P$7&lt;$D84,P$7=$D84),P85-1-P$6,P85-P$6)))</f>
        <v>1</v>
      </c>
      <c r="Q86" s="250">
        <f t="shared" si="97"/>
        <v>2</v>
      </c>
      <c r="R86" s="250">
        <f t="shared" si="97"/>
        <v>1</v>
      </c>
      <c r="S86" s="250">
        <f t="shared" si="97"/>
        <v>2</v>
      </c>
      <c r="T86" s="250">
        <f t="shared" si="97"/>
        <v>1</v>
      </c>
      <c r="U86" s="250">
        <f t="shared" si="97"/>
        <v>0</v>
      </c>
      <c r="V86" s="250">
        <f t="shared" si="97"/>
        <v>0</v>
      </c>
      <c r="W86" s="250">
        <f t="shared" si="97"/>
        <v>0</v>
      </c>
      <c r="X86" s="251">
        <f t="shared" si="97"/>
        <v>0</v>
      </c>
      <c r="Y86" s="243">
        <f>if(isblank(X85),"",if(or(Y$7&lt;$D84,Y$7=$D84),Y85-1-Y$6,Y85-Y$6))</f>
        <v>15</v>
      </c>
      <c r="Z86" s="252">
        <f>if(isblank(X85),"",sum(N86,Y86))</f>
        <v>28</v>
      </c>
      <c r="AA86" s="236"/>
      <c r="AB86" s="1"/>
    </row>
    <row r="87">
      <c r="B87" s="1"/>
      <c r="C87" s="253" t="s">
        <v>172</v>
      </c>
      <c r="D87" s="253">
        <f>vlookup($C84,'TILT Round 2'!$C:$AA,25,false)</f>
        <v>1</v>
      </c>
      <c r="E87" s="255">
        <f t="shared" ref="E87:M87" si="98">if(isblank(E85),"",if(E86=-1,D87+1,if(E86=-2,D87+2,if(E86=-3,D87+3,1))))</f>
        <v>1</v>
      </c>
      <c r="F87" s="256">
        <f t="shared" si="98"/>
        <v>1</v>
      </c>
      <c r="G87" s="256">
        <f t="shared" si="98"/>
        <v>2</v>
      </c>
      <c r="H87" s="256">
        <f t="shared" si="98"/>
        <v>1</v>
      </c>
      <c r="I87" s="256">
        <f t="shared" si="98"/>
        <v>1</v>
      </c>
      <c r="J87" s="256">
        <f t="shared" si="98"/>
        <v>1</v>
      </c>
      <c r="K87" s="256">
        <f t="shared" si="98"/>
        <v>1</v>
      </c>
      <c r="L87" s="256">
        <f t="shared" si="98"/>
        <v>1</v>
      </c>
      <c r="M87" s="257">
        <f t="shared" si="98"/>
        <v>1</v>
      </c>
      <c r="N87" s="258"/>
      <c r="O87" s="259">
        <f>if(isblank(N85),"",if(N86=-1,M87+1,if(N86=-2,M87+2,if(N86=-3,M87+3,1))))</f>
        <v>1</v>
      </c>
      <c r="P87" s="255">
        <f t="shared" ref="P87:X87" si="99">if(isblank(P85),"",if(P86=-1,O87+1,if(P86=-2,O87+2,if(P86=-3,O87+3,1))))</f>
        <v>1</v>
      </c>
      <c r="Q87" s="256">
        <f t="shared" si="99"/>
        <v>1</v>
      </c>
      <c r="R87" s="256">
        <f t="shared" si="99"/>
        <v>1</v>
      </c>
      <c r="S87" s="256">
        <f t="shared" si="99"/>
        <v>1</v>
      </c>
      <c r="T87" s="256">
        <f t="shared" si="99"/>
        <v>1</v>
      </c>
      <c r="U87" s="256">
        <f t="shared" si="99"/>
        <v>1</v>
      </c>
      <c r="V87" s="256">
        <f t="shared" si="99"/>
        <v>1</v>
      </c>
      <c r="W87" s="256">
        <f t="shared" si="99"/>
        <v>1</v>
      </c>
      <c r="X87" s="257">
        <f t="shared" si="99"/>
        <v>1</v>
      </c>
      <c r="Y87" s="258"/>
      <c r="Z87" s="234">
        <f>if(isblank(Y85),"",if(Y86=-1,X87+1,if(Y86=-2,X87+2,if(Y86=-3,X87+3,1))))</f>
        <v>1</v>
      </c>
      <c r="AA87" s="236"/>
      <c r="AB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B147" s="66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>
      <c r="B148" s="7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B149" s="17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B150" s="173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B151" s="173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B152" s="173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B153" s="173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B154" s="173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B155" s="173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B156" s="173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B157" s="173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B158" s="173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B159" s="173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B160" s="173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B161" s="173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B162" s="173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B163" s="17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</sheetData>
  <mergeCells count="6">
    <mergeCell ref="AA1:AB1"/>
    <mergeCell ref="C2:Z2"/>
    <mergeCell ref="AA2:AB2"/>
    <mergeCell ref="G3:K3"/>
    <mergeCell ref="S3:W3"/>
    <mergeCell ref="C4:C7"/>
  </mergeCells>
  <conditionalFormatting sqref="D12:Z12 D17:Z17 D22:Z22 D27:Z27 D32:Z32 D37:Z37 D42:Z42 D47:Z47 D52:Z52 D57:Z57 D62:Z62 D67:Z67 D72:Z72 D77:Z77 D82:Z82 D87:Z87">
    <cfRule type="cellIs" dxfId="2" priority="1" operator="equal">
      <formula>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4.0"/>
    <col customWidth="1" min="4" max="4" width="3.38"/>
    <col customWidth="1" min="5" max="5" width="0.75"/>
    <col customWidth="1" min="6" max="6" width="32.75"/>
    <col customWidth="1" min="7" max="7" width="9.88"/>
    <col customWidth="1" min="8" max="17" width="5.88"/>
    <col customWidth="1" min="18" max="18" width="1.5"/>
    <col customWidth="1" min="19" max="28" width="5.88"/>
    <col customWidth="1" min="29" max="29" width="7.13"/>
    <col customWidth="1" min="30" max="30" width="1.13"/>
    <col customWidth="1" min="31" max="32" width="20.63"/>
  </cols>
  <sheetData>
    <row r="1" ht="60.0" hidden="1" customHeight="1">
      <c r="A1" s="60"/>
      <c r="B1" s="6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6.75" customHeight="1">
      <c r="A2" s="60"/>
      <c r="B2" s="60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  <c r="AA2" s="4"/>
      <c r="AB2" s="4"/>
      <c r="AC2" s="4"/>
      <c r="AD2" s="5"/>
      <c r="AE2" s="1"/>
      <c r="AF2" s="1"/>
    </row>
    <row r="3">
      <c r="A3" s="60"/>
      <c r="B3" s="60"/>
      <c r="C3" s="1"/>
      <c r="D3" s="6">
        <v>6.0</v>
      </c>
      <c r="E3" s="7"/>
      <c r="F3" s="140" t="s">
        <v>189</v>
      </c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2"/>
      <c r="AD3" s="12"/>
      <c r="AE3" s="1"/>
      <c r="AF3" s="1"/>
    </row>
    <row r="4" ht="18.75" customHeight="1">
      <c r="A4" s="60"/>
      <c r="B4" s="60"/>
      <c r="C4" s="1"/>
      <c r="D4" s="1"/>
      <c r="E4" s="7"/>
      <c r="F4" s="1"/>
      <c r="G4" s="1"/>
      <c r="H4" s="1"/>
      <c r="I4" s="1"/>
      <c r="J4" s="13" t="s">
        <v>135</v>
      </c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3" t="s">
        <v>136</v>
      </c>
      <c r="W4" s="14"/>
      <c r="X4" s="14"/>
      <c r="Y4" s="14"/>
      <c r="Z4" s="14"/>
      <c r="AA4" s="1"/>
      <c r="AB4" s="1"/>
      <c r="AC4" s="1"/>
      <c r="AD4" s="12"/>
      <c r="AE4" s="1"/>
      <c r="AF4" s="1"/>
    </row>
    <row r="5" ht="15.0" customHeight="1">
      <c r="A5" s="60"/>
      <c r="B5" s="60"/>
      <c r="C5" s="1"/>
      <c r="D5" s="1"/>
      <c r="E5" s="7"/>
      <c r="F5" s="1"/>
      <c r="G5" s="143" t="s">
        <v>137</v>
      </c>
      <c r="H5" s="143">
        <v>1.0</v>
      </c>
      <c r="I5" s="143">
        <v>2.0</v>
      </c>
      <c r="J5" s="143">
        <v>3.0</v>
      </c>
      <c r="K5" s="143">
        <v>4.0</v>
      </c>
      <c r="L5" s="143">
        <v>5.0</v>
      </c>
      <c r="M5" s="143">
        <v>6.0</v>
      </c>
      <c r="N5" s="143">
        <v>7.0</v>
      </c>
      <c r="O5" s="143">
        <v>8.0</v>
      </c>
      <c r="P5" s="143">
        <v>9.0</v>
      </c>
      <c r="Q5" s="143" t="s">
        <v>138</v>
      </c>
      <c r="R5" s="16"/>
      <c r="S5" s="143">
        <v>10.0</v>
      </c>
      <c r="T5" s="143">
        <v>11.0</v>
      </c>
      <c r="U5" s="143">
        <v>12.0</v>
      </c>
      <c r="V5" s="143">
        <v>13.0</v>
      </c>
      <c r="W5" s="143">
        <v>14.0</v>
      </c>
      <c r="X5" s="143">
        <v>15.0</v>
      </c>
      <c r="Y5" s="143">
        <v>16.0</v>
      </c>
      <c r="Z5" s="143">
        <v>17.0</v>
      </c>
      <c r="AA5" s="143">
        <v>18.0</v>
      </c>
      <c r="AB5" s="143" t="s">
        <v>139</v>
      </c>
      <c r="AC5" s="143" t="s">
        <v>31</v>
      </c>
      <c r="AD5" s="12"/>
      <c r="AE5" s="1"/>
      <c r="AF5" s="1"/>
    </row>
    <row r="6" ht="15.0" customHeight="1">
      <c r="A6" s="60"/>
      <c r="B6" s="60"/>
      <c r="C6" s="1"/>
      <c r="D6" s="1"/>
      <c r="E6" s="7"/>
      <c r="F6" s="144" t="s">
        <v>190</v>
      </c>
      <c r="G6" s="280" t="s">
        <v>105</v>
      </c>
      <c r="H6" s="145">
        <v>531.0</v>
      </c>
      <c r="I6" s="145">
        <v>359.0</v>
      </c>
      <c r="J6" s="182">
        <v>151.0</v>
      </c>
      <c r="K6" s="145">
        <v>387.0</v>
      </c>
      <c r="L6" s="145">
        <v>505.0</v>
      </c>
      <c r="M6" s="182">
        <v>282.0</v>
      </c>
      <c r="N6" s="182">
        <v>398.0</v>
      </c>
      <c r="O6" s="145">
        <v>389.0</v>
      </c>
      <c r="P6" s="182">
        <v>166.0</v>
      </c>
      <c r="Q6" s="182">
        <f t="shared" ref="Q6:Q7" si="1">SUM(H6:P6)</f>
        <v>3168</v>
      </c>
      <c r="R6" s="17"/>
      <c r="S6" s="182">
        <v>502.0</v>
      </c>
      <c r="T6" s="145">
        <v>368.0</v>
      </c>
      <c r="U6" s="145">
        <v>371.0</v>
      </c>
      <c r="V6" s="182">
        <v>193.0</v>
      </c>
      <c r="W6" s="182">
        <v>503.0</v>
      </c>
      <c r="X6" s="145">
        <v>408.0</v>
      </c>
      <c r="Y6" s="145">
        <v>324.0</v>
      </c>
      <c r="Z6" s="182">
        <v>163.0</v>
      </c>
      <c r="AA6" s="182">
        <v>379.0</v>
      </c>
      <c r="AB6" s="182">
        <f t="shared" ref="AB6:AB7" si="2">SUM(S6:AA6)</f>
        <v>3211</v>
      </c>
      <c r="AC6" s="182">
        <f t="shared" ref="AC6:AC7" si="3">AB6+Q6</f>
        <v>6379</v>
      </c>
      <c r="AD6" s="12"/>
      <c r="AE6" s="1"/>
      <c r="AF6" s="1"/>
    </row>
    <row r="7" ht="15.0" customHeight="1">
      <c r="A7" s="60"/>
      <c r="B7" s="60"/>
      <c r="C7" s="1"/>
      <c r="D7" s="1"/>
      <c r="E7" s="7"/>
      <c r="F7" s="146"/>
      <c r="G7" s="147" t="s">
        <v>113</v>
      </c>
      <c r="H7" s="147">
        <v>5.0</v>
      </c>
      <c r="I7" s="147">
        <v>4.0</v>
      </c>
      <c r="J7" s="147">
        <v>3.0</v>
      </c>
      <c r="K7" s="147">
        <v>4.0</v>
      </c>
      <c r="L7" s="147">
        <v>5.0</v>
      </c>
      <c r="M7" s="147">
        <v>4.0</v>
      </c>
      <c r="N7" s="147">
        <v>4.0</v>
      </c>
      <c r="O7" s="147">
        <v>4.0</v>
      </c>
      <c r="P7" s="147">
        <v>3.0</v>
      </c>
      <c r="Q7" s="147">
        <f t="shared" si="1"/>
        <v>36</v>
      </c>
      <c r="R7" s="17"/>
      <c r="S7" s="147">
        <v>5.0</v>
      </c>
      <c r="T7" s="147">
        <v>4.0</v>
      </c>
      <c r="U7" s="147">
        <v>4.0</v>
      </c>
      <c r="V7" s="147">
        <v>3.0</v>
      </c>
      <c r="W7" s="147">
        <v>5.0</v>
      </c>
      <c r="X7" s="147">
        <v>4.0</v>
      </c>
      <c r="Y7" s="147">
        <v>4.0</v>
      </c>
      <c r="Z7" s="147">
        <v>3.0</v>
      </c>
      <c r="AA7" s="147">
        <v>4.0</v>
      </c>
      <c r="AB7" s="147">
        <f t="shared" si="2"/>
        <v>36</v>
      </c>
      <c r="AC7" s="147">
        <f t="shared" si="3"/>
        <v>72</v>
      </c>
      <c r="AD7" s="12"/>
      <c r="AE7" s="1"/>
      <c r="AF7" s="1"/>
    </row>
    <row r="8" ht="15.0" customHeight="1">
      <c r="A8" s="60"/>
      <c r="B8" s="60"/>
      <c r="C8" s="1"/>
      <c r="D8" s="1"/>
      <c r="E8" s="7"/>
      <c r="F8" s="1"/>
      <c r="G8" s="148" t="s">
        <v>142</v>
      </c>
      <c r="H8" s="148">
        <v>15.0</v>
      </c>
      <c r="I8" s="148">
        <v>5.0</v>
      </c>
      <c r="J8" s="148">
        <v>13.0</v>
      </c>
      <c r="K8" s="148">
        <v>7.0</v>
      </c>
      <c r="L8" s="148">
        <v>1.0</v>
      </c>
      <c r="M8" s="148">
        <v>17.0</v>
      </c>
      <c r="N8" s="148">
        <v>3.0</v>
      </c>
      <c r="O8" s="148">
        <v>9.0</v>
      </c>
      <c r="P8" s="148">
        <v>11.0</v>
      </c>
      <c r="Q8" s="148"/>
      <c r="R8" s="17"/>
      <c r="S8" s="148">
        <v>10.0</v>
      </c>
      <c r="T8" s="148">
        <v>8.0</v>
      </c>
      <c r="U8" s="148">
        <v>6.0</v>
      </c>
      <c r="V8" s="148">
        <v>2.0</v>
      </c>
      <c r="W8" s="148">
        <v>14.0</v>
      </c>
      <c r="X8" s="148">
        <v>18.0</v>
      </c>
      <c r="Y8" s="148">
        <v>16.0</v>
      </c>
      <c r="Z8" s="148">
        <v>12.0</v>
      </c>
      <c r="AA8" s="148">
        <v>4.0</v>
      </c>
      <c r="AB8" s="148"/>
      <c r="AC8" s="148"/>
      <c r="AD8" s="12"/>
      <c r="AE8" s="1"/>
      <c r="AF8" s="1"/>
    </row>
    <row r="9" ht="6.75" customHeight="1">
      <c r="A9" s="60"/>
      <c r="B9" s="60"/>
      <c r="C9" s="1"/>
      <c r="D9" s="1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2"/>
      <c r="AE9" s="1"/>
      <c r="AF9" s="1"/>
    </row>
    <row r="10" ht="11.25" customHeight="1">
      <c r="A10" s="60"/>
      <c r="B10" s="60"/>
      <c r="C10" s="1"/>
      <c r="D10" s="1"/>
      <c r="E10" s="7"/>
      <c r="F10" s="183" t="s">
        <v>100</v>
      </c>
      <c r="G10" s="150">
        <f>IFERROR(VLOOKUP(F10,HANDICAPS!$B$8:$G$23,$D$3,FALSE),"")</f>
        <v>14</v>
      </c>
      <c r="H10" s="151" t="str">
        <f t="shared" ref="H10:P10" si="4">IFERROR(IF($G10&gt;18,IF(($G10-18)&gt;H$33,"**","*"),IF($G10&gt;=H$8,"*","")),"")</f>
        <v/>
      </c>
      <c r="I10" s="151" t="str">
        <f t="shared" si="4"/>
        <v>*</v>
      </c>
      <c r="J10" s="151" t="str">
        <f t="shared" si="4"/>
        <v>*</v>
      </c>
      <c r="K10" s="151" t="str">
        <f t="shared" si="4"/>
        <v>*</v>
      </c>
      <c r="L10" s="151" t="str">
        <f t="shared" si="4"/>
        <v>*</v>
      </c>
      <c r="M10" s="151" t="str">
        <f t="shared" si="4"/>
        <v/>
      </c>
      <c r="N10" s="151" t="str">
        <f t="shared" si="4"/>
        <v>*</v>
      </c>
      <c r="O10" s="151" t="str">
        <f t="shared" si="4"/>
        <v>*</v>
      </c>
      <c r="P10" s="152" t="str">
        <f t="shared" si="4"/>
        <v>*</v>
      </c>
      <c r="Q10" s="151"/>
      <c r="R10" s="153"/>
      <c r="S10" s="151" t="str">
        <f t="shared" ref="S10:AA10" si="5">IFERROR(IF($G10&gt;18,IF(($G10-18)&gt;S$33,"**","*"),IF($G10&gt;=S$8,"*","")),"")</f>
        <v>*</v>
      </c>
      <c r="T10" s="151" t="str">
        <f t="shared" si="5"/>
        <v>*</v>
      </c>
      <c r="U10" s="151" t="str">
        <f t="shared" si="5"/>
        <v>*</v>
      </c>
      <c r="V10" s="151" t="str">
        <f t="shared" si="5"/>
        <v>*</v>
      </c>
      <c r="W10" s="151" t="str">
        <f t="shared" si="5"/>
        <v>*</v>
      </c>
      <c r="X10" s="151" t="str">
        <f t="shared" si="5"/>
        <v/>
      </c>
      <c r="Y10" s="151" t="str">
        <f t="shared" si="5"/>
        <v/>
      </c>
      <c r="Z10" s="151" t="str">
        <f t="shared" si="5"/>
        <v>*</v>
      </c>
      <c r="AA10" s="152" t="str">
        <f t="shared" si="5"/>
        <v>*</v>
      </c>
      <c r="AB10" s="151"/>
      <c r="AC10" s="151" t="str">
        <f>IF(AB10="","",SUM(Q10,AB10))</f>
        <v/>
      </c>
      <c r="AD10" s="12"/>
      <c r="AE10" s="1"/>
      <c r="AF10" s="1"/>
    </row>
    <row r="11" ht="18.75" customHeight="1">
      <c r="A11" s="60"/>
      <c r="B11" s="60" t="str">
        <f>F10</f>
        <v>MAX</v>
      </c>
      <c r="C11" s="1"/>
      <c r="D11" s="1"/>
      <c r="E11" s="7"/>
      <c r="F11" s="281"/>
      <c r="G11" s="146"/>
      <c r="H11" s="282">
        <v>5.0</v>
      </c>
      <c r="I11" s="282">
        <v>6.0</v>
      </c>
      <c r="J11" s="282">
        <v>3.0</v>
      </c>
      <c r="K11" s="282">
        <v>3.0</v>
      </c>
      <c r="L11" s="282">
        <v>7.0</v>
      </c>
      <c r="M11" s="282">
        <v>7.0</v>
      </c>
      <c r="N11" s="282">
        <v>6.0</v>
      </c>
      <c r="O11" s="282">
        <v>4.0</v>
      </c>
      <c r="P11" s="283">
        <v>4.0</v>
      </c>
      <c r="Q11" s="160">
        <f>IF(H11="","",SUM(H11:P11))</f>
        <v>45</v>
      </c>
      <c r="R11" s="153"/>
      <c r="S11" s="282">
        <v>6.0</v>
      </c>
      <c r="T11" s="282">
        <v>7.0</v>
      </c>
      <c r="U11" s="282">
        <v>7.0</v>
      </c>
      <c r="V11" s="282">
        <v>5.0</v>
      </c>
      <c r="W11" s="282">
        <v>7.0</v>
      </c>
      <c r="X11" s="282">
        <v>5.0</v>
      </c>
      <c r="Y11" s="282">
        <v>5.0</v>
      </c>
      <c r="Z11" s="282">
        <v>4.0</v>
      </c>
      <c r="AA11" s="283">
        <v>4.0</v>
      </c>
      <c r="AB11" s="160">
        <f>IF(S11="","",SUM(S11:AA11))</f>
        <v>50</v>
      </c>
      <c r="AC11" s="284">
        <f>IFERROR(Q11+AB11,"")</f>
        <v>95</v>
      </c>
      <c r="AD11" s="12"/>
      <c r="AE11" s="1"/>
      <c r="AF11" s="1"/>
    </row>
    <row r="12" ht="11.25" customHeight="1">
      <c r="A12" s="60"/>
      <c r="B12" s="60"/>
      <c r="C12" s="1"/>
      <c r="D12" s="1"/>
      <c r="E12" s="7"/>
      <c r="F12" s="281"/>
      <c r="G12" s="146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158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12"/>
      <c r="AE12" s="1"/>
      <c r="AF12" s="1"/>
    </row>
    <row r="13" ht="18.75" customHeight="1">
      <c r="A13" s="60"/>
      <c r="B13" s="60"/>
      <c r="C13" s="1"/>
      <c r="D13" s="1"/>
      <c r="E13" s="7"/>
      <c r="F13" s="154"/>
      <c r="G13" s="155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160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12"/>
      <c r="AE13" s="1"/>
      <c r="AF13" s="1"/>
    </row>
    <row r="14" ht="6.75" customHeight="1">
      <c r="A14" s="60"/>
      <c r="B14" s="60"/>
      <c r="C14" s="1"/>
      <c r="D14" s="1"/>
      <c r="E14" s="7"/>
      <c r="F14" s="16"/>
      <c r="G14" s="1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12"/>
      <c r="AE14" s="1"/>
      <c r="AF14" s="1"/>
    </row>
    <row r="15" ht="27.75" customHeight="1">
      <c r="A15" s="60"/>
      <c r="B15" s="60"/>
      <c r="C15" s="1"/>
      <c r="D15" s="1"/>
      <c r="E15" s="7"/>
      <c r="F15" s="161" t="s">
        <v>143</v>
      </c>
      <c r="G15" s="142"/>
      <c r="H15" s="162">
        <f t="shared" ref="H15:P15" si="6">IF(H11="","",MIN(IF(H10="**",H11-2,IF(H10="*",H11-1,H11)),(IF(H12="**",H13-2,IF(H12="*",H13-1,H13)))))</f>
        <v>5</v>
      </c>
      <c r="I15" s="162">
        <f t="shared" si="6"/>
        <v>5</v>
      </c>
      <c r="J15" s="162">
        <f t="shared" si="6"/>
        <v>2</v>
      </c>
      <c r="K15" s="162">
        <f t="shared" si="6"/>
        <v>2</v>
      </c>
      <c r="L15" s="162">
        <f t="shared" si="6"/>
        <v>6</v>
      </c>
      <c r="M15" s="162">
        <f t="shared" si="6"/>
        <v>7</v>
      </c>
      <c r="N15" s="162">
        <f t="shared" si="6"/>
        <v>5</v>
      </c>
      <c r="O15" s="162">
        <f t="shared" si="6"/>
        <v>3</v>
      </c>
      <c r="P15" s="163">
        <f t="shared" si="6"/>
        <v>3</v>
      </c>
      <c r="Q15" s="162">
        <f t="shared" ref="Q15:Q16" si="9">IF(H15="","",SUM(H15:P15))</f>
        <v>38</v>
      </c>
      <c r="R15" s="23"/>
      <c r="S15" s="162">
        <f t="shared" ref="S15:AA15" si="7">IF(S11="","",MIN(IF(S10="**",S11-2,IF(S10="*",S11-1,S11)),(IF(S12="**",S13-2,IF(S12="*",S13-1,S13)))))</f>
        <v>5</v>
      </c>
      <c r="T15" s="162">
        <f t="shared" si="7"/>
        <v>6</v>
      </c>
      <c r="U15" s="162">
        <f t="shared" si="7"/>
        <v>6</v>
      </c>
      <c r="V15" s="162">
        <f t="shared" si="7"/>
        <v>4</v>
      </c>
      <c r="W15" s="162">
        <f t="shared" si="7"/>
        <v>6</v>
      </c>
      <c r="X15" s="162">
        <f t="shared" si="7"/>
        <v>5</v>
      </c>
      <c r="Y15" s="162">
        <f t="shared" si="7"/>
        <v>5</v>
      </c>
      <c r="Z15" s="162">
        <f t="shared" si="7"/>
        <v>3</v>
      </c>
      <c r="AA15" s="163">
        <f t="shared" si="7"/>
        <v>3</v>
      </c>
      <c r="AB15" s="162">
        <f t="shared" ref="AB15:AB16" si="11">IF(S15="","",SUM(S15:AA15))</f>
        <v>43</v>
      </c>
      <c r="AC15" s="162">
        <f t="shared" ref="AC15:AC16" si="12">IF(AB15="","",AB15+Q15)</f>
        <v>81</v>
      </c>
      <c r="AD15" s="12"/>
      <c r="AE15" s="1"/>
      <c r="AF15" s="1"/>
    </row>
    <row r="16" ht="27.75" customHeight="1">
      <c r="A16" s="60"/>
      <c r="B16" s="60"/>
      <c r="C16" s="1"/>
      <c r="D16" s="1"/>
      <c r="E16" s="7"/>
      <c r="F16" s="161" t="s">
        <v>144</v>
      </c>
      <c r="G16" s="142"/>
      <c r="H16" s="164">
        <f t="shared" ref="H16:P16" si="8">IF(H15="","",IF(H15=H23,0.5,IF(H15&lt;H23,1,0)))</f>
        <v>1</v>
      </c>
      <c r="I16" s="164">
        <f t="shared" si="8"/>
        <v>0</v>
      </c>
      <c r="J16" s="164">
        <f t="shared" si="8"/>
        <v>1</v>
      </c>
      <c r="K16" s="164">
        <f t="shared" si="8"/>
        <v>1</v>
      </c>
      <c r="L16" s="164">
        <f t="shared" si="8"/>
        <v>1</v>
      </c>
      <c r="M16" s="164">
        <f t="shared" si="8"/>
        <v>0</v>
      </c>
      <c r="N16" s="164">
        <f t="shared" si="8"/>
        <v>0.5</v>
      </c>
      <c r="O16" s="164">
        <f t="shared" si="8"/>
        <v>1</v>
      </c>
      <c r="P16" s="165">
        <f t="shared" si="8"/>
        <v>0.5</v>
      </c>
      <c r="Q16" s="164">
        <f t="shared" si="9"/>
        <v>6</v>
      </c>
      <c r="R16" s="23"/>
      <c r="S16" s="164">
        <f t="shared" ref="S16:AA16" si="10">IF(S15="","",IF(S15=S23,0.5,IF(S15&lt;S23,1,0)))</f>
        <v>0.5</v>
      </c>
      <c r="T16" s="164">
        <f t="shared" si="10"/>
        <v>0</v>
      </c>
      <c r="U16" s="164">
        <f t="shared" si="10"/>
        <v>0.5</v>
      </c>
      <c r="V16" s="164">
        <f t="shared" si="10"/>
        <v>0</v>
      </c>
      <c r="W16" s="164">
        <f t="shared" si="10"/>
        <v>0.5</v>
      </c>
      <c r="X16" s="164">
        <f t="shared" si="10"/>
        <v>0.5</v>
      </c>
      <c r="Y16" s="164">
        <f t="shared" si="10"/>
        <v>0.5</v>
      </c>
      <c r="Z16" s="164">
        <f t="shared" si="10"/>
        <v>0</v>
      </c>
      <c r="AA16" s="165">
        <f t="shared" si="10"/>
        <v>1</v>
      </c>
      <c r="AB16" s="164">
        <f t="shared" si="11"/>
        <v>3.5</v>
      </c>
      <c r="AC16" s="164">
        <f t="shared" si="12"/>
        <v>9.5</v>
      </c>
      <c r="AD16" s="12"/>
      <c r="AE16" s="1"/>
      <c r="AF16" s="1"/>
    </row>
    <row r="17" ht="6.75" customHeight="1">
      <c r="A17" s="60"/>
      <c r="B17" s="60"/>
      <c r="C17" s="1"/>
      <c r="D17" s="1"/>
      <c r="E17" s="7"/>
      <c r="F17" s="16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12"/>
      <c r="AE17" s="1"/>
      <c r="AF17" s="1"/>
    </row>
    <row r="18" ht="11.25" customHeight="1">
      <c r="A18" s="60"/>
      <c r="B18" s="60"/>
      <c r="C18" s="1"/>
      <c r="D18" s="1"/>
      <c r="E18" s="7"/>
      <c r="F18" s="183" t="s">
        <v>128</v>
      </c>
      <c r="G18" s="150">
        <f>IFERROR(VLOOKUP(F18,HANDICAPS!$B$8:$G$23,$D$3,FALSE),"")</f>
        <v>8</v>
      </c>
      <c r="H18" s="151" t="str">
        <f t="shared" ref="H18:P18" si="13">IFERROR(IF($G18&gt;18,IF(($G18-18)&gt;H$33,"**","*"),IF($G18&gt;=H$8,"*","")),"")</f>
        <v/>
      </c>
      <c r="I18" s="151" t="str">
        <f t="shared" si="13"/>
        <v>*</v>
      </c>
      <c r="J18" s="151" t="str">
        <f t="shared" si="13"/>
        <v/>
      </c>
      <c r="K18" s="151" t="str">
        <f t="shared" si="13"/>
        <v>*</v>
      </c>
      <c r="L18" s="151" t="str">
        <f t="shared" si="13"/>
        <v>*</v>
      </c>
      <c r="M18" s="151" t="str">
        <f t="shared" si="13"/>
        <v/>
      </c>
      <c r="N18" s="151" t="str">
        <f t="shared" si="13"/>
        <v>*</v>
      </c>
      <c r="O18" s="151" t="str">
        <f t="shared" si="13"/>
        <v/>
      </c>
      <c r="P18" s="152" t="str">
        <f t="shared" si="13"/>
        <v/>
      </c>
      <c r="Q18" s="151"/>
      <c r="R18" s="153"/>
      <c r="S18" s="151" t="str">
        <f t="shared" ref="S18:AA18" si="14">IFERROR(IF($G18&gt;18,IF(($G18-18)&gt;S$33,"**","*"),IF($G18&gt;=S$8,"*","")),"")</f>
        <v/>
      </c>
      <c r="T18" s="151" t="str">
        <f t="shared" si="14"/>
        <v>*</v>
      </c>
      <c r="U18" s="151" t="str">
        <f t="shared" si="14"/>
        <v>*</v>
      </c>
      <c r="V18" s="151" t="str">
        <f t="shared" si="14"/>
        <v>*</v>
      </c>
      <c r="W18" s="151" t="str">
        <f t="shared" si="14"/>
        <v/>
      </c>
      <c r="X18" s="151" t="str">
        <f t="shared" si="14"/>
        <v/>
      </c>
      <c r="Y18" s="151" t="str">
        <f t="shared" si="14"/>
        <v/>
      </c>
      <c r="Z18" s="151" t="str">
        <f t="shared" si="14"/>
        <v/>
      </c>
      <c r="AA18" s="152" t="str">
        <f t="shared" si="14"/>
        <v>*</v>
      </c>
      <c r="AB18" s="151"/>
      <c r="AC18" s="151" t="str">
        <f>IF(AB18="","",SUM(Q18,AB18))</f>
        <v/>
      </c>
      <c r="AD18" s="12"/>
      <c r="AE18" s="1"/>
      <c r="AF18" s="1"/>
    </row>
    <row r="19" ht="18.75" customHeight="1">
      <c r="A19" s="60"/>
      <c r="B19" s="60" t="str">
        <f>F18</f>
        <v>SLICK</v>
      </c>
      <c r="C19" s="1"/>
      <c r="D19" s="1"/>
      <c r="E19" s="7"/>
      <c r="F19" s="281"/>
      <c r="G19" s="146"/>
      <c r="H19" s="282">
        <v>7.0</v>
      </c>
      <c r="I19" s="282">
        <v>5.0</v>
      </c>
      <c r="J19" s="282">
        <v>3.0</v>
      </c>
      <c r="K19" s="282">
        <v>5.0</v>
      </c>
      <c r="L19" s="282">
        <v>8.0</v>
      </c>
      <c r="M19" s="282">
        <v>6.0</v>
      </c>
      <c r="N19" s="282">
        <v>6.0</v>
      </c>
      <c r="O19" s="282">
        <v>4.0</v>
      </c>
      <c r="P19" s="283">
        <v>3.0</v>
      </c>
      <c r="Q19" s="160">
        <f>IF(H19="","",SUM(H19:P19))</f>
        <v>47</v>
      </c>
      <c r="R19" s="153"/>
      <c r="S19" s="282">
        <v>5.0</v>
      </c>
      <c r="T19" s="282">
        <v>5.0</v>
      </c>
      <c r="U19" s="282">
        <v>7.0</v>
      </c>
      <c r="V19" s="282">
        <v>4.0</v>
      </c>
      <c r="W19" s="282">
        <v>6.0</v>
      </c>
      <c r="X19" s="282">
        <v>5.0</v>
      </c>
      <c r="Y19" s="282">
        <v>5.0</v>
      </c>
      <c r="Z19" s="282">
        <v>2.0</v>
      </c>
      <c r="AA19" s="283">
        <v>5.0</v>
      </c>
      <c r="AB19" s="160">
        <f>IF(S19="","",SUM(S19:AA19))</f>
        <v>44</v>
      </c>
      <c r="AC19" s="284">
        <f>IFERROR(Q19+AB19,"")</f>
        <v>91</v>
      </c>
      <c r="AD19" s="12"/>
      <c r="AE19" s="1"/>
      <c r="AF19" s="1"/>
    </row>
    <row r="20" ht="11.25" customHeight="1">
      <c r="A20" s="60"/>
      <c r="B20" s="60"/>
      <c r="C20" s="1"/>
      <c r="D20" s="1"/>
      <c r="E20" s="7"/>
      <c r="F20" s="281"/>
      <c r="G20" s="146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158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12"/>
      <c r="AE20" s="1"/>
      <c r="AF20" s="1"/>
    </row>
    <row r="21" ht="18.75" customHeight="1">
      <c r="A21" s="60"/>
      <c r="B21" s="60"/>
      <c r="C21" s="1"/>
      <c r="D21" s="1"/>
      <c r="E21" s="7"/>
      <c r="F21" s="154"/>
      <c r="G21" s="155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160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12"/>
      <c r="AE21" s="1"/>
      <c r="AF21" s="1"/>
    </row>
    <row r="22" ht="6.75" customHeight="1">
      <c r="A22" s="60"/>
      <c r="B22" s="60"/>
      <c r="C22" s="1"/>
      <c r="D22" s="1"/>
      <c r="E22" s="7"/>
      <c r="F22" s="16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2"/>
      <c r="AE22" s="1"/>
      <c r="AF22" s="1"/>
    </row>
    <row r="23" ht="27.75" customHeight="1">
      <c r="A23" s="60"/>
      <c r="B23" s="60"/>
      <c r="C23" s="1"/>
      <c r="D23" s="1"/>
      <c r="E23" s="7"/>
      <c r="F23" s="161" t="s">
        <v>143</v>
      </c>
      <c r="G23" s="142"/>
      <c r="H23" s="162">
        <f t="shared" ref="H23:P23" si="15">IF(H19="","",MIN(IF(H18="**",H19-2,IF(H18="*",H19-1,H19)),(IF(H20="**",H21-2,IF(H20="*",H21-1,H21)))))</f>
        <v>7</v>
      </c>
      <c r="I23" s="162">
        <f t="shared" si="15"/>
        <v>4</v>
      </c>
      <c r="J23" s="162">
        <f t="shared" si="15"/>
        <v>3</v>
      </c>
      <c r="K23" s="162">
        <f t="shared" si="15"/>
        <v>4</v>
      </c>
      <c r="L23" s="162">
        <f t="shared" si="15"/>
        <v>7</v>
      </c>
      <c r="M23" s="162">
        <f t="shared" si="15"/>
        <v>6</v>
      </c>
      <c r="N23" s="162">
        <f t="shared" si="15"/>
        <v>5</v>
      </c>
      <c r="O23" s="162">
        <f t="shared" si="15"/>
        <v>4</v>
      </c>
      <c r="P23" s="163">
        <f t="shared" si="15"/>
        <v>3</v>
      </c>
      <c r="Q23" s="162">
        <f t="shared" ref="Q23:Q24" si="18">IF(H23="","",SUM(H23:P23))</f>
        <v>43</v>
      </c>
      <c r="R23" s="23"/>
      <c r="S23" s="162">
        <f t="shared" ref="S23:AA23" si="16">IF(S19="","",MIN(IF(S18="**",S19-2,IF(S18="*",S19-1,S19)),(IF(S20="**",S21-2,IF(S20="*",S21-1,S21)))))</f>
        <v>5</v>
      </c>
      <c r="T23" s="162">
        <f t="shared" si="16"/>
        <v>4</v>
      </c>
      <c r="U23" s="162">
        <f t="shared" si="16"/>
        <v>6</v>
      </c>
      <c r="V23" s="162">
        <f t="shared" si="16"/>
        <v>3</v>
      </c>
      <c r="W23" s="162">
        <f t="shared" si="16"/>
        <v>6</v>
      </c>
      <c r="X23" s="162">
        <f t="shared" si="16"/>
        <v>5</v>
      </c>
      <c r="Y23" s="162">
        <f t="shared" si="16"/>
        <v>5</v>
      </c>
      <c r="Z23" s="162">
        <f t="shared" si="16"/>
        <v>2</v>
      </c>
      <c r="AA23" s="163">
        <f t="shared" si="16"/>
        <v>4</v>
      </c>
      <c r="AB23" s="162">
        <f t="shared" ref="AB23:AB24" si="20">IF(S23="","",SUM(S23:AA23))</f>
        <v>40</v>
      </c>
      <c r="AC23" s="162">
        <f t="shared" ref="AC23:AC24" si="21">IF(AB23="","",AB23+Q23)</f>
        <v>83</v>
      </c>
      <c r="AD23" s="12"/>
      <c r="AE23" s="1"/>
      <c r="AF23" s="1"/>
    </row>
    <row r="24" ht="27.75" customHeight="1">
      <c r="A24" s="60"/>
      <c r="B24" s="60"/>
      <c r="C24" s="1"/>
      <c r="D24" s="1"/>
      <c r="E24" s="7"/>
      <c r="F24" s="161" t="s">
        <v>144</v>
      </c>
      <c r="G24" s="142"/>
      <c r="H24" s="164">
        <f t="shared" ref="H24:P24" si="17">IF(H23="","",IF(H23=H15,0.5,IF(H23&lt;H15,1,0)))</f>
        <v>0</v>
      </c>
      <c r="I24" s="164">
        <f t="shared" si="17"/>
        <v>1</v>
      </c>
      <c r="J24" s="164">
        <f t="shared" si="17"/>
        <v>0</v>
      </c>
      <c r="K24" s="164">
        <f t="shared" si="17"/>
        <v>0</v>
      </c>
      <c r="L24" s="164">
        <f t="shared" si="17"/>
        <v>0</v>
      </c>
      <c r="M24" s="164">
        <f t="shared" si="17"/>
        <v>1</v>
      </c>
      <c r="N24" s="164">
        <f t="shared" si="17"/>
        <v>0.5</v>
      </c>
      <c r="O24" s="164">
        <f t="shared" si="17"/>
        <v>0</v>
      </c>
      <c r="P24" s="165">
        <f t="shared" si="17"/>
        <v>0.5</v>
      </c>
      <c r="Q24" s="164">
        <f t="shared" si="18"/>
        <v>3</v>
      </c>
      <c r="R24" s="23"/>
      <c r="S24" s="164">
        <f t="shared" ref="S24:AA24" si="19">IF(S23="","",IF(S23=S15,0.5,IF(S23&lt;S15,1,0)))</f>
        <v>0.5</v>
      </c>
      <c r="T24" s="164">
        <f t="shared" si="19"/>
        <v>1</v>
      </c>
      <c r="U24" s="164">
        <f t="shared" si="19"/>
        <v>0.5</v>
      </c>
      <c r="V24" s="164">
        <f t="shared" si="19"/>
        <v>1</v>
      </c>
      <c r="W24" s="164">
        <f t="shared" si="19"/>
        <v>0.5</v>
      </c>
      <c r="X24" s="164">
        <f t="shared" si="19"/>
        <v>0.5</v>
      </c>
      <c r="Y24" s="164">
        <f t="shared" si="19"/>
        <v>0.5</v>
      </c>
      <c r="Z24" s="164">
        <f t="shared" si="19"/>
        <v>1</v>
      </c>
      <c r="AA24" s="165">
        <f t="shared" si="19"/>
        <v>0</v>
      </c>
      <c r="AB24" s="164">
        <f t="shared" si="20"/>
        <v>5.5</v>
      </c>
      <c r="AC24" s="164">
        <f t="shared" si="21"/>
        <v>8.5</v>
      </c>
      <c r="AD24" s="12"/>
      <c r="AE24" s="1"/>
      <c r="AF24" s="1"/>
    </row>
    <row r="25" ht="6.75" customHeight="1">
      <c r="A25" s="60"/>
      <c r="B25" s="60"/>
      <c r="C25" s="1"/>
      <c r="D25" s="1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7"/>
      <c r="AE25" s="1"/>
      <c r="AF25" s="1"/>
    </row>
    <row r="26" ht="60.0" customHeight="1">
      <c r="A26" s="60"/>
      <c r="B26" s="6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6.75" customHeight="1">
      <c r="A27" s="60"/>
      <c r="B27" s="60"/>
      <c r="C27" s="1"/>
      <c r="D27" s="1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  <c r="AA27" s="4"/>
      <c r="AB27" s="4"/>
      <c r="AC27" s="4"/>
      <c r="AD27" s="5"/>
      <c r="AE27" s="1"/>
      <c r="AF27" s="1"/>
    </row>
    <row r="28" ht="15.75" customHeight="1">
      <c r="A28" s="60"/>
      <c r="B28" s="60"/>
      <c r="C28" s="1"/>
      <c r="D28" s="1"/>
      <c r="E28" s="7"/>
      <c r="F28" s="140" t="str">
        <f>F3</f>
        <v>MICHIGAN OPEN 2022 - ROUND 4 - THE MONUMENT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2"/>
      <c r="AD28" s="12"/>
      <c r="AE28" s="1"/>
      <c r="AF28" s="1"/>
    </row>
    <row r="29" ht="18.75" customHeight="1">
      <c r="A29" s="60"/>
      <c r="B29" s="60"/>
      <c r="C29" s="1"/>
      <c r="D29" s="1"/>
      <c r="E29" s="7"/>
      <c r="F29" s="1"/>
      <c r="G29" s="1"/>
      <c r="H29" s="1"/>
      <c r="I29" s="1"/>
      <c r="J29" s="13" t="str">
        <f>J4</f>
        <v>FRONT</v>
      </c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3" t="str">
        <f>V4</f>
        <v>BACK</v>
      </c>
      <c r="W29" s="14"/>
      <c r="X29" s="14"/>
      <c r="Y29" s="14"/>
      <c r="Z29" s="14"/>
      <c r="AA29" s="1"/>
      <c r="AB29" s="1"/>
      <c r="AC29" s="1"/>
      <c r="AD29" s="12"/>
      <c r="AE29" s="1"/>
      <c r="AF29" s="1"/>
    </row>
    <row r="30" ht="15.0" customHeight="1">
      <c r="A30" s="60"/>
      <c r="B30" s="60"/>
      <c r="C30" s="1"/>
      <c r="D30" s="1"/>
      <c r="E30" s="7"/>
      <c r="F30" s="1"/>
      <c r="G30" s="143" t="str">
        <f t="shared" ref="G30:Q30" si="22">G5</f>
        <v>HOLE</v>
      </c>
      <c r="H30" s="143">
        <f t="shared" si="22"/>
        <v>1</v>
      </c>
      <c r="I30" s="143">
        <f t="shared" si="22"/>
        <v>2</v>
      </c>
      <c r="J30" s="143">
        <f t="shared" si="22"/>
        <v>3</v>
      </c>
      <c r="K30" s="143">
        <f t="shared" si="22"/>
        <v>4</v>
      </c>
      <c r="L30" s="143">
        <f t="shared" si="22"/>
        <v>5</v>
      </c>
      <c r="M30" s="143">
        <f t="shared" si="22"/>
        <v>6</v>
      </c>
      <c r="N30" s="143">
        <f t="shared" si="22"/>
        <v>7</v>
      </c>
      <c r="O30" s="143">
        <f t="shared" si="22"/>
        <v>8</v>
      </c>
      <c r="P30" s="143">
        <f t="shared" si="22"/>
        <v>9</v>
      </c>
      <c r="Q30" s="143" t="str">
        <f t="shared" si="22"/>
        <v>OUT</v>
      </c>
      <c r="R30" s="16"/>
      <c r="S30" s="143">
        <f t="shared" ref="S30:AC30" si="23">S5</f>
        <v>10</v>
      </c>
      <c r="T30" s="143">
        <f t="shared" si="23"/>
        <v>11</v>
      </c>
      <c r="U30" s="143">
        <f t="shared" si="23"/>
        <v>12</v>
      </c>
      <c r="V30" s="143">
        <f t="shared" si="23"/>
        <v>13</v>
      </c>
      <c r="W30" s="143">
        <f t="shared" si="23"/>
        <v>14</v>
      </c>
      <c r="X30" s="143">
        <f t="shared" si="23"/>
        <v>15</v>
      </c>
      <c r="Y30" s="143">
        <f t="shared" si="23"/>
        <v>16</v>
      </c>
      <c r="Z30" s="143">
        <f t="shared" si="23"/>
        <v>17</v>
      </c>
      <c r="AA30" s="143">
        <f t="shared" si="23"/>
        <v>18</v>
      </c>
      <c r="AB30" s="143" t="str">
        <f t="shared" si="23"/>
        <v>IN</v>
      </c>
      <c r="AC30" s="143" t="str">
        <f t="shared" si="23"/>
        <v>TOTAL</v>
      </c>
      <c r="AD30" s="12"/>
      <c r="AE30" s="1"/>
      <c r="AF30" s="1"/>
    </row>
    <row r="31" ht="15.0" customHeight="1">
      <c r="A31" s="60"/>
      <c r="B31" s="60"/>
      <c r="C31" s="1"/>
      <c r="D31" s="1"/>
      <c r="E31" s="7"/>
      <c r="F31" s="144" t="s">
        <v>190</v>
      </c>
      <c r="G31" s="182" t="str">
        <f t="shared" ref="G31:Q31" si="24">G6</f>
        <v>COMBO</v>
      </c>
      <c r="H31" s="182">
        <f t="shared" si="24"/>
        <v>531</v>
      </c>
      <c r="I31" s="182">
        <f t="shared" si="24"/>
        <v>359</v>
      </c>
      <c r="J31" s="182">
        <f t="shared" si="24"/>
        <v>151</v>
      </c>
      <c r="K31" s="182">
        <f t="shared" si="24"/>
        <v>387</v>
      </c>
      <c r="L31" s="182">
        <f t="shared" si="24"/>
        <v>505</v>
      </c>
      <c r="M31" s="182">
        <f t="shared" si="24"/>
        <v>282</v>
      </c>
      <c r="N31" s="182">
        <f t="shared" si="24"/>
        <v>398</v>
      </c>
      <c r="O31" s="182">
        <f t="shared" si="24"/>
        <v>389</v>
      </c>
      <c r="P31" s="182">
        <f t="shared" si="24"/>
        <v>166</v>
      </c>
      <c r="Q31" s="182">
        <f t="shared" si="24"/>
        <v>3168</v>
      </c>
      <c r="R31" s="17"/>
      <c r="S31" s="182">
        <f t="shared" ref="S31:AB31" si="25">S6</f>
        <v>502</v>
      </c>
      <c r="T31" s="182">
        <f t="shared" si="25"/>
        <v>368</v>
      </c>
      <c r="U31" s="182">
        <f t="shared" si="25"/>
        <v>371</v>
      </c>
      <c r="V31" s="182">
        <f t="shared" si="25"/>
        <v>193</v>
      </c>
      <c r="W31" s="182">
        <f t="shared" si="25"/>
        <v>503</v>
      </c>
      <c r="X31" s="182">
        <f t="shared" si="25"/>
        <v>408</v>
      </c>
      <c r="Y31" s="182">
        <f t="shared" si="25"/>
        <v>324</v>
      </c>
      <c r="Z31" s="182">
        <f t="shared" si="25"/>
        <v>163</v>
      </c>
      <c r="AA31" s="182">
        <f t="shared" si="25"/>
        <v>379</v>
      </c>
      <c r="AB31" s="182">
        <f t="shared" si="25"/>
        <v>3211</v>
      </c>
      <c r="AC31" s="182">
        <f t="shared" ref="AC31:AC32" si="28">AB31+Q31</f>
        <v>6379</v>
      </c>
      <c r="AD31" s="12"/>
      <c r="AE31" s="1"/>
      <c r="AF31" s="1"/>
    </row>
    <row r="32" ht="15.0" customHeight="1">
      <c r="A32" s="60"/>
      <c r="B32" s="60"/>
      <c r="C32" s="1"/>
      <c r="D32" s="1"/>
      <c r="E32" s="7"/>
      <c r="F32" s="146"/>
      <c r="G32" s="147" t="str">
        <f t="shared" ref="G32:Q32" si="26">G7</f>
        <v>PAR</v>
      </c>
      <c r="H32" s="147">
        <f t="shared" si="26"/>
        <v>5</v>
      </c>
      <c r="I32" s="147">
        <f t="shared" si="26"/>
        <v>4</v>
      </c>
      <c r="J32" s="147">
        <f t="shared" si="26"/>
        <v>3</v>
      </c>
      <c r="K32" s="147">
        <f t="shared" si="26"/>
        <v>4</v>
      </c>
      <c r="L32" s="147">
        <f t="shared" si="26"/>
        <v>5</v>
      </c>
      <c r="M32" s="147">
        <f t="shared" si="26"/>
        <v>4</v>
      </c>
      <c r="N32" s="147">
        <f t="shared" si="26"/>
        <v>4</v>
      </c>
      <c r="O32" s="147">
        <f t="shared" si="26"/>
        <v>4</v>
      </c>
      <c r="P32" s="147">
        <f t="shared" si="26"/>
        <v>3</v>
      </c>
      <c r="Q32" s="147">
        <f t="shared" si="26"/>
        <v>36</v>
      </c>
      <c r="R32" s="17"/>
      <c r="S32" s="147">
        <f t="shared" ref="S32:AB32" si="27">S7</f>
        <v>5</v>
      </c>
      <c r="T32" s="147">
        <f t="shared" si="27"/>
        <v>4</v>
      </c>
      <c r="U32" s="147">
        <f t="shared" si="27"/>
        <v>4</v>
      </c>
      <c r="V32" s="147">
        <f t="shared" si="27"/>
        <v>3</v>
      </c>
      <c r="W32" s="147">
        <f t="shared" si="27"/>
        <v>5</v>
      </c>
      <c r="X32" s="147">
        <f t="shared" si="27"/>
        <v>4</v>
      </c>
      <c r="Y32" s="147">
        <f t="shared" si="27"/>
        <v>4</v>
      </c>
      <c r="Z32" s="147">
        <f t="shared" si="27"/>
        <v>3</v>
      </c>
      <c r="AA32" s="147">
        <f t="shared" si="27"/>
        <v>4</v>
      </c>
      <c r="AB32" s="147">
        <f t="shared" si="27"/>
        <v>36</v>
      </c>
      <c r="AC32" s="147">
        <f t="shared" si="28"/>
        <v>72</v>
      </c>
      <c r="AD32" s="12"/>
      <c r="AE32" s="1"/>
      <c r="AF32" s="1"/>
    </row>
    <row r="33" ht="15.0" customHeight="1">
      <c r="A33" s="60"/>
      <c r="B33" s="60"/>
      <c r="C33" s="1"/>
      <c r="D33" s="1"/>
      <c r="E33" s="7"/>
      <c r="F33" s="1"/>
      <c r="G33" s="148" t="str">
        <f t="shared" ref="G33:P33" si="29">G8</f>
        <v>HDCP</v>
      </c>
      <c r="H33" s="148">
        <f t="shared" si="29"/>
        <v>15</v>
      </c>
      <c r="I33" s="148">
        <f t="shared" si="29"/>
        <v>5</v>
      </c>
      <c r="J33" s="148">
        <f t="shared" si="29"/>
        <v>13</v>
      </c>
      <c r="K33" s="148">
        <f t="shared" si="29"/>
        <v>7</v>
      </c>
      <c r="L33" s="148">
        <f t="shared" si="29"/>
        <v>1</v>
      </c>
      <c r="M33" s="148">
        <f t="shared" si="29"/>
        <v>17</v>
      </c>
      <c r="N33" s="148">
        <f t="shared" si="29"/>
        <v>3</v>
      </c>
      <c r="O33" s="148">
        <f t="shared" si="29"/>
        <v>9</v>
      </c>
      <c r="P33" s="148">
        <f t="shared" si="29"/>
        <v>11</v>
      </c>
      <c r="Q33" s="148"/>
      <c r="R33" s="17"/>
      <c r="S33" s="148">
        <f t="shared" ref="S33:AA33" si="30">S8</f>
        <v>10</v>
      </c>
      <c r="T33" s="148">
        <f t="shared" si="30"/>
        <v>8</v>
      </c>
      <c r="U33" s="148">
        <f t="shared" si="30"/>
        <v>6</v>
      </c>
      <c r="V33" s="148">
        <f t="shared" si="30"/>
        <v>2</v>
      </c>
      <c r="W33" s="148">
        <f t="shared" si="30"/>
        <v>14</v>
      </c>
      <c r="X33" s="148">
        <f t="shared" si="30"/>
        <v>18</v>
      </c>
      <c r="Y33" s="148">
        <f t="shared" si="30"/>
        <v>16</v>
      </c>
      <c r="Z33" s="148">
        <f t="shared" si="30"/>
        <v>12</v>
      </c>
      <c r="AA33" s="148">
        <f t="shared" si="30"/>
        <v>4</v>
      </c>
      <c r="AB33" s="148"/>
      <c r="AC33" s="148"/>
      <c r="AD33" s="12"/>
      <c r="AE33" s="1"/>
      <c r="AF33" s="1"/>
    </row>
    <row r="34" ht="6.75" customHeight="1">
      <c r="A34" s="60"/>
      <c r="B34" s="60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2"/>
      <c r="AE34" s="1"/>
      <c r="AF34" s="1"/>
    </row>
    <row r="35" ht="11.25" customHeight="1">
      <c r="A35" s="60"/>
      <c r="B35" s="60"/>
      <c r="C35" s="1"/>
      <c r="D35" s="1"/>
      <c r="E35" s="7"/>
      <c r="F35" s="183" t="s">
        <v>121</v>
      </c>
      <c r="G35" s="150">
        <f>IFERROR(VLOOKUP(F35,HANDICAPS!$B$8:$G$23,$D$3,FALSE),"")</f>
        <v>-1</v>
      </c>
      <c r="H35" s="151" t="str">
        <f t="shared" ref="H35:P35" si="31">IFERROR(IF($G35&gt;18,IF(($G35-18)&gt;H$33,"**","*"),IF($G35&gt;=H$8,"*","")),"")</f>
        <v/>
      </c>
      <c r="I35" s="151" t="str">
        <f t="shared" si="31"/>
        <v/>
      </c>
      <c r="J35" s="151" t="str">
        <f t="shared" si="31"/>
        <v/>
      </c>
      <c r="K35" s="151" t="str">
        <f t="shared" si="31"/>
        <v/>
      </c>
      <c r="L35" s="151" t="str">
        <f t="shared" si="31"/>
        <v/>
      </c>
      <c r="M35" s="151" t="str">
        <f t="shared" si="31"/>
        <v/>
      </c>
      <c r="N35" s="151" t="str">
        <f t="shared" si="31"/>
        <v/>
      </c>
      <c r="O35" s="151" t="str">
        <f t="shared" si="31"/>
        <v/>
      </c>
      <c r="P35" s="152" t="str">
        <f t="shared" si="31"/>
        <v/>
      </c>
      <c r="Q35" s="151"/>
      <c r="R35" s="153"/>
      <c r="S35" s="151" t="str">
        <f t="shared" ref="S35:AA35" si="32">IFERROR(IF($G35&gt;18,IF(($G35-18)&gt;S$33,"**","*"),IF($G35&gt;=S$8,"*","")),"")</f>
        <v/>
      </c>
      <c r="T35" s="151" t="str">
        <f t="shared" si="32"/>
        <v/>
      </c>
      <c r="U35" s="151" t="str">
        <f t="shared" si="32"/>
        <v/>
      </c>
      <c r="V35" s="151" t="str">
        <f t="shared" si="32"/>
        <v/>
      </c>
      <c r="W35" s="151" t="str">
        <f t="shared" si="32"/>
        <v/>
      </c>
      <c r="X35" s="151" t="str">
        <f t="shared" si="32"/>
        <v/>
      </c>
      <c r="Y35" s="151" t="str">
        <f t="shared" si="32"/>
        <v/>
      </c>
      <c r="Z35" s="151" t="str">
        <f t="shared" si="32"/>
        <v/>
      </c>
      <c r="AA35" s="152" t="str">
        <f t="shared" si="32"/>
        <v/>
      </c>
      <c r="AB35" s="151"/>
      <c r="AC35" s="151" t="str">
        <f>IF(AB35="","",SUM(Q35,AB35))</f>
        <v/>
      </c>
      <c r="AD35" s="12"/>
      <c r="AE35" s="1"/>
      <c r="AF35" s="1"/>
    </row>
    <row r="36" ht="18.75" customHeight="1">
      <c r="A36" s="60"/>
      <c r="B36" s="60" t="str">
        <f>F35</f>
        <v>DEREK</v>
      </c>
      <c r="C36" s="1"/>
      <c r="D36" s="1"/>
      <c r="E36" s="7"/>
      <c r="F36" s="281"/>
      <c r="G36" s="146"/>
      <c r="H36" s="282">
        <v>7.0</v>
      </c>
      <c r="I36" s="282">
        <v>4.0</v>
      </c>
      <c r="J36" s="282">
        <v>4.0</v>
      </c>
      <c r="K36" s="282">
        <v>5.0</v>
      </c>
      <c r="L36" s="282">
        <v>5.0</v>
      </c>
      <c r="M36" s="282">
        <v>4.0</v>
      </c>
      <c r="N36" s="282">
        <v>5.0</v>
      </c>
      <c r="O36" s="282">
        <v>4.0</v>
      </c>
      <c r="P36" s="282">
        <v>3.0</v>
      </c>
      <c r="Q36" s="160">
        <f>IF(H36="","",SUM(H36:P36))</f>
        <v>41</v>
      </c>
      <c r="R36" s="153"/>
      <c r="S36" s="282">
        <v>5.0</v>
      </c>
      <c r="T36" s="282">
        <v>4.0</v>
      </c>
      <c r="U36" s="282">
        <v>4.0</v>
      </c>
      <c r="V36" s="282">
        <v>3.0</v>
      </c>
      <c r="W36" s="282">
        <v>5.0</v>
      </c>
      <c r="X36" s="282">
        <v>6.0</v>
      </c>
      <c r="Y36" s="282">
        <v>4.0</v>
      </c>
      <c r="Z36" s="282">
        <v>4.0</v>
      </c>
      <c r="AA36" s="282">
        <v>5.0</v>
      </c>
      <c r="AB36" s="160">
        <f>IF(S36="","",SUM(S36:AA36))</f>
        <v>40</v>
      </c>
      <c r="AC36" s="160">
        <f>IFERROR(Q36+AB36,"")</f>
        <v>81</v>
      </c>
      <c r="AD36" s="12"/>
      <c r="AE36" s="1"/>
      <c r="AF36" s="1"/>
    </row>
    <row r="37" ht="11.25" customHeight="1">
      <c r="A37" s="60"/>
      <c r="B37" s="60"/>
      <c r="C37" s="1"/>
      <c r="D37" s="1"/>
      <c r="E37" s="7"/>
      <c r="F37" s="281"/>
      <c r="G37" s="146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158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12"/>
      <c r="AE37" s="1"/>
      <c r="AF37" s="1"/>
    </row>
    <row r="38" ht="18.75" customHeight="1">
      <c r="A38" s="60"/>
      <c r="B38" s="60"/>
      <c r="C38" s="1"/>
      <c r="D38" s="1"/>
      <c r="E38" s="7"/>
      <c r="F38" s="154"/>
      <c r="G38" s="155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160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12"/>
      <c r="AE38" s="1"/>
      <c r="AF38" s="1"/>
    </row>
    <row r="39" ht="6.75" customHeight="1">
      <c r="A39" s="60"/>
      <c r="B39" s="60"/>
      <c r="C39" s="1"/>
      <c r="D39" s="1"/>
      <c r="E39" s="7"/>
      <c r="F39" s="16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12"/>
      <c r="AE39" s="1"/>
      <c r="AF39" s="1"/>
    </row>
    <row r="40" ht="27.75" customHeight="1">
      <c r="A40" s="60"/>
      <c r="B40" s="60"/>
      <c r="C40" s="1"/>
      <c r="D40" s="1"/>
      <c r="E40" s="7"/>
      <c r="F40" s="161" t="s">
        <v>143</v>
      </c>
      <c r="G40" s="142"/>
      <c r="H40" s="162">
        <f t="shared" ref="H40:P40" si="33">IF(H36="","",MIN(IF(H35="**",H36-2,IF(H35="*",H36-1,H36)),(IF(H37="**",H38-2,IF(H37="*",H38-1,H38)))))</f>
        <v>7</v>
      </c>
      <c r="I40" s="162">
        <f t="shared" si="33"/>
        <v>4</v>
      </c>
      <c r="J40" s="162">
        <f t="shared" si="33"/>
        <v>4</v>
      </c>
      <c r="K40" s="162">
        <f t="shared" si="33"/>
        <v>5</v>
      </c>
      <c r="L40" s="162">
        <f t="shared" si="33"/>
        <v>5</v>
      </c>
      <c r="M40" s="162">
        <f t="shared" si="33"/>
        <v>4</v>
      </c>
      <c r="N40" s="162">
        <f t="shared" si="33"/>
        <v>5</v>
      </c>
      <c r="O40" s="162">
        <f t="shared" si="33"/>
        <v>4</v>
      </c>
      <c r="P40" s="163">
        <f t="shared" si="33"/>
        <v>3</v>
      </c>
      <c r="Q40" s="162">
        <f t="shared" ref="Q40:Q41" si="36">IF(H40="","",SUM(H40:P40))</f>
        <v>41</v>
      </c>
      <c r="R40" s="23"/>
      <c r="S40" s="162">
        <f t="shared" ref="S40:AA40" si="34">IF(S36="","",MIN(IF(S35="**",S36-2,IF(S35="*",S36-1,S36)),(IF(S37="**",S38-2,IF(S37="*",S38-1,S38)))))</f>
        <v>5</v>
      </c>
      <c r="T40" s="162">
        <f t="shared" si="34"/>
        <v>4</v>
      </c>
      <c r="U40" s="162">
        <f t="shared" si="34"/>
        <v>4</v>
      </c>
      <c r="V40" s="162">
        <f t="shared" si="34"/>
        <v>3</v>
      </c>
      <c r="W40" s="162">
        <f t="shared" si="34"/>
        <v>5</v>
      </c>
      <c r="X40" s="162">
        <f t="shared" si="34"/>
        <v>6</v>
      </c>
      <c r="Y40" s="162">
        <f t="shared" si="34"/>
        <v>4</v>
      </c>
      <c r="Z40" s="162">
        <f t="shared" si="34"/>
        <v>4</v>
      </c>
      <c r="AA40" s="163">
        <f t="shared" si="34"/>
        <v>5</v>
      </c>
      <c r="AB40" s="162">
        <f t="shared" ref="AB40:AB41" si="38">IF(S40="","",SUM(S40:AA40))</f>
        <v>40</v>
      </c>
      <c r="AC40" s="162">
        <f t="shared" ref="AC40:AC41" si="39">IF(AB40="","",AB40+Q40)</f>
        <v>81</v>
      </c>
      <c r="AD40" s="12"/>
      <c r="AE40" s="1"/>
      <c r="AF40" s="1"/>
    </row>
    <row r="41" ht="27.75" customHeight="1">
      <c r="A41" s="60"/>
      <c r="B41" s="60"/>
      <c r="C41" s="1"/>
      <c r="D41" s="1"/>
      <c r="E41" s="7"/>
      <c r="F41" s="161" t="s">
        <v>144</v>
      </c>
      <c r="G41" s="142"/>
      <c r="H41" s="164">
        <f t="shared" ref="H41:P41" si="35">IF(H40="","",IF(H40=H48,0.5,IF(H40&lt;H48,1,0)))</f>
        <v>0.5</v>
      </c>
      <c r="I41" s="164">
        <f t="shared" si="35"/>
        <v>0.5</v>
      </c>
      <c r="J41" s="164">
        <f t="shared" si="35"/>
        <v>0</v>
      </c>
      <c r="K41" s="164">
        <f t="shared" si="35"/>
        <v>0</v>
      </c>
      <c r="L41" s="164">
        <f t="shared" si="35"/>
        <v>0</v>
      </c>
      <c r="M41" s="164">
        <f t="shared" si="35"/>
        <v>1</v>
      </c>
      <c r="N41" s="164">
        <f t="shared" si="35"/>
        <v>0</v>
      </c>
      <c r="O41" s="164">
        <f t="shared" si="35"/>
        <v>1</v>
      </c>
      <c r="P41" s="165">
        <f t="shared" si="35"/>
        <v>0.5</v>
      </c>
      <c r="Q41" s="164">
        <f t="shared" si="36"/>
        <v>3.5</v>
      </c>
      <c r="R41" s="23"/>
      <c r="S41" s="164">
        <f t="shared" ref="S41:AA41" si="37">IF(S40="","",IF(S40=S48,0.5,IF(S40&lt;S48,1,0)))</f>
        <v>1</v>
      </c>
      <c r="T41" s="164">
        <f t="shared" si="37"/>
        <v>1</v>
      </c>
      <c r="U41" s="164">
        <f t="shared" si="37"/>
        <v>0</v>
      </c>
      <c r="V41" s="164">
        <f t="shared" si="37"/>
        <v>0</v>
      </c>
      <c r="W41" s="164">
        <f t="shared" si="37"/>
        <v>1</v>
      </c>
      <c r="X41" s="164">
        <f t="shared" si="37"/>
        <v>0</v>
      </c>
      <c r="Y41" s="164">
        <f t="shared" si="37"/>
        <v>0.5</v>
      </c>
      <c r="Z41" s="164">
        <f t="shared" si="37"/>
        <v>0</v>
      </c>
      <c r="AA41" s="165">
        <f t="shared" si="37"/>
        <v>0</v>
      </c>
      <c r="AB41" s="164">
        <f t="shared" si="38"/>
        <v>3.5</v>
      </c>
      <c r="AC41" s="164">
        <f t="shared" si="39"/>
        <v>7</v>
      </c>
      <c r="AD41" s="12"/>
      <c r="AE41" s="1"/>
      <c r="AF41" s="1"/>
    </row>
    <row r="42" ht="6.75" customHeight="1">
      <c r="A42" s="60"/>
      <c r="B42" s="60"/>
      <c r="C42" s="1"/>
      <c r="D42" s="1"/>
      <c r="E42" s="7"/>
      <c r="F42" s="16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12"/>
      <c r="AE42" s="1"/>
      <c r="AF42" s="1"/>
    </row>
    <row r="43" ht="11.25" customHeight="1">
      <c r="A43" s="60"/>
      <c r="B43" s="60"/>
      <c r="C43" s="1"/>
      <c r="D43" s="1"/>
      <c r="E43" s="7"/>
      <c r="F43" s="183" t="s">
        <v>57</v>
      </c>
      <c r="G43" s="150">
        <f>IFERROR(VLOOKUP(F43,HANDICAPS!$B$8:$G$23,$D$3,FALSE),"")</f>
        <v>6</v>
      </c>
      <c r="H43" s="151" t="str">
        <f t="shared" ref="H43:P43" si="40">IFERROR(IF($G43&gt;18,IF(($G43-18)&gt;H$33,"**","*"),IF($G43&gt;=H$8,"*","")),"")</f>
        <v/>
      </c>
      <c r="I43" s="151" t="str">
        <f t="shared" si="40"/>
        <v>*</v>
      </c>
      <c r="J43" s="151" t="str">
        <f t="shared" si="40"/>
        <v/>
      </c>
      <c r="K43" s="151" t="str">
        <f t="shared" si="40"/>
        <v/>
      </c>
      <c r="L43" s="151" t="str">
        <f t="shared" si="40"/>
        <v>*</v>
      </c>
      <c r="M43" s="151" t="str">
        <f t="shared" si="40"/>
        <v/>
      </c>
      <c r="N43" s="151" t="str">
        <f t="shared" si="40"/>
        <v>*</v>
      </c>
      <c r="O43" s="151" t="str">
        <f t="shared" si="40"/>
        <v/>
      </c>
      <c r="P43" s="152" t="str">
        <f t="shared" si="40"/>
        <v/>
      </c>
      <c r="Q43" s="151"/>
      <c r="R43" s="153"/>
      <c r="S43" s="151" t="str">
        <f t="shared" ref="S43:AA43" si="41">IFERROR(IF($G43&gt;18,IF(($G43-18)&gt;S$33,"**","*"),IF($G43&gt;=S$8,"*","")),"")</f>
        <v/>
      </c>
      <c r="T43" s="151" t="str">
        <f t="shared" si="41"/>
        <v/>
      </c>
      <c r="U43" s="151" t="str">
        <f t="shared" si="41"/>
        <v>*</v>
      </c>
      <c r="V43" s="151" t="str">
        <f t="shared" si="41"/>
        <v>*</v>
      </c>
      <c r="W43" s="151" t="str">
        <f t="shared" si="41"/>
        <v/>
      </c>
      <c r="X43" s="151" t="str">
        <f t="shared" si="41"/>
        <v/>
      </c>
      <c r="Y43" s="151" t="str">
        <f t="shared" si="41"/>
        <v/>
      </c>
      <c r="Z43" s="151" t="str">
        <f t="shared" si="41"/>
        <v/>
      </c>
      <c r="AA43" s="152" t="str">
        <f t="shared" si="41"/>
        <v>*</v>
      </c>
      <c r="AB43" s="151"/>
      <c r="AC43" s="151" t="str">
        <f>IF(AB43="","",SUM(Q43,AB43))</f>
        <v/>
      </c>
      <c r="AD43" s="12"/>
      <c r="AE43" s="1"/>
      <c r="AF43" s="1"/>
    </row>
    <row r="44" ht="18.75" customHeight="1">
      <c r="A44" s="60"/>
      <c r="B44" s="60" t="str">
        <f>F43</f>
        <v>WAYS</v>
      </c>
      <c r="C44" s="1"/>
      <c r="D44" s="1"/>
      <c r="E44" s="7"/>
      <c r="F44" s="281"/>
      <c r="G44" s="146"/>
      <c r="H44" s="282">
        <v>7.0</v>
      </c>
      <c r="I44" s="282">
        <v>5.0</v>
      </c>
      <c r="J44" s="282">
        <v>3.0</v>
      </c>
      <c r="K44" s="282">
        <v>3.0</v>
      </c>
      <c r="L44" s="282">
        <v>5.0</v>
      </c>
      <c r="M44" s="282">
        <v>5.0</v>
      </c>
      <c r="N44" s="282">
        <v>4.0</v>
      </c>
      <c r="O44" s="282">
        <v>5.0</v>
      </c>
      <c r="P44" s="282">
        <v>3.0</v>
      </c>
      <c r="Q44" s="160">
        <f>IF(H44="","",SUM(H44:P44))</f>
        <v>40</v>
      </c>
      <c r="R44" s="153"/>
      <c r="S44" s="282">
        <v>6.0</v>
      </c>
      <c r="T44" s="282">
        <v>5.0</v>
      </c>
      <c r="U44" s="282">
        <v>4.0</v>
      </c>
      <c r="V44" s="282">
        <v>3.0</v>
      </c>
      <c r="W44" s="282">
        <v>6.0</v>
      </c>
      <c r="X44" s="282">
        <v>5.0</v>
      </c>
      <c r="Y44" s="282">
        <v>4.0</v>
      </c>
      <c r="Z44" s="282">
        <v>3.0</v>
      </c>
      <c r="AA44" s="282">
        <v>4.0</v>
      </c>
      <c r="AB44" s="160">
        <f>IF(S44="","",SUM(S44:AA44))</f>
        <v>40</v>
      </c>
      <c r="AC44" s="160">
        <f>IFERROR(Q44+AB44,"")</f>
        <v>80</v>
      </c>
      <c r="AD44" s="12"/>
      <c r="AE44" s="1"/>
      <c r="AF44" s="1"/>
    </row>
    <row r="45" ht="11.25" customHeight="1">
      <c r="A45" s="60"/>
      <c r="B45" s="60"/>
      <c r="C45" s="1"/>
      <c r="D45" s="1"/>
      <c r="E45" s="7"/>
      <c r="F45" s="281"/>
      <c r="G45" s="146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158"/>
      <c r="S45" s="285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12"/>
      <c r="AE45" s="1"/>
      <c r="AF45" s="1"/>
    </row>
    <row r="46" ht="18.75" customHeight="1">
      <c r="A46" s="60"/>
      <c r="B46" s="60"/>
      <c r="C46" s="1"/>
      <c r="D46" s="1"/>
      <c r="E46" s="7"/>
      <c r="F46" s="154"/>
      <c r="G46" s="155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160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12"/>
      <c r="AE46" s="1"/>
      <c r="AF46" s="1"/>
    </row>
    <row r="47" ht="6.75" customHeight="1">
      <c r="A47" s="60"/>
      <c r="B47" s="60"/>
      <c r="C47" s="1"/>
      <c r="D47" s="1"/>
      <c r="E47" s="7"/>
      <c r="F47" s="16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12"/>
      <c r="AE47" s="1"/>
      <c r="AF47" s="1"/>
    </row>
    <row r="48" ht="27.75" customHeight="1">
      <c r="A48" s="60"/>
      <c r="B48" s="60"/>
      <c r="C48" s="1"/>
      <c r="D48" s="1"/>
      <c r="E48" s="7"/>
      <c r="F48" s="161" t="s">
        <v>143</v>
      </c>
      <c r="G48" s="142"/>
      <c r="H48" s="162">
        <f t="shared" ref="H48:P48" si="42">IF(H44="","",MIN(IF(H43="**",H44-2,IF(H43="*",H44-1,H44)),(IF(H45="**",H46-2,IF(H45="*",H46-1,H46)))))</f>
        <v>7</v>
      </c>
      <c r="I48" s="162">
        <f t="shared" si="42"/>
        <v>4</v>
      </c>
      <c r="J48" s="162">
        <f t="shared" si="42"/>
        <v>3</v>
      </c>
      <c r="K48" s="162">
        <f t="shared" si="42"/>
        <v>3</v>
      </c>
      <c r="L48" s="162">
        <f t="shared" si="42"/>
        <v>4</v>
      </c>
      <c r="M48" s="162">
        <f t="shared" si="42"/>
        <v>5</v>
      </c>
      <c r="N48" s="162">
        <f t="shared" si="42"/>
        <v>3</v>
      </c>
      <c r="O48" s="162">
        <f t="shared" si="42"/>
        <v>5</v>
      </c>
      <c r="P48" s="163">
        <f t="shared" si="42"/>
        <v>3</v>
      </c>
      <c r="Q48" s="162">
        <f t="shared" ref="Q48:Q49" si="45">IF(H48="","",SUM(H48:P48))</f>
        <v>37</v>
      </c>
      <c r="R48" s="23"/>
      <c r="S48" s="162">
        <f t="shared" ref="S48:AA48" si="43">IF(S44="","",MIN(IF(S43="**",S44-2,IF(S43="*",S44-1,S44)),(IF(S45="**",S46-2,IF(S45="*",S46-1,S46)))))</f>
        <v>6</v>
      </c>
      <c r="T48" s="162">
        <f t="shared" si="43"/>
        <v>5</v>
      </c>
      <c r="U48" s="162">
        <f t="shared" si="43"/>
        <v>3</v>
      </c>
      <c r="V48" s="162">
        <f t="shared" si="43"/>
        <v>2</v>
      </c>
      <c r="W48" s="162">
        <f t="shared" si="43"/>
        <v>6</v>
      </c>
      <c r="X48" s="162">
        <f t="shared" si="43"/>
        <v>5</v>
      </c>
      <c r="Y48" s="162">
        <f t="shared" si="43"/>
        <v>4</v>
      </c>
      <c r="Z48" s="162">
        <f t="shared" si="43"/>
        <v>3</v>
      </c>
      <c r="AA48" s="163">
        <f t="shared" si="43"/>
        <v>3</v>
      </c>
      <c r="AB48" s="162">
        <f t="shared" ref="AB48:AB49" si="47">IF(S48="","",SUM(S48:AA48))</f>
        <v>37</v>
      </c>
      <c r="AC48" s="162">
        <f t="shared" ref="AC48:AC49" si="48">IF(AB48="","",AB48+Q48)</f>
        <v>74</v>
      </c>
      <c r="AD48" s="12"/>
      <c r="AE48" s="1"/>
      <c r="AF48" s="1"/>
    </row>
    <row r="49" ht="27.75" customHeight="1">
      <c r="A49" s="60"/>
      <c r="B49" s="60"/>
      <c r="C49" s="1"/>
      <c r="D49" s="1"/>
      <c r="E49" s="7"/>
      <c r="F49" s="161" t="s">
        <v>144</v>
      </c>
      <c r="G49" s="142"/>
      <c r="H49" s="164">
        <f t="shared" ref="H49:P49" si="44">IF(H48="","",IF(H48=H40,0.5,IF(H48&lt;H40,1,0)))</f>
        <v>0.5</v>
      </c>
      <c r="I49" s="164">
        <f t="shared" si="44"/>
        <v>0.5</v>
      </c>
      <c r="J49" s="164">
        <f t="shared" si="44"/>
        <v>1</v>
      </c>
      <c r="K49" s="164">
        <f t="shared" si="44"/>
        <v>1</v>
      </c>
      <c r="L49" s="164">
        <f t="shared" si="44"/>
        <v>1</v>
      </c>
      <c r="M49" s="164">
        <f t="shared" si="44"/>
        <v>0</v>
      </c>
      <c r="N49" s="164">
        <f t="shared" si="44"/>
        <v>1</v>
      </c>
      <c r="O49" s="164">
        <f t="shared" si="44"/>
        <v>0</v>
      </c>
      <c r="P49" s="165">
        <f t="shared" si="44"/>
        <v>0.5</v>
      </c>
      <c r="Q49" s="164">
        <f t="shared" si="45"/>
        <v>5.5</v>
      </c>
      <c r="R49" s="23"/>
      <c r="S49" s="164">
        <f t="shared" ref="S49:AA49" si="46">IF(S48="","",IF(S48=S40,0.5,IF(S48&lt;S40,1,0)))</f>
        <v>0</v>
      </c>
      <c r="T49" s="164">
        <f t="shared" si="46"/>
        <v>0</v>
      </c>
      <c r="U49" s="164">
        <f t="shared" si="46"/>
        <v>1</v>
      </c>
      <c r="V49" s="164">
        <f t="shared" si="46"/>
        <v>1</v>
      </c>
      <c r="W49" s="164">
        <f t="shared" si="46"/>
        <v>0</v>
      </c>
      <c r="X49" s="164">
        <f t="shared" si="46"/>
        <v>1</v>
      </c>
      <c r="Y49" s="164">
        <f t="shared" si="46"/>
        <v>0.5</v>
      </c>
      <c r="Z49" s="164">
        <f t="shared" si="46"/>
        <v>1</v>
      </c>
      <c r="AA49" s="165">
        <f t="shared" si="46"/>
        <v>1</v>
      </c>
      <c r="AB49" s="164">
        <f t="shared" si="47"/>
        <v>5.5</v>
      </c>
      <c r="AC49" s="164">
        <f t="shared" si="48"/>
        <v>11</v>
      </c>
      <c r="AD49" s="12"/>
      <c r="AE49" s="1"/>
      <c r="AF49" s="1"/>
    </row>
    <row r="50" ht="6.75" customHeight="1">
      <c r="A50" s="60"/>
      <c r="B50" s="60"/>
      <c r="C50" s="1"/>
      <c r="D50" s="1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1"/>
      <c r="AF50" s="1"/>
    </row>
    <row r="51" ht="67.5" hidden="1" customHeight="1">
      <c r="A51" s="60"/>
      <c r="B51" s="60"/>
      <c r="C51" s="1"/>
      <c r="D51" s="1"/>
      <c r="E51" s="3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6.75" customHeight="1">
      <c r="A52" s="60"/>
      <c r="B52" s="60"/>
      <c r="C52" s="1"/>
      <c r="D52" s="1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  <c r="AA52" s="4"/>
      <c r="AB52" s="4"/>
      <c r="AC52" s="4"/>
      <c r="AD52" s="5"/>
      <c r="AE52" s="1"/>
      <c r="AF52" s="1"/>
    </row>
    <row r="53" ht="15.75" customHeight="1">
      <c r="A53" s="60"/>
      <c r="B53" s="60"/>
      <c r="C53" s="1"/>
      <c r="D53" s="1"/>
      <c r="E53" s="7"/>
      <c r="F53" s="140" t="str">
        <f>F28</f>
        <v>MICHIGAN OPEN 2022 - ROUND 4 - THE MONUMENT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2"/>
      <c r="AD53" s="12"/>
      <c r="AE53" s="1"/>
      <c r="AF53" s="1"/>
    </row>
    <row r="54" ht="18.75" customHeight="1">
      <c r="A54" s="60"/>
      <c r="B54" s="60"/>
      <c r="C54" s="1"/>
      <c r="D54" s="1"/>
      <c r="E54" s="7"/>
      <c r="F54" s="1"/>
      <c r="G54" s="1"/>
      <c r="H54" s="1"/>
      <c r="I54" s="1"/>
      <c r="J54" s="13" t="str">
        <f>J29</f>
        <v>FRONT</v>
      </c>
      <c r="K54" s="14"/>
      <c r="L54" s="14"/>
      <c r="M54" s="14"/>
      <c r="N54" s="14"/>
      <c r="O54" s="1"/>
      <c r="P54" s="1"/>
      <c r="Q54" s="1"/>
      <c r="R54" s="1"/>
      <c r="S54" s="1"/>
      <c r="T54" s="1"/>
      <c r="U54" s="1"/>
      <c r="V54" s="13" t="str">
        <f>V29</f>
        <v>BACK</v>
      </c>
      <c r="W54" s="14"/>
      <c r="X54" s="14"/>
      <c r="Y54" s="14"/>
      <c r="Z54" s="14"/>
      <c r="AA54" s="1"/>
      <c r="AB54" s="1"/>
      <c r="AC54" s="1"/>
      <c r="AD54" s="12"/>
      <c r="AE54" s="1"/>
      <c r="AF54" s="1"/>
    </row>
    <row r="55" ht="15.0" customHeight="1">
      <c r="A55" s="60"/>
      <c r="B55" s="60"/>
      <c r="C55" s="1"/>
      <c r="D55" s="1"/>
      <c r="E55" s="7"/>
      <c r="F55" s="1"/>
      <c r="G55" s="143" t="str">
        <f t="shared" ref="G55:Q55" si="49">G30</f>
        <v>HOLE</v>
      </c>
      <c r="H55" s="143">
        <f t="shared" si="49"/>
        <v>1</v>
      </c>
      <c r="I55" s="143">
        <f t="shared" si="49"/>
        <v>2</v>
      </c>
      <c r="J55" s="143">
        <f t="shared" si="49"/>
        <v>3</v>
      </c>
      <c r="K55" s="143">
        <f t="shared" si="49"/>
        <v>4</v>
      </c>
      <c r="L55" s="143">
        <f t="shared" si="49"/>
        <v>5</v>
      </c>
      <c r="M55" s="143">
        <f t="shared" si="49"/>
        <v>6</v>
      </c>
      <c r="N55" s="143">
        <f t="shared" si="49"/>
        <v>7</v>
      </c>
      <c r="O55" s="143">
        <f t="shared" si="49"/>
        <v>8</v>
      </c>
      <c r="P55" s="143">
        <f t="shared" si="49"/>
        <v>9</v>
      </c>
      <c r="Q55" s="143" t="str">
        <f t="shared" si="49"/>
        <v>OUT</v>
      </c>
      <c r="R55" s="16"/>
      <c r="S55" s="143">
        <f t="shared" ref="S55:AC55" si="50">S30</f>
        <v>10</v>
      </c>
      <c r="T55" s="143">
        <f t="shared" si="50"/>
        <v>11</v>
      </c>
      <c r="U55" s="143">
        <f t="shared" si="50"/>
        <v>12</v>
      </c>
      <c r="V55" s="143">
        <f t="shared" si="50"/>
        <v>13</v>
      </c>
      <c r="W55" s="143">
        <f t="shared" si="50"/>
        <v>14</v>
      </c>
      <c r="X55" s="143">
        <f t="shared" si="50"/>
        <v>15</v>
      </c>
      <c r="Y55" s="143">
        <f t="shared" si="50"/>
        <v>16</v>
      </c>
      <c r="Z55" s="143">
        <f t="shared" si="50"/>
        <v>17</v>
      </c>
      <c r="AA55" s="143">
        <f t="shared" si="50"/>
        <v>18</v>
      </c>
      <c r="AB55" s="143" t="str">
        <f t="shared" si="50"/>
        <v>IN</v>
      </c>
      <c r="AC55" s="143" t="str">
        <f t="shared" si="50"/>
        <v>TOTAL</v>
      </c>
      <c r="AD55" s="12"/>
      <c r="AE55" s="1"/>
      <c r="AF55" s="1"/>
    </row>
    <row r="56" ht="15.0" customHeight="1">
      <c r="A56" s="60"/>
      <c r="B56" s="60"/>
      <c r="C56" s="1"/>
      <c r="D56" s="1"/>
      <c r="E56" s="7"/>
      <c r="F56" s="144" t="s">
        <v>190</v>
      </c>
      <c r="G56" s="182" t="str">
        <f t="shared" ref="G56:Q56" si="51">G31</f>
        <v>COMBO</v>
      </c>
      <c r="H56" s="182">
        <f t="shared" si="51"/>
        <v>531</v>
      </c>
      <c r="I56" s="182">
        <f t="shared" si="51"/>
        <v>359</v>
      </c>
      <c r="J56" s="182">
        <f t="shared" si="51"/>
        <v>151</v>
      </c>
      <c r="K56" s="182">
        <f t="shared" si="51"/>
        <v>387</v>
      </c>
      <c r="L56" s="182">
        <f t="shared" si="51"/>
        <v>505</v>
      </c>
      <c r="M56" s="182">
        <f t="shared" si="51"/>
        <v>282</v>
      </c>
      <c r="N56" s="182">
        <f t="shared" si="51"/>
        <v>398</v>
      </c>
      <c r="O56" s="182">
        <f t="shared" si="51"/>
        <v>389</v>
      </c>
      <c r="P56" s="182">
        <f t="shared" si="51"/>
        <v>166</v>
      </c>
      <c r="Q56" s="182">
        <f t="shared" si="51"/>
        <v>3168</v>
      </c>
      <c r="R56" s="17"/>
      <c r="S56" s="182">
        <f t="shared" ref="S56:AB56" si="52">S31</f>
        <v>502</v>
      </c>
      <c r="T56" s="182">
        <f t="shared" si="52"/>
        <v>368</v>
      </c>
      <c r="U56" s="182">
        <f t="shared" si="52"/>
        <v>371</v>
      </c>
      <c r="V56" s="182">
        <f t="shared" si="52"/>
        <v>193</v>
      </c>
      <c r="W56" s="182">
        <f t="shared" si="52"/>
        <v>503</v>
      </c>
      <c r="X56" s="182">
        <f t="shared" si="52"/>
        <v>408</v>
      </c>
      <c r="Y56" s="182">
        <f t="shared" si="52"/>
        <v>324</v>
      </c>
      <c r="Z56" s="182">
        <f t="shared" si="52"/>
        <v>163</v>
      </c>
      <c r="AA56" s="182">
        <f t="shared" si="52"/>
        <v>379</v>
      </c>
      <c r="AB56" s="182">
        <f t="shared" si="52"/>
        <v>3211</v>
      </c>
      <c r="AC56" s="182">
        <f t="shared" ref="AC56:AC57" si="55">AB56+Q56</f>
        <v>6379</v>
      </c>
      <c r="AD56" s="12"/>
      <c r="AE56" s="1"/>
      <c r="AF56" s="1"/>
    </row>
    <row r="57" ht="15.0" customHeight="1">
      <c r="A57" s="60"/>
      <c r="B57" s="60"/>
      <c r="C57" s="1"/>
      <c r="D57" s="1"/>
      <c r="E57" s="7"/>
      <c r="F57" s="146"/>
      <c r="G57" s="147" t="str">
        <f t="shared" ref="G57:Q57" si="53">G32</f>
        <v>PAR</v>
      </c>
      <c r="H57" s="147">
        <f t="shared" si="53"/>
        <v>5</v>
      </c>
      <c r="I57" s="147">
        <f t="shared" si="53"/>
        <v>4</v>
      </c>
      <c r="J57" s="147">
        <f t="shared" si="53"/>
        <v>3</v>
      </c>
      <c r="K57" s="147">
        <f t="shared" si="53"/>
        <v>4</v>
      </c>
      <c r="L57" s="147">
        <f t="shared" si="53"/>
        <v>5</v>
      </c>
      <c r="M57" s="147">
        <f t="shared" si="53"/>
        <v>4</v>
      </c>
      <c r="N57" s="147">
        <f t="shared" si="53"/>
        <v>4</v>
      </c>
      <c r="O57" s="147">
        <f t="shared" si="53"/>
        <v>4</v>
      </c>
      <c r="P57" s="147">
        <f t="shared" si="53"/>
        <v>3</v>
      </c>
      <c r="Q57" s="147">
        <f t="shared" si="53"/>
        <v>36</v>
      </c>
      <c r="R57" s="17"/>
      <c r="S57" s="147">
        <f t="shared" ref="S57:AB57" si="54">S32</f>
        <v>5</v>
      </c>
      <c r="T57" s="147">
        <f t="shared" si="54"/>
        <v>4</v>
      </c>
      <c r="U57" s="147">
        <f t="shared" si="54"/>
        <v>4</v>
      </c>
      <c r="V57" s="147">
        <f t="shared" si="54"/>
        <v>3</v>
      </c>
      <c r="W57" s="147">
        <f t="shared" si="54"/>
        <v>5</v>
      </c>
      <c r="X57" s="147">
        <f t="shared" si="54"/>
        <v>4</v>
      </c>
      <c r="Y57" s="147">
        <f t="shared" si="54"/>
        <v>4</v>
      </c>
      <c r="Z57" s="147">
        <f t="shared" si="54"/>
        <v>3</v>
      </c>
      <c r="AA57" s="147">
        <f t="shared" si="54"/>
        <v>4</v>
      </c>
      <c r="AB57" s="147">
        <f t="shared" si="54"/>
        <v>36</v>
      </c>
      <c r="AC57" s="147">
        <f t="shared" si="55"/>
        <v>72</v>
      </c>
      <c r="AD57" s="12"/>
      <c r="AE57" s="1"/>
      <c r="AF57" s="1"/>
    </row>
    <row r="58" ht="15.0" customHeight="1">
      <c r="A58" s="60"/>
      <c r="B58" s="60"/>
      <c r="C58" s="1"/>
      <c r="D58" s="1"/>
      <c r="E58" s="7"/>
      <c r="F58" s="1"/>
      <c r="G58" s="148" t="str">
        <f t="shared" ref="G58:P58" si="56">G33</f>
        <v>HDCP</v>
      </c>
      <c r="H58" s="148">
        <f t="shared" si="56"/>
        <v>15</v>
      </c>
      <c r="I58" s="148">
        <f t="shared" si="56"/>
        <v>5</v>
      </c>
      <c r="J58" s="148">
        <f t="shared" si="56"/>
        <v>13</v>
      </c>
      <c r="K58" s="148">
        <f t="shared" si="56"/>
        <v>7</v>
      </c>
      <c r="L58" s="148">
        <f t="shared" si="56"/>
        <v>1</v>
      </c>
      <c r="M58" s="148">
        <f t="shared" si="56"/>
        <v>17</v>
      </c>
      <c r="N58" s="148">
        <f t="shared" si="56"/>
        <v>3</v>
      </c>
      <c r="O58" s="148">
        <f t="shared" si="56"/>
        <v>9</v>
      </c>
      <c r="P58" s="148">
        <f t="shared" si="56"/>
        <v>11</v>
      </c>
      <c r="Q58" s="148"/>
      <c r="R58" s="17"/>
      <c r="S58" s="148">
        <f t="shared" ref="S58:AA58" si="57">S33</f>
        <v>10</v>
      </c>
      <c r="T58" s="148">
        <f t="shared" si="57"/>
        <v>8</v>
      </c>
      <c r="U58" s="148">
        <f t="shared" si="57"/>
        <v>6</v>
      </c>
      <c r="V58" s="148">
        <f t="shared" si="57"/>
        <v>2</v>
      </c>
      <c r="W58" s="148">
        <f t="shared" si="57"/>
        <v>14</v>
      </c>
      <c r="X58" s="148">
        <f t="shared" si="57"/>
        <v>18</v>
      </c>
      <c r="Y58" s="148">
        <f t="shared" si="57"/>
        <v>16</v>
      </c>
      <c r="Z58" s="148">
        <f t="shared" si="57"/>
        <v>12</v>
      </c>
      <c r="AA58" s="148">
        <f t="shared" si="57"/>
        <v>4</v>
      </c>
      <c r="AB58" s="148"/>
      <c r="AC58" s="148"/>
      <c r="AD58" s="12"/>
      <c r="AE58" s="1"/>
      <c r="AF58" s="1"/>
    </row>
    <row r="59" ht="6.75" customHeight="1">
      <c r="A59" s="60"/>
      <c r="B59" s="60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2"/>
      <c r="AE59" s="1"/>
      <c r="AF59" s="1"/>
    </row>
    <row r="60" ht="11.25" customHeight="1">
      <c r="A60" s="60"/>
      <c r="B60" s="60"/>
      <c r="C60" s="1"/>
      <c r="D60" s="1"/>
      <c r="E60" s="7"/>
      <c r="F60" s="183" t="s">
        <v>79</v>
      </c>
      <c r="G60" s="150">
        <f>IFERROR(VLOOKUP(F60,HANDICAPS!$B$8:$G$23,$D$3,FALSE),"")</f>
        <v>12</v>
      </c>
      <c r="H60" s="151" t="str">
        <f t="shared" ref="H60:P60" si="58">IFERROR(IF($G60&gt;18,IF(($G60-18)&gt;H$33,"**","*"),IF($G60&gt;=H$8,"*","")),"")</f>
        <v/>
      </c>
      <c r="I60" s="151" t="str">
        <f t="shared" si="58"/>
        <v>*</v>
      </c>
      <c r="J60" s="151" t="str">
        <f t="shared" si="58"/>
        <v/>
      </c>
      <c r="K60" s="151" t="str">
        <f t="shared" si="58"/>
        <v>*</v>
      </c>
      <c r="L60" s="151" t="str">
        <f t="shared" si="58"/>
        <v>*</v>
      </c>
      <c r="M60" s="151" t="str">
        <f t="shared" si="58"/>
        <v/>
      </c>
      <c r="N60" s="151" t="str">
        <f t="shared" si="58"/>
        <v>*</v>
      </c>
      <c r="O60" s="151" t="str">
        <f t="shared" si="58"/>
        <v>*</v>
      </c>
      <c r="P60" s="152" t="str">
        <f t="shared" si="58"/>
        <v>*</v>
      </c>
      <c r="Q60" s="151"/>
      <c r="R60" s="153"/>
      <c r="S60" s="151" t="str">
        <f t="shared" ref="S60:AA60" si="59">IFERROR(IF($G60&gt;18,IF(($G60-18)&gt;S$33,"**","*"),IF($G60&gt;=S$8,"*","")),"")</f>
        <v>*</v>
      </c>
      <c r="T60" s="151" t="str">
        <f t="shared" si="59"/>
        <v>*</v>
      </c>
      <c r="U60" s="151" t="str">
        <f t="shared" si="59"/>
        <v>*</v>
      </c>
      <c r="V60" s="151" t="str">
        <f t="shared" si="59"/>
        <v>*</v>
      </c>
      <c r="W60" s="151" t="str">
        <f t="shared" si="59"/>
        <v/>
      </c>
      <c r="X60" s="151" t="str">
        <f t="shared" si="59"/>
        <v/>
      </c>
      <c r="Y60" s="151" t="str">
        <f t="shared" si="59"/>
        <v/>
      </c>
      <c r="Z60" s="151" t="str">
        <f t="shared" si="59"/>
        <v>*</v>
      </c>
      <c r="AA60" s="152" t="str">
        <f t="shared" si="59"/>
        <v>*</v>
      </c>
      <c r="AB60" s="151"/>
      <c r="AC60" s="151" t="str">
        <f>IF(AB60="","",SUM(Q60,AB60))</f>
        <v/>
      </c>
      <c r="AD60" s="12"/>
      <c r="AE60" s="1"/>
      <c r="AF60" s="1"/>
    </row>
    <row r="61" ht="18.75" customHeight="1">
      <c r="A61" s="60"/>
      <c r="B61" s="60" t="str">
        <f>F60</f>
        <v>DYLAN</v>
      </c>
      <c r="C61" s="1"/>
      <c r="D61" s="1"/>
      <c r="E61" s="7"/>
      <c r="F61" s="281"/>
      <c r="G61" s="146"/>
      <c r="H61" s="282">
        <v>5.0</v>
      </c>
      <c r="I61" s="282">
        <v>5.0</v>
      </c>
      <c r="J61" s="282">
        <v>3.0</v>
      </c>
      <c r="K61" s="282">
        <v>4.0</v>
      </c>
      <c r="L61" s="282">
        <v>6.0</v>
      </c>
      <c r="M61" s="282">
        <v>6.0</v>
      </c>
      <c r="N61" s="282">
        <v>5.0</v>
      </c>
      <c r="O61" s="282">
        <v>4.0</v>
      </c>
      <c r="P61" s="282">
        <v>5.0</v>
      </c>
      <c r="Q61" s="160">
        <f>IF(H61="","",SUM(H61:P61))</f>
        <v>43</v>
      </c>
      <c r="R61" s="153"/>
      <c r="S61" s="282">
        <v>7.0</v>
      </c>
      <c r="T61" s="282">
        <v>4.0</v>
      </c>
      <c r="U61" s="282">
        <v>6.0</v>
      </c>
      <c r="V61" s="282">
        <v>4.0</v>
      </c>
      <c r="W61" s="282">
        <v>7.0</v>
      </c>
      <c r="X61" s="282">
        <v>6.0</v>
      </c>
      <c r="Y61" s="282">
        <v>4.0</v>
      </c>
      <c r="Z61" s="282">
        <v>4.0</v>
      </c>
      <c r="AA61" s="282">
        <v>6.0</v>
      </c>
      <c r="AB61" s="160">
        <f>IF(S61="","",SUM(S61:AA61))</f>
        <v>48</v>
      </c>
      <c r="AC61" s="160">
        <f>IFERROR(Q61+AB61,"")</f>
        <v>91</v>
      </c>
      <c r="AD61" s="12"/>
      <c r="AE61" s="1"/>
      <c r="AF61" s="1"/>
    </row>
    <row r="62" ht="11.25" customHeight="1">
      <c r="A62" s="60"/>
      <c r="B62" s="60"/>
      <c r="C62" s="1"/>
      <c r="D62" s="1"/>
      <c r="E62" s="7"/>
      <c r="F62" s="281"/>
      <c r="G62" s="146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158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12"/>
      <c r="AE62" s="1"/>
      <c r="AF62" s="1"/>
    </row>
    <row r="63" ht="18.75" customHeight="1">
      <c r="A63" s="60"/>
      <c r="B63" s="60"/>
      <c r="C63" s="1"/>
      <c r="D63" s="1"/>
      <c r="E63" s="7"/>
      <c r="F63" s="154"/>
      <c r="G63" s="155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160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12"/>
      <c r="AE63" s="1"/>
      <c r="AF63" s="1"/>
    </row>
    <row r="64" ht="6.75" customHeight="1">
      <c r="A64" s="60"/>
      <c r="B64" s="60"/>
      <c r="C64" s="1"/>
      <c r="D64" s="1"/>
      <c r="E64" s="7"/>
      <c r="F64" s="16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12"/>
      <c r="AE64" s="1"/>
      <c r="AF64" s="1"/>
    </row>
    <row r="65" ht="27.75" customHeight="1">
      <c r="A65" s="60"/>
      <c r="B65" s="60"/>
      <c r="C65" s="1"/>
      <c r="D65" s="1"/>
      <c r="E65" s="7"/>
      <c r="F65" s="161" t="s">
        <v>143</v>
      </c>
      <c r="G65" s="142"/>
      <c r="H65" s="162">
        <f t="shared" ref="H65:P65" si="60">IF(H61="","",MIN(IF(H60="**",H61-2,IF(H60="*",H61-1,H61)),(IF(H62="**",H63-2,IF(H62="*",H63-1,H63)))))</f>
        <v>5</v>
      </c>
      <c r="I65" s="162">
        <f t="shared" si="60"/>
        <v>4</v>
      </c>
      <c r="J65" s="162">
        <f t="shared" si="60"/>
        <v>3</v>
      </c>
      <c r="K65" s="162">
        <f t="shared" si="60"/>
        <v>3</v>
      </c>
      <c r="L65" s="162">
        <f t="shared" si="60"/>
        <v>5</v>
      </c>
      <c r="M65" s="162">
        <f t="shared" si="60"/>
        <v>6</v>
      </c>
      <c r="N65" s="162">
        <f t="shared" si="60"/>
        <v>4</v>
      </c>
      <c r="O65" s="162">
        <f t="shared" si="60"/>
        <v>3</v>
      </c>
      <c r="P65" s="163">
        <f t="shared" si="60"/>
        <v>4</v>
      </c>
      <c r="Q65" s="162">
        <f t="shared" ref="Q65:Q66" si="63">IF(H65="","",SUM(H65:P65))</f>
        <v>37</v>
      </c>
      <c r="R65" s="23"/>
      <c r="S65" s="162">
        <f t="shared" ref="S65:AA65" si="61">IF(S61="","",MIN(IF(S60="**",S61-2,IF(S60="*",S61-1,S61)),(IF(S62="**",S63-2,IF(S62="*",S63-1,S63)))))</f>
        <v>6</v>
      </c>
      <c r="T65" s="162">
        <f t="shared" si="61"/>
        <v>3</v>
      </c>
      <c r="U65" s="162">
        <f t="shared" si="61"/>
        <v>5</v>
      </c>
      <c r="V65" s="162">
        <f t="shared" si="61"/>
        <v>3</v>
      </c>
      <c r="W65" s="162">
        <f t="shared" si="61"/>
        <v>7</v>
      </c>
      <c r="X65" s="162">
        <f t="shared" si="61"/>
        <v>6</v>
      </c>
      <c r="Y65" s="162">
        <f t="shared" si="61"/>
        <v>4</v>
      </c>
      <c r="Z65" s="162">
        <f t="shared" si="61"/>
        <v>3</v>
      </c>
      <c r="AA65" s="163">
        <f t="shared" si="61"/>
        <v>5</v>
      </c>
      <c r="AB65" s="162">
        <f t="shared" ref="AB65:AB66" si="65">IF(S65="","",SUM(S65:AA65))</f>
        <v>42</v>
      </c>
      <c r="AC65" s="162">
        <f t="shared" ref="AC65:AC66" si="66">IF(AB65="","",AB65+Q65)</f>
        <v>79</v>
      </c>
      <c r="AD65" s="12"/>
      <c r="AE65" s="1"/>
      <c r="AF65" s="1"/>
    </row>
    <row r="66" ht="27.75" customHeight="1">
      <c r="A66" s="60"/>
      <c r="B66" s="60"/>
      <c r="C66" s="1"/>
      <c r="D66" s="1"/>
      <c r="E66" s="7"/>
      <c r="F66" s="161" t="s">
        <v>144</v>
      </c>
      <c r="G66" s="142"/>
      <c r="H66" s="164">
        <f t="shared" ref="H66:P66" si="62">IF(H65="","",IF(H65=H73,0.5,IF(H65&lt;H73,1,0)))</f>
        <v>1</v>
      </c>
      <c r="I66" s="164">
        <f t="shared" si="62"/>
        <v>1</v>
      </c>
      <c r="J66" s="164">
        <f t="shared" si="62"/>
        <v>0.5</v>
      </c>
      <c r="K66" s="164">
        <f t="shared" si="62"/>
        <v>0.5</v>
      </c>
      <c r="L66" s="164">
        <f t="shared" si="62"/>
        <v>1</v>
      </c>
      <c r="M66" s="164">
        <f t="shared" si="62"/>
        <v>0</v>
      </c>
      <c r="N66" s="164">
        <f t="shared" si="62"/>
        <v>0</v>
      </c>
      <c r="O66" s="164">
        <f t="shared" si="62"/>
        <v>1</v>
      </c>
      <c r="P66" s="165">
        <f t="shared" si="62"/>
        <v>0</v>
      </c>
      <c r="Q66" s="164">
        <f t="shared" si="63"/>
        <v>5</v>
      </c>
      <c r="R66" s="23"/>
      <c r="S66" s="164">
        <f t="shared" ref="S66:AA66" si="64">IF(S65="","",IF(S65=S73,0.5,IF(S65&lt;S73,1,0)))</f>
        <v>1</v>
      </c>
      <c r="T66" s="164">
        <f t="shared" si="64"/>
        <v>1</v>
      </c>
      <c r="U66" s="164">
        <f t="shared" si="64"/>
        <v>0</v>
      </c>
      <c r="V66" s="164">
        <f t="shared" si="64"/>
        <v>0.5</v>
      </c>
      <c r="W66" s="164">
        <f t="shared" si="64"/>
        <v>0</v>
      </c>
      <c r="X66" s="164">
        <f t="shared" si="64"/>
        <v>0</v>
      </c>
      <c r="Y66" s="164">
        <f t="shared" si="64"/>
        <v>0.5</v>
      </c>
      <c r="Z66" s="164">
        <f t="shared" si="64"/>
        <v>0.5</v>
      </c>
      <c r="AA66" s="165">
        <f t="shared" si="64"/>
        <v>0</v>
      </c>
      <c r="AB66" s="164">
        <f t="shared" si="65"/>
        <v>3.5</v>
      </c>
      <c r="AC66" s="164">
        <f t="shared" si="66"/>
        <v>8.5</v>
      </c>
      <c r="AD66" s="12"/>
      <c r="AE66" s="1"/>
      <c r="AF66" s="1"/>
    </row>
    <row r="67" ht="6.75" customHeight="1">
      <c r="A67" s="60"/>
      <c r="B67" s="60"/>
      <c r="C67" s="1"/>
      <c r="D67" s="1"/>
      <c r="E67" s="7"/>
      <c r="F67" s="16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12"/>
      <c r="AE67" s="1"/>
      <c r="AF67" s="1"/>
    </row>
    <row r="68" ht="11.25" customHeight="1">
      <c r="A68" s="60"/>
      <c r="B68" s="60"/>
      <c r="C68" s="1"/>
      <c r="D68" s="1"/>
      <c r="E68" s="7"/>
      <c r="F68" s="183" t="s">
        <v>97</v>
      </c>
      <c r="G68" s="150">
        <f>IFERROR(VLOOKUP(F68,HANDICAPS!$B$8:$G$23,$D$3,FALSE),"")</f>
        <v>13</v>
      </c>
      <c r="H68" s="151" t="str">
        <f t="shared" ref="H68:P68" si="67">IFERROR(IF($G68&gt;18,IF(($G68-18)&gt;H$33,"**","*"),IF($G68&gt;=H$8,"*","")),"")</f>
        <v/>
      </c>
      <c r="I68" s="151" t="str">
        <f t="shared" si="67"/>
        <v>*</v>
      </c>
      <c r="J68" s="151" t="str">
        <f t="shared" si="67"/>
        <v>*</v>
      </c>
      <c r="K68" s="151" t="str">
        <f t="shared" si="67"/>
        <v>*</v>
      </c>
      <c r="L68" s="151" t="str">
        <f t="shared" si="67"/>
        <v>*</v>
      </c>
      <c r="M68" s="151" t="str">
        <f t="shared" si="67"/>
        <v/>
      </c>
      <c r="N68" s="151" t="str">
        <f t="shared" si="67"/>
        <v>*</v>
      </c>
      <c r="O68" s="151" t="str">
        <f t="shared" si="67"/>
        <v>*</v>
      </c>
      <c r="P68" s="152" t="str">
        <f t="shared" si="67"/>
        <v>*</v>
      </c>
      <c r="Q68" s="151"/>
      <c r="R68" s="153"/>
      <c r="S68" s="151" t="str">
        <f t="shared" ref="S68:AA68" si="68">IFERROR(IF($G68&gt;18,IF(($G68-18)&gt;S$33,"**","*"),IF($G68&gt;=S$8,"*","")),"")</f>
        <v>*</v>
      </c>
      <c r="T68" s="151" t="str">
        <f t="shared" si="68"/>
        <v>*</v>
      </c>
      <c r="U68" s="151" t="str">
        <f t="shared" si="68"/>
        <v>*</v>
      </c>
      <c r="V68" s="151" t="str">
        <f t="shared" si="68"/>
        <v>*</v>
      </c>
      <c r="W68" s="151" t="str">
        <f t="shared" si="68"/>
        <v/>
      </c>
      <c r="X68" s="151" t="str">
        <f t="shared" si="68"/>
        <v/>
      </c>
      <c r="Y68" s="151" t="str">
        <f t="shared" si="68"/>
        <v/>
      </c>
      <c r="Z68" s="151" t="str">
        <f t="shared" si="68"/>
        <v>*</v>
      </c>
      <c r="AA68" s="152" t="str">
        <f t="shared" si="68"/>
        <v>*</v>
      </c>
      <c r="AB68" s="151"/>
      <c r="AC68" s="151" t="str">
        <f>IF(AB68="","",SUM(Q68,AB68))</f>
        <v/>
      </c>
      <c r="AD68" s="12"/>
      <c r="AE68" s="1"/>
      <c r="AF68" s="1"/>
    </row>
    <row r="69" ht="18.75" customHeight="1">
      <c r="A69" s="60"/>
      <c r="B69" s="60" t="str">
        <f>F68</f>
        <v>TOM</v>
      </c>
      <c r="C69" s="1"/>
      <c r="D69" s="1"/>
      <c r="E69" s="7"/>
      <c r="F69" s="281"/>
      <c r="G69" s="146"/>
      <c r="H69" s="282">
        <v>8.0</v>
      </c>
      <c r="I69" s="282">
        <v>8.0</v>
      </c>
      <c r="J69" s="282">
        <v>4.0</v>
      </c>
      <c r="K69" s="282">
        <v>4.0</v>
      </c>
      <c r="L69" s="282">
        <v>7.0</v>
      </c>
      <c r="M69" s="282">
        <v>5.0</v>
      </c>
      <c r="N69" s="282">
        <v>4.0</v>
      </c>
      <c r="O69" s="282">
        <v>7.0</v>
      </c>
      <c r="P69" s="282">
        <v>3.0</v>
      </c>
      <c r="Q69" s="160">
        <f>IF(H69="","",SUM(H69:P69))</f>
        <v>50</v>
      </c>
      <c r="R69" s="153"/>
      <c r="S69" s="282">
        <v>8.0</v>
      </c>
      <c r="T69" s="282">
        <v>5.0</v>
      </c>
      <c r="U69" s="282">
        <v>4.0</v>
      </c>
      <c r="V69" s="282">
        <v>4.0</v>
      </c>
      <c r="W69" s="282">
        <v>5.0</v>
      </c>
      <c r="X69" s="282">
        <v>4.0</v>
      </c>
      <c r="Y69" s="282">
        <v>4.0</v>
      </c>
      <c r="Z69" s="282">
        <v>4.0</v>
      </c>
      <c r="AA69" s="282">
        <v>5.0</v>
      </c>
      <c r="AB69" s="160">
        <f>IF(S69="","",SUM(S69:AA69))</f>
        <v>43</v>
      </c>
      <c r="AC69" s="160">
        <f>IFERROR(Q69+AB69,"")</f>
        <v>93</v>
      </c>
      <c r="AD69" s="12"/>
      <c r="AE69" s="1"/>
      <c r="AF69" s="1"/>
    </row>
    <row r="70" ht="11.25" customHeight="1">
      <c r="A70" s="60"/>
      <c r="B70" s="60"/>
      <c r="C70" s="1"/>
      <c r="D70" s="1"/>
      <c r="E70" s="7"/>
      <c r="F70" s="281"/>
      <c r="G70" s="146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158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12"/>
      <c r="AE70" s="1"/>
      <c r="AF70" s="1"/>
    </row>
    <row r="71" ht="18.75" customHeight="1">
      <c r="A71" s="60"/>
      <c r="B71" s="60"/>
      <c r="C71" s="1"/>
      <c r="D71" s="1"/>
      <c r="E71" s="7"/>
      <c r="F71" s="154"/>
      <c r="G71" s="155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160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12"/>
      <c r="AE71" s="1"/>
      <c r="AF71" s="1"/>
    </row>
    <row r="72" ht="6.75" customHeight="1">
      <c r="A72" s="60"/>
      <c r="B72" s="60"/>
      <c r="C72" s="1"/>
      <c r="D72" s="1"/>
      <c r="E72" s="7"/>
      <c r="F72" s="16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12"/>
      <c r="AE72" s="1"/>
      <c r="AF72" s="1"/>
    </row>
    <row r="73" ht="27.75" customHeight="1">
      <c r="A73" s="60"/>
      <c r="B73" s="60"/>
      <c r="C73" s="1"/>
      <c r="D73" s="1"/>
      <c r="E73" s="7"/>
      <c r="F73" s="161" t="s">
        <v>143</v>
      </c>
      <c r="G73" s="142"/>
      <c r="H73" s="162">
        <f t="shared" ref="H73:P73" si="69">IF(H69="","",MIN(IF(H68="**",H69-2,IF(H68="*",H69-1,H69)),(IF(H70="**",H71-2,IF(H70="*",H71-1,H71)))))</f>
        <v>8</v>
      </c>
      <c r="I73" s="162">
        <f t="shared" si="69"/>
        <v>7</v>
      </c>
      <c r="J73" s="162">
        <f t="shared" si="69"/>
        <v>3</v>
      </c>
      <c r="K73" s="162">
        <f t="shared" si="69"/>
        <v>3</v>
      </c>
      <c r="L73" s="162">
        <f t="shared" si="69"/>
        <v>6</v>
      </c>
      <c r="M73" s="162">
        <f t="shared" si="69"/>
        <v>5</v>
      </c>
      <c r="N73" s="162">
        <f t="shared" si="69"/>
        <v>3</v>
      </c>
      <c r="O73" s="162">
        <f t="shared" si="69"/>
        <v>6</v>
      </c>
      <c r="P73" s="163">
        <f t="shared" si="69"/>
        <v>2</v>
      </c>
      <c r="Q73" s="162">
        <f t="shared" ref="Q73:Q74" si="72">IF(H73="","",SUM(H73:P73))</f>
        <v>43</v>
      </c>
      <c r="R73" s="23"/>
      <c r="S73" s="162">
        <f t="shared" ref="S73:AA73" si="70">IF(S69="","",MIN(IF(S68="**",S69-2,IF(S68="*",S69-1,S69)),(IF(S70="**",S71-2,IF(S70="*",S71-1,S71)))))</f>
        <v>7</v>
      </c>
      <c r="T73" s="162">
        <f t="shared" si="70"/>
        <v>4</v>
      </c>
      <c r="U73" s="162">
        <f t="shared" si="70"/>
        <v>3</v>
      </c>
      <c r="V73" s="162">
        <f t="shared" si="70"/>
        <v>3</v>
      </c>
      <c r="W73" s="162">
        <f t="shared" si="70"/>
        <v>5</v>
      </c>
      <c r="X73" s="162">
        <f t="shared" si="70"/>
        <v>4</v>
      </c>
      <c r="Y73" s="162">
        <f t="shared" si="70"/>
        <v>4</v>
      </c>
      <c r="Z73" s="162">
        <f t="shared" si="70"/>
        <v>3</v>
      </c>
      <c r="AA73" s="163">
        <f t="shared" si="70"/>
        <v>4</v>
      </c>
      <c r="AB73" s="162">
        <f t="shared" ref="AB73:AB74" si="74">IF(S73="","",SUM(S73:AA73))</f>
        <v>37</v>
      </c>
      <c r="AC73" s="162">
        <f t="shared" ref="AC73:AC74" si="75">IF(AB73="","",AB73+Q73)</f>
        <v>80</v>
      </c>
      <c r="AD73" s="12"/>
      <c r="AE73" s="1"/>
      <c r="AF73" s="1"/>
    </row>
    <row r="74" ht="27.75" customHeight="1">
      <c r="A74" s="60"/>
      <c r="B74" s="60"/>
      <c r="C74" s="1"/>
      <c r="D74" s="1"/>
      <c r="E74" s="7"/>
      <c r="F74" s="161" t="s">
        <v>144</v>
      </c>
      <c r="G74" s="142"/>
      <c r="H74" s="164">
        <f t="shared" ref="H74:P74" si="71">IF(H73="","",IF(H73=H65,0.5,IF(H73&lt;H65,1,0)))</f>
        <v>0</v>
      </c>
      <c r="I74" s="164">
        <f t="shared" si="71"/>
        <v>0</v>
      </c>
      <c r="J74" s="164">
        <f t="shared" si="71"/>
        <v>0.5</v>
      </c>
      <c r="K74" s="164">
        <f t="shared" si="71"/>
        <v>0.5</v>
      </c>
      <c r="L74" s="164">
        <f t="shared" si="71"/>
        <v>0</v>
      </c>
      <c r="M74" s="164">
        <f t="shared" si="71"/>
        <v>1</v>
      </c>
      <c r="N74" s="164">
        <f t="shared" si="71"/>
        <v>1</v>
      </c>
      <c r="O74" s="164">
        <f t="shared" si="71"/>
        <v>0</v>
      </c>
      <c r="P74" s="165">
        <f t="shared" si="71"/>
        <v>1</v>
      </c>
      <c r="Q74" s="164">
        <f t="shared" si="72"/>
        <v>4</v>
      </c>
      <c r="R74" s="23"/>
      <c r="S74" s="164">
        <f t="shared" ref="S74:AA74" si="73">IF(S73="","",IF(S73=S65,0.5,IF(S73&lt;S65,1,0)))</f>
        <v>0</v>
      </c>
      <c r="T74" s="164">
        <f t="shared" si="73"/>
        <v>0</v>
      </c>
      <c r="U74" s="164">
        <f t="shared" si="73"/>
        <v>1</v>
      </c>
      <c r="V74" s="164">
        <f t="shared" si="73"/>
        <v>0.5</v>
      </c>
      <c r="W74" s="164">
        <f t="shared" si="73"/>
        <v>1</v>
      </c>
      <c r="X74" s="164">
        <f t="shared" si="73"/>
        <v>1</v>
      </c>
      <c r="Y74" s="164">
        <f t="shared" si="73"/>
        <v>0.5</v>
      </c>
      <c r="Z74" s="164">
        <f t="shared" si="73"/>
        <v>0.5</v>
      </c>
      <c r="AA74" s="165">
        <f t="shared" si="73"/>
        <v>1</v>
      </c>
      <c r="AB74" s="164">
        <f t="shared" si="74"/>
        <v>5.5</v>
      </c>
      <c r="AC74" s="164">
        <f t="shared" si="75"/>
        <v>9.5</v>
      </c>
      <c r="AD74" s="12"/>
      <c r="AE74" s="1"/>
      <c r="AF74" s="1"/>
    </row>
    <row r="75" ht="6.75" customHeight="1">
      <c r="A75" s="60"/>
      <c r="B75" s="60"/>
      <c r="C75" s="1"/>
      <c r="D75" s="1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7"/>
      <c r="AE75" s="1"/>
      <c r="AF75" s="1"/>
    </row>
    <row r="76" ht="60.0" customHeight="1">
      <c r="A76" s="60"/>
      <c r="B76" s="60"/>
      <c r="C76" s="1"/>
      <c r="D76" s="1"/>
      <c r="E76" s="3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6.75" customHeight="1">
      <c r="A77" s="60"/>
      <c r="B77" s="60"/>
      <c r="C77" s="1"/>
      <c r="D77" s="1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  <c r="AA77" s="4"/>
      <c r="AB77" s="4"/>
      <c r="AC77" s="4"/>
      <c r="AD77" s="5"/>
      <c r="AE77" s="1"/>
      <c r="AF77" s="1"/>
    </row>
    <row r="78" ht="15.75" customHeight="1">
      <c r="A78" s="60"/>
      <c r="B78" s="60"/>
      <c r="C78" s="1"/>
      <c r="D78" s="1"/>
      <c r="E78" s="7"/>
      <c r="F78" s="140" t="str">
        <f>F53</f>
        <v>MICHIGAN OPEN 2022 - ROUND 4 - THE MONUMENT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2"/>
      <c r="AD78" s="12"/>
      <c r="AE78" s="1"/>
      <c r="AF78" s="1"/>
    </row>
    <row r="79" ht="18.75" customHeight="1">
      <c r="A79" s="60"/>
      <c r="B79" s="60"/>
      <c r="C79" s="1"/>
      <c r="D79" s="1"/>
      <c r="E79" s="7"/>
      <c r="F79" s="1"/>
      <c r="G79" s="1"/>
      <c r="H79" s="1"/>
      <c r="I79" s="1"/>
      <c r="J79" s="13" t="str">
        <f>J54</f>
        <v>FRONT</v>
      </c>
      <c r="K79" s="14"/>
      <c r="L79" s="14"/>
      <c r="M79" s="14"/>
      <c r="N79" s="14"/>
      <c r="O79" s="1"/>
      <c r="P79" s="1"/>
      <c r="Q79" s="1"/>
      <c r="R79" s="1"/>
      <c r="S79" s="1"/>
      <c r="T79" s="1"/>
      <c r="U79" s="1"/>
      <c r="V79" s="13" t="str">
        <f>V54</f>
        <v>BACK</v>
      </c>
      <c r="W79" s="14"/>
      <c r="X79" s="14"/>
      <c r="Y79" s="14"/>
      <c r="Z79" s="14"/>
      <c r="AA79" s="1"/>
      <c r="AB79" s="1"/>
      <c r="AC79" s="1"/>
      <c r="AD79" s="12"/>
      <c r="AE79" s="1"/>
      <c r="AF79" s="1"/>
    </row>
    <row r="80" ht="15.0" customHeight="1">
      <c r="A80" s="60"/>
      <c r="B80" s="60"/>
      <c r="C80" s="1"/>
      <c r="D80" s="1"/>
      <c r="E80" s="7"/>
      <c r="F80" s="1"/>
      <c r="G80" s="143" t="str">
        <f t="shared" ref="G80:Q80" si="76">G55</f>
        <v>HOLE</v>
      </c>
      <c r="H80" s="143">
        <f t="shared" si="76"/>
        <v>1</v>
      </c>
      <c r="I80" s="143">
        <f t="shared" si="76"/>
        <v>2</v>
      </c>
      <c r="J80" s="143">
        <f t="shared" si="76"/>
        <v>3</v>
      </c>
      <c r="K80" s="143">
        <f t="shared" si="76"/>
        <v>4</v>
      </c>
      <c r="L80" s="143">
        <f t="shared" si="76"/>
        <v>5</v>
      </c>
      <c r="M80" s="143">
        <f t="shared" si="76"/>
        <v>6</v>
      </c>
      <c r="N80" s="143">
        <f t="shared" si="76"/>
        <v>7</v>
      </c>
      <c r="O80" s="143">
        <f t="shared" si="76"/>
        <v>8</v>
      </c>
      <c r="P80" s="143">
        <f t="shared" si="76"/>
        <v>9</v>
      </c>
      <c r="Q80" s="143" t="str">
        <f t="shared" si="76"/>
        <v>OUT</v>
      </c>
      <c r="R80" s="16"/>
      <c r="S80" s="143">
        <f t="shared" ref="S80:AC80" si="77">S55</f>
        <v>10</v>
      </c>
      <c r="T80" s="143">
        <f t="shared" si="77"/>
        <v>11</v>
      </c>
      <c r="U80" s="143">
        <f t="shared" si="77"/>
        <v>12</v>
      </c>
      <c r="V80" s="143">
        <f t="shared" si="77"/>
        <v>13</v>
      </c>
      <c r="W80" s="143">
        <f t="shared" si="77"/>
        <v>14</v>
      </c>
      <c r="X80" s="143">
        <f t="shared" si="77"/>
        <v>15</v>
      </c>
      <c r="Y80" s="143">
        <f t="shared" si="77"/>
        <v>16</v>
      </c>
      <c r="Z80" s="143">
        <f t="shared" si="77"/>
        <v>17</v>
      </c>
      <c r="AA80" s="143">
        <f t="shared" si="77"/>
        <v>18</v>
      </c>
      <c r="AB80" s="143" t="str">
        <f t="shared" si="77"/>
        <v>IN</v>
      </c>
      <c r="AC80" s="143" t="str">
        <f t="shared" si="77"/>
        <v>TOTAL</v>
      </c>
      <c r="AD80" s="12"/>
      <c r="AE80" s="1"/>
      <c r="AF80" s="1"/>
    </row>
    <row r="81" ht="15.0" customHeight="1">
      <c r="A81" s="60"/>
      <c r="B81" s="60"/>
      <c r="C81" s="1"/>
      <c r="D81" s="1"/>
      <c r="E81" s="7"/>
      <c r="F81" s="144" t="s">
        <v>190</v>
      </c>
      <c r="G81" s="182" t="str">
        <f t="shared" ref="G81:Q81" si="78">G56</f>
        <v>COMBO</v>
      </c>
      <c r="H81" s="182">
        <f t="shared" si="78"/>
        <v>531</v>
      </c>
      <c r="I81" s="182">
        <f t="shared" si="78"/>
        <v>359</v>
      </c>
      <c r="J81" s="182">
        <f t="shared" si="78"/>
        <v>151</v>
      </c>
      <c r="K81" s="182">
        <f t="shared" si="78"/>
        <v>387</v>
      </c>
      <c r="L81" s="182">
        <f t="shared" si="78"/>
        <v>505</v>
      </c>
      <c r="M81" s="182">
        <f t="shared" si="78"/>
        <v>282</v>
      </c>
      <c r="N81" s="182">
        <f t="shared" si="78"/>
        <v>398</v>
      </c>
      <c r="O81" s="182">
        <f t="shared" si="78"/>
        <v>389</v>
      </c>
      <c r="P81" s="182">
        <f t="shared" si="78"/>
        <v>166</v>
      </c>
      <c r="Q81" s="182">
        <f t="shared" si="78"/>
        <v>3168</v>
      </c>
      <c r="R81" s="17"/>
      <c r="S81" s="182">
        <f t="shared" ref="S81:AB81" si="79">S56</f>
        <v>502</v>
      </c>
      <c r="T81" s="182">
        <f t="shared" si="79"/>
        <v>368</v>
      </c>
      <c r="U81" s="182">
        <f t="shared" si="79"/>
        <v>371</v>
      </c>
      <c r="V81" s="182">
        <f t="shared" si="79"/>
        <v>193</v>
      </c>
      <c r="W81" s="182">
        <f t="shared" si="79"/>
        <v>503</v>
      </c>
      <c r="X81" s="182">
        <f t="shared" si="79"/>
        <v>408</v>
      </c>
      <c r="Y81" s="182">
        <f t="shared" si="79"/>
        <v>324</v>
      </c>
      <c r="Z81" s="182">
        <f t="shared" si="79"/>
        <v>163</v>
      </c>
      <c r="AA81" s="182">
        <f t="shared" si="79"/>
        <v>379</v>
      </c>
      <c r="AB81" s="182">
        <f t="shared" si="79"/>
        <v>3211</v>
      </c>
      <c r="AC81" s="182">
        <f t="shared" ref="AC81:AC82" si="82">AB81+Q81</f>
        <v>6379</v>
      </c>
      <c r="AD81" s="12"/>
      <c r="AE81" s="1"/>
      <c r="AF81" s="1"/>
    </row>
    <row r="82" ht="15.0" customHeight="1">
      <c r="A82" s="60"/>
      <c r="B82" s="60"/>
      <c r="C82" s="1"/>
      <c r="D82" s="1"/>
      <c r="E82" s="7"/>
      <c r="F82" s="146"/>
      <c r="G82" s="147" t="str">
        <f t="shared" ref="G82:Q82" si="80">G57</f>
        <v>PAR</v>
      </c>
      <c r="H82" s="147">
        <f t="shared" si="80"/>
        <v>5</v>
      </c>
      <c r="I82" s="147">
        <f t="shared" si="80"/>
        <v>4</v>
      </c>
      <c r="J82" s="147">
        <f t="shared" si="80"/>
        <v>3</v>
      </c>
      <c r="K82" s="147">
        <f t="shared" si="80"/>
        <v>4</v>
      </c>
      <c r="L82" s="147">
        <f t="shared" si="80"/>
        <v>5</v>
      </c>
      <c r="M82" s="147">
        <f t="shared" si="80"/>
        <v>4</v>
      </c>
      <c r="N82" s="147">
        <f t="shared" si="80"/>
        <v>4</v>
      </c>
      <c r="O82" s="147">
        <f t="shared" si="80"/>
        <v>4</v>
      </c>
      <c r="P82" s="147">
        <f t="shared" si="80"/>
        <v>3</v>
      </c>
      <c r="Q82" s="147">
        <f t="shared" si="80"/>
        <v>36</v>
      </c>
      <c r="R82" s="17"/>
      <c r="S82" s="147">
        <f t="shared" ref="S82:AB82" si="81">S57</f>
        <v>5</v>
      </c>
      <c r="T82" s="147">
        <f t="shared" si="81"/>
        <v>4</v>
      </c>
      <c r="U82" s="147">
        <f t="shared" si="81"/>
        <v>4</v>
      </c>
      <c r="V82" s="147">
        <f t="shared" si="81"/>
        <v>3</v>
      </c>
      <c r="W82" s="147">
        <f t="shared" si="81"/>
        <v>5</v>
      </c>
      <c r="X82" s="147">
        <f t="shared" si="81"/>
        <v>4</v>
      </c>
      <c r="Y82" s="147">
        <f t="shared" si="81"/>
        <v>4</v>
      </c>
      <c r="Z82" s="147">
        <f t="shared" si="81"/>
        <v>3</v>
      </c>
      <c r="AA82" s="147">
        <f t="shared" si="81"/>
        <v>4</v>
      </c>
      <c r="AB82" s="147">
        <f t="shared" si="81"/>
        <v>36</v>
      </c>
      <c r="AC82" s="147">
        <f t="shared" si="82"/>
        <v>72</v>
      </c>
      <c r="AD82" s="12"/>
      <c r="AE82" s="1"/>
      <c r="AF82" s="1"/>
    </row>
    <row r="83" ht="15.0" customHeight="1">
      <c r="A83" s="60"/>
      <c r="B83" s="60"/>
      <c r="C83" s="1"/>
      <c r="D83" s="1"/>
      <c r="E83" s="7"/>
      <c r="F83" s="1"/>
      <c r="G83" s="148" t="str">
        <f t="shared" ref="G83:P83" si="83">G58</f>
        <v>HDCP</v>
      </c>
      <c r="H83" s="148">
        <f t="shared" si="83"/>
        <v>15</v>
      </c>
      <c r="I83" s="148">
        <f t="shared" si="83"/>
        <v>5</v>
      </c>
      <c r="J83" s="148">
        <f t="shared" si="83"/>
        <v>13</v>
      </c>
      <c r="K83" s="148">
        <f t="shared" si="83"/>
        <v>7</v>
      </c>
      <c r="L83" s="148">
        <f t="shared" si="83"/>
        <v>1</v>
      </c>
      <c r="M83" s="148">
        <f t="shared" si="83"/>
        <v>17</v>
      </c>
      <c r="N83" s="148">
        <f t="shared" si="83"/>
        <v>3</v>
      </c>
      <c r="O83" s="148">
        <f t="shared" si="83"/>
        <v>9</v>
      </c>
      <c r="P83" s="148">
        <f t="shared" si="83"/>
        <v>11</v>
      </c>
      <c r="Q83" s="148"/>
      <c r="R83" s="17"/>
      <c r="S83" s="148">
        <f t="shared" ref="S83:AA83" si="84">S58</f>
        <v>10</v>
      </c>
      <c r="T83" s="148">
        <f t="shared" si="84"/>
        <v>8</v>
      </c>
      <c r="U83" s="148">
        <f t="shared" si="84"/>
        <v>6</v>
      </c>
      <c r="V83" s="148">
        <f t="shared" si="84"/>
        <v>2</v>
      </c>
      <c r="W83" s="148">
        <f t="shared" si="84"/>
        <v>14</v>
      </c>
      <c r="X83" s="148">
        <f t="shared" si="84"/>
        <v>18</v>
      </c>
      <c r="Y83" s="148">
        <f t="shared" si="84"/>
        <v>16</v>
      </c>
      <c r="Z83" s="148">
        <f t="shared" si="84"/>
        <v>12</v>
      </c>
      <c r="AA83" s="148">
        <f t="shared" si="84"/>
        <v>4</v>
      </c>
      <c r="AB83" s="148"/>
      <c r="AC83" s="148"/>
      <c r="AD83" s="12"/>
      <c r="AE83" s="1"/>
      <c r="AF83" s="1"/>
    </row>
    <row r="84" ht="6.75" customHeight="1">
      <c r="A84" s="60"/>
      <c r="B84" s="60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2"/>
      <c r="AE84" s="1"/>
      <c r="AF84" s="1"/>
    </row>
    <row r="85" ht="11.25" customHeight="1">
      <c r="A85" s="60"/>
      <c r="B85" s="60"/>
      <c r="C85" s="1"/>
      <c r="D85" s="1"/>
      <c r="E85" s="7"/>
      <c r="F85" s="183" t="s">
        <v>129</v>
      </c>
      <c r="G85" s="150">
        <f>IFERROR(VLOOKUP(F85,HANDICAPS!$B$8:$G$23,$D$3,FALSE),"")</f>
        <v>14</v>
      </c>
      <c r="H85" s="151" t="str">
        <f t="shared" ref="H85:P85" si="85">IFERROR(IF($G85&gt;18,IF(($G85-18)&gt;H$33,"**","*"),IF($G85&gt;=H$8,"*","")),"")</f>
        <v/>
      </c>
      <c r="I85" s="151" t="str">
        <f t="shared" si="85"/>
        <v>*</v>
      </c>
      <c r="J85" s="151" t="str">
        <f t="shared" si="85"/>
        <v>*</v>
      </c>
      <c r="K85" s="151" t="str">
        <f t="shared" si="85"/>
        <v>*</v>
      </c>
      <c r="L85" s="151" t="str">
        <f t="shared" si="85"/>
        <v>*</v>
      </c>
      <c r="M85" s="151" t="str">
        <f t="shared" si="85"/>
        <v/>
      </c>
      <c r="N85" s="151" t="str">
        <f t="shared" si="85"/>
        <v>*</v>
      </c>
      <c r="O85" s="151" t="str">
        <f t="shared" si="85"/>
        <v>*</v>
      </c>
      <c r="P85" s="152" t="str">
        <f t="shared" si="85"/>
        <v>*</v>
      </c>
      <c r="Q85" s="151"/>
      <c r="R85" s="153"/>
      <c r="S85" s="151" t="str">
        <f t="shared" ref="S85:AA85" si="86">IFERROR(IF($G85&gt;18,IF(($G85-18)&gt;S$33,"**","*"),IF($G85&gt;=S$8,"*","")),"")</f>
        <v>*</v>
      </c>
      <c r="T85" s="151" t="str">
        <f t="shared" si="86"/>
        <v>*</v>
      </c>
      <c r="U85" s="151" t="str">
        <f t="shared" si="86"/>
        <v>*</v>
      </c>
      <c r="V85" s="151" t="str">
        <f t="shared" si="86"/>
        <v>*</v>
      </c>
      <c r="W85" s="151" t="str">
        <f t="shared" si="86"/>
        <v>*</v>
      </c>
      <c r="X85" s="151" t="str">
        <f t="shared" si="86"/>
        <v/>
      </c>
      <c r="Y85" s="151" t="str">
        <f t="shared" si="86"/>
        <v/>
      </c>
      <c r="Z85" s="151" t="str">
        <f t="shared" si="86"/>
        <v>*</v>
      </c>
      <c r="AA85" s="152" t="str">
        <f t="shared" si="86"/>
        <v>*</v>
      </c>
      <c r="AB85" s="151"/>
      <c r="AC85" s="151" t="str">
        <f>IF(AB85="","",SUM(Q85,AB85))</f>
        <v/>
      </c>
      <c r="AD85" s="12"/>
      <c r="AE85" s="1"/>
      <c r="AF85" s="1"/>
    </row>
    <row r="86" ht="18.75" customHeight="1">
      <c r="A86" s="60"/>
      <c r="B86" s="60" t="str">
        <f>F85</f>
        <v>ERIC</v>
      </c>
      <c r="C86" s="1"/>
      <c r="D86" s="1"/>
      <c r="E86" s="7"/>
      <c r="F86" s="281"/>
      <c r="G86" s="146"/>
      <c r="H86" s="282">
        <v>8.0</v>
      </c>
      <c r="I86" s="282">
        <v>6.0</v>
      </c>
      <c r="J86" s="282">
        <v>4.0</v>
      </c>
      <c r="K86" s="282">
        <v>4.0</v>
      </c>
      <c r="L86" s="282">
        <v>7.0</v>
      </c>
      <c r="M86" s="282">
        <v>4.0</v>
      </c>
      <c r="N86" s="282">
        <v>6.0</v>
      </c>
      <c r="O86" s="282">
        <v>4.0</v>
      </c>
      <c r="P86" s="282">
        <v>5.0</v>
      </c>
      <c r="Q86" s="160">
        <f>IF(H86="","",SUM(H86:P86))</f>
        <v>48</v>
      </c>
      <c r="R86" s="153"/>
      <c r="S86" s="282">
        <v>5.0</v>
      </c>
      <c r="T86" s="282">
        <v>5.0</v>
      </c>
      <c r="U86" s="282">
        <v>6.0</v>
      </c>
      <c r="V86" s="282">
        <v>3.0</v>
      </c>
      <c r="W86" s="282">
        <v>7.0</v>
      </c>
      <c r="X86" s="282">
        <v>6.0</v>
      </c>
      <c r="Y86" s="282">
        <v>5.0</v>
      </c>
      <c r="Z86" s="282">
        <v>2.0</v>
      </c>
      <c r="AA86" s="282">
        <v>7.0</v>
      </c>
      <c r="AB86" s="160">
        <f>IF(S86="","",SUM(S86:AA86))</f>
        <v>46</v>
      </c>
      <c r="AC86" s="160">
        <f>IFERROR(Q86+AB86,"")</f>
        <v>94</v>
      </c>
      <c r="AD86" s="12"/>
      <c r="AE86" s="1"/>
      <c r="AF86" s="1"/>
    </row>
    <row r="87" ht="11.25" customHeight="1">
      <c r="A87" s="60"/>
      <c r="B87" s="60"/>
      <c r="C87" s="1"/>
      <c r="D87" s="1"/>
      <c r="E87" s="7"/>
      <c r="F87" s="281"/>
      <c r="G87" s="146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158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12"/>
      <c r="AE87" s="1"/>
      <c r="AF87" s="1"/>
    </row>
    <row r="88" ht="18.75" customHeight="1">
      <c r="A88" s="60"/>
      <c r="B88" s="60"/>
      <c r="C88" s="1"/>
      <c r="D88" s="1"/>
      <c r="E88" s="7"/>
      <c r="F88" s="154"/>
      <c r="G88" s="155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160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12"/>
      <c r="AE88" s="1"/>
      <c r="AF88" s="1"/>
    </row>
    <row r="89" ht="6.75" customHeight="1">
      <c r="A89" s="60"/>
      <c r="B89" s="60"/>
      <c r="C89" s="1"/>
      <c r="D89" s="1"/>
      <c r="E89" s="7"/>
      <c r="F89" s="16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12"/>
      <c r="AE89" s="1"/>
      <c r="AF89" s="1"/>
    </row>
    <row r="90" ht="27.75" customHeight="1">
      <c r="A90" s="60"/>
      <c r="B90" s="60"/>
      <c r="C90" s="1"/>
      <c r="D90" s="1"/>
      <c r="E90" s="7"/>
      <c r="F90" s="161" t="s">
        <v>143</v>
      </c>
      <c r="G90" s="142"/>
      <c r="H90" s="162">
        <f t="shared" ref="H90:P90" si="87">IF(H86="","",MIN(IF(H85="**",H86-2,IF(H85="*",H86-1,H86)),(IF(H87="**",H88-2,IF(H87="*",H88-1,H88)))))</f>
        <v>8</v>
      </c>
      <c r="I90" s="162">
        <f t="shared" si="87"/>
        <v>5</v>
      </c>
      <c r="J90" s="162">
        <f t="shared" si="87"/>
        <v>3</v>
      </c>
      <c r="K90" s="162">
        <f t="shared" si="87"/>
        <v>3</v>
      </c>
      <c r="L90" s="162">
        <f t="shared" si="87"/>
        <v>6</v>
      </c>
      <c r="M90" s="162">
        <f t="shared" si="87"/>
        <v>4</v>
      </c>
      <c r="N90" s="162">
        <f t="shared" si="87"/>
        <v>5</v>
      </c>
      <c r="O90" s="162">
        <f t="shared" si="87"/>
        <v>3</v>
      </c>
      <c r="P90" s="163">
        <f t="shared" si="87"/>
        <v>4</v>
      </c>
      <c r="Q90" s="162">
        <f t="shared" ref="Q90:Q91" si="90">IF(H90="","",SUM(H90:P90))</f>
        <v>41</v>
      </c>
      <c r="R90" s="23"/>
      <c r="S90" s="162">
        <f t="shared" ref="S90:AA90" si="88">IF(S86="","",MIN(IF(S85="**",S86-2,IF(S85="*",S86-1,S86)),(IF(S87="**",S88-2,IF(S87="*",S88-1,S88)))))</f>
        <v>4</v>
      </c>
      <c r="T90" s="162">
        <f t="shared" si="88"/>
        <v>4</v>
      </c>
      <c r="U90" s="162">
        <f t="shared" si="88"/>
        <v>5</v>
      </c>
      <c r="V90" s="162">
        <f t="shared" si="88"/>
        <v>2</v>
      </c>
      <c r="W90" s="162">
        <f t="shared" si="88"/>
        <v>6</v>
      </c>
      <c r="X90" s="162">
        <f t="shared" si="88"/>
        <v>6</v>
      </c>
      <c r="Y90" s="162">
        <f t="shared" si="88"/>
        <v>5</v>
      </c>
      <c r="Z90" s="162">
        <f t="shared" si="88"/>
        <v>1</v>
      </c>
      <c r="AA90" s="163">
        <f t="shared" si="88"/>
        <v>6</v>
      </c>
      <c r="AB90" s="162">
        <f t="shared" ref="AB90:AB91" si="92">IF(S90="","",SUM(S90:AA90))</f>
        <v>39</v>
      </c>
      <c r="AC90" s="162">
        <f t="shared" ref="AC90:AC91" si="93">IF(AB90="","",AB90+Q90)</f>
        <v>80</v>
      </c>
      <c r="AD90" s="12"/>
      <c r="AE90" s="1"/>
      <c r="AF90" s="1"/>
    </row>
    <row r="91" ht="27.75" customHeight="1">
      <c r="A91" s="60"/>
      <c r="B91" s="60"/>
      <c r="C91" s="1"/>
      <c r="D91" s="1"/>
      <c r="E91" s="7"/>
      <c r="F91" s="161" t="s">
        <v>144</v>
      </c>
      <c r="G91" s="142"/>
      <c r="H91" s="164">
        <f t="shared" ref="H91:P91" si="89">IF(H90="","",IF(H90=H98,0.5,IF(H90&lt;H98,1,0)))</f>
        <v>0</v>
      </c>
      <c r="I91" s="164">
        <f t="shared" si="89"/>
        <v>0</v>
      </c>
      <c r="J91" s="164">
        <f t="shared" si="89"/>
        <v>1</v>
      </c>
      <c r="K91" s="164">
        <f t="shared" si="89"/>
        <v>1</v>
      </c>
      <c r="L91" s="164">
        <f t="shared" si="89"/>
        <v>0.5</v>
      </c>
      <c r="M91" s="164">
        <f t="shared" si="89"/>
        <v>1</v>
      </c>
      <c r="N91" s="164">
        <f t="shared" si="89"/>
        <v>0</v>
      </c>
      <c r="O91" s="164">
        <f t="shared" si="89"/>
        <v>1</v>
      </c>
      <c r="P91" s="165">
        <f t="shared" si="89"/>
        <v>0</v>
      </c>
      <c r="Q91" s="164">
        <f t="shared" si="90"/>
        <v>4.5</v>
      </c>
      <c r="R91" s="23"/>
      <c r="S91" s="164">
        <f t="shared" ref="S91:AA91" si="91">IF(S90="","",IF(S90=S98,0.5,IF(S90&lt;S98,1,0)))</f>
        <v>1</v>
      </c>
      <c r="T91" s="164">
        <f t="shared" si="91"/>
        <v>1</v>
      </c>
      <c r="U91" s="164">
        <f t="shared" si="91"/>
        <v>0</v>
      </c>
      <c r="V91" s="164">
        <f t="shared" si="91"/>
        <v>1</v>
      </c>
      <c r="W91" s="164">
        <f t="shared" si="91"/>
        <v>1</v>
      </c>
      <c r="X91" s="164">
        <f t="shared" si="91"/>
        <v>0</v>
      </c>
      <c r="Y91" s="164">
        <f t="shared" si="91"/>
        <v>0</v>
      </c>
      <c r="Z91" s="164">
        <f t="shared" si="91"/>
        <v>1</v>
      </c>
      <c r="AA91" s="165">
        <f t="shared" si="91"/>
        <v>0</v>
      </c>
      <c r="AB91" s="164">
        <f t="shared" si="92"/>
        <v>5</v>
      </c>
      <c r="AC91" s="164">
        <f t="shared" si="93"/>
        <v>9.5</v>
      </c>
      <c r="AD91" s="12"/>
      <c r="AE91" s="1"/>
      <c r="AF91" s="1"/>
    </row>
    <row r="92" ht="6.75" customHeight="1">
      <c r="A92" s="60"/>
      <c r="B92" s="60"/>
      <c r="C92" s="1"/>
      <c r="D92" s="1"/>
      <c r="E92" s="7"/>
      <c r="F92" s="16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12"/>
      <c r="AE92" s="1"/>
      <c r="AF92" s="1"/>
    </row>
    <row r="93" ht="11.25" customHeight="1">
      <c r="A93" s="60"/>
      <c r="B93" s="60"/>
      <c r="C93" s="1"/>
      <c r="D93" s="1"/>
      <c r="E93" s="7"/>
      <c r="F93" s="183" t="s">
        <v>83</v>
      </c>
      <c r="G93" s="150">
        <f>IFERROR(VLOOKUP(F93,HANDICAPS!$B$8:$G$23,$D$3,FALSE),"")</f>
        <v>6</v>
      </c>
      <c r="H93" s="151" t="str">
        <f t="shared" ref="H93:P93" si="94">IFERROR(IF($G93&gt;18,IF(($G93-18)&gt;H$33,"**","*"),IF($G93&gt;=H$8,"*","")),"")</f>
        <v/>
      </c>
      <c r="I93" s="151" t="str">
        <f t="shared" si="94"/>
        <v>*</v>
      </c>
      <c r="J93" s="151" t="str">
        <f t="shared" si="94"/>
        <v/>
      </c>
      <c r="K93" s="151" t="str">
        <f t="shared" si="94"/>
        <v/>
      </c>
      <c r="L93" s="151" t="str">
        <f t="shared" si="94"/>
        <v>*</v>
      </c>
      <c r="M93" s="151" t="str">
        <f t="shared" si="94"/>
        <v/>
      </c>
      <c r="N93" s="151" t="str">
        <f t="shared" si="94"/>
        <v>*</v>
      </c>
      <c r="O93" s="151" t="str">
        <f t="shared" si="94"/>
        <v/>
      </c>
      <c r="P93" s="152" t="str">
        <f t="shared" si="94"/>
        <v/>
      </c>
      <c r="Q93" s="151"/>
      <c r="R93" s="153"/>
      <c r="S93" s="151" t="str">
        <f t="shared" ref="S93:AA93" si="95">IFERROR(IF($G93&gt;18,IF(($G93-18)&gt;S$33,"**","*"),IF($G93&gt;=S$8,"*","")),"")</f>
        <v/>
      </c>
      <c r="T93" s="151" t="str">
        <f t="shared" si="95"/>
        <v/>
      </c>
      <c r="U93" s="151" t="str">
        <f t="shared" si="95"/>
        <v>*</v>
      </c>
      <c r="V93" s="151" t="str">
        <f t="shared" si="95"/>
        <v>*</v>
      </c>
      <c r="W93" s="151" t="str">
        <f t="shared" si="95"/>
        <v/>
      </c>
      <c r="X93" s="151" t="str">
        <f t="shared" si="95"/>
        <v/>
      </c>
      <c r="Y93" s="151" t="str">
        <f t="shared" si="95"/>
        <v/>
      </c>
      <c r="Z93" s="151" t="str">
        <f t="shared" si="95"/>
        <v/>
      </c>
      <c r="AA93" s="152" t="str">
        <f t="shared" si="95"/>
        <v>*</v>
      </c>
      <c r="AB93" s="151"/>
      <c r="AC93" s="151" t="str">
        <f>IF(AB93="","",SUM(Q93,AB93))</f>
        <v/>
      </c>
      <c r="AD93" s="12"/>
      <c r="AE93" s="1"/>
      <c r="AF93" s="1"/>
    </row>
    <row r="94" ht="18.75" customHeight="1">
      <c r="A94" s="60"/>
      <c r="B94" s="60" t="str">
        <f>F93</f>
        <v>DANNY</v>
      </c>
      <c r="C94" s="1"/>
      <c r="D94" s="1"/>
      <c r="E94" s="7"/>
      <c r="F94" s="281"/>
      <c r="G94" s="146"/>
      <c r="H94" s="282">
        <v>6.0</v>
      </c>
      <c r="I94" s="282">
        <v>4.0</v>
      </c>
      <c r="J94" s="282">
        <v>4.0</v>
      </c>
      <c r="K94" s="282">
        <v>6.0</v>
      </c>
      <c r="L94" s="282">
        <v>7.0</v>
      </c>
      <c r="M94" s="282">
        <v>6.0</v>
      </c>
      <c r="N94" s="282">
        <v>4.0</v>
      </c>
      <c r="O94" s="282">
        <v>5.0</v>
      </c>
      <c r="P94" s="282">
        <v>3.0</v>
      </c>
      <c r="Q94" s="160">
        <f>IF(H94="","",SUM(H94:P94))</f>
        <v>45</v>
      </c>
      <c r="R94" s="153"/>
      <c r="S94" s="282">
        <v>6.0</v>
      </c>
      <c r="T94" s="282">
        <v>5.0</v>
      </c>
      <c r="U94" s="282">
        <v>4.0</v>
      </c>
      <c r="V94" s="282">
        <v>4.0</v>
      </c>
      <c r="W94" s="282">
        <v>7.0</v>
      </c>
      <c r="X94" s="282">
        <v>4.0</v>
      </c>
      <c r="Y94" s="282">
        <v>4.0</v>
      </c>
      <c r="Z94" s="282">
        <v>4.0</v>
      </c>
      <c r="AA94" s="282">
        <v>6.0</v>
      </c>
      <c r="AB94" s="160">
        <f>IF(S94="","",SUM(S94:AA94))</f>
        <v>44</v>
      </c>
      <c r="AC94" s="160">
        <f>IFERROR(Q94+AB94,"")</f>
        <v>89</v>
      </c>
      <c r="AD94" s="12"/>
      <c r="AE94" s="1"/>
      <c r="AF94" s="1"/>
    </row>
    <row r="95" ht="11.25" customHeight="1">
      <c r="A95" s="60"/>
      <c r="B95" s="60"/>
      <c r="C95" s="1"/>
      <c r="D95" s="1"/>
      <c r="E95" s="7"/>
      <c r="F95" s="281"/>
      <c r="G95" s="146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158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12"/>
      <c r="AE95" s="1"/>
      <c r="AF95" s="1"/>
    </row>
    <row r="96" ht="18.75" customHeight="1">
      <c r="A96" s="60"/>
      <c r="B96" s="60"/>
      <c r="C96" s="1"/>
      <c r="D96" s="1"/>
      <c r="E96" s="7"/>
      <c r="F96" s="154"/>
      <c r="G96" s="155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160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12"/>
      <c r="AE96" s="1"/>
      <c r="AF96" s="1"/>
    </row>
    <row r="97" ht="6.75" customHeight="1">
      <c r="A97" s="60"/>
      <c r="B97" s="60"/>
      <c r="C97" s="1"/>
      <c r="D97" s="1"/>
      <c r="E97" s="7"/>
      <c r="F97" s="16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12"/>
      <c r="AE97" s="1"/>
      <c r="AF97" s="1"/>
    </row>
    <row r="98" ht="27.75" customHeight="1">
      <c r="A98" s="60"/>
      <c r="B98" s="60"/>
      <c r="C98" s="1"/>
      <c r="D98" s="1"/>
      <c r="E98" s="7"/>
      <c r="F98" s="161" t="s">
        <v>143</v>
      </c>
      <c r="G98" s="142"/>
      <c r="H98" s="162">
        <f t="shared" ref="H98:P98" si="96">IF(H94="","",MIN(IF(H93="**",H94-2,IF(H93="*",H94-1,H94)),(IF(H95="**",H96-2,IF(H95="*",H96-1,H96)))))</f>
        <v>6</v>
      </c>
      <c r="I98" s="162">
        <f t="shared" si="96"/>
        <v>3</v>
      </c>
      <c r="J98" s="162">
        <f t="shared" si="96"/>
        <v>4</v>
      </c>
      <c r="K98" s="162">
        <f t="shared" si="96"/>
        <v>6</v>
      </c>
      <c r="L98" s="162">
        <f t="shared" si="96"/>
        <v>6</v>
      </c>
      <c r="M98" s="162">
        <f t="shared" si="96"/>
        <v>6</v>
      </c>
      <c r="N98" s="162">
        <f t="shared" si="96"/>
        <v>3</v>
      </c>
      <c r="O98" s="162">
        <f t="shared" si="96"/>
        <v>5</v>
      </c>
      <c r="P98" s="163">
        <f t="shared" si="96"/>
        <v>3</v>
      </c>
      <c r="Q98" s="162">
        <f t="shared" ref="Q98:Q99" si="99">IF(H98="","",SUM(H98:P98))</f>
        <v>42</v>
      </c>
      <c r="R98" s="23"/>
      <c r="S98" s="162">
        <f t="shared" ref="S98:AA98" si="97">IF(S94="","",MIN(IF(S93="**",S94-2,IF(S93="*",S94-1,S94)),(IF(S95="**",S96-2,IF(S95="*",S96-1,S96)))))</f>
        <v>6</v>
      </c>
      <c r="T98" s="162">
        <f t="shared" si="97"/>
        <v>5</v>
      </c>
      <c r="U98" s="162">
        <f t="shared" si="97"/>
        <v>3</v>
      </c>
      <c r="V98" s="162">
        <f t="shared" si="97"/>
        <v>3</v>
      </c>
      <c r="W98" s="162">
        <f t="shared" si="97"/>
        <v>7</v>
      </c>
      <c r="X98" s="162">
        <f t="shared" si="97"/>
        <v>4</v>
      </c>
      <c r="Y98" s="162">
        <f t="shared" si="97"/>
        <v>4</v>
      </c>
      <c r="Z98" s="162">
        <f t="shared" si="97"/>
        <v>4</v>
      </c>
      <c r="AA98" s="163">
        <f t="shared" si="97"/>
        <v>5</v>
      </c>
      <c r="AB98" s="162">
        <f t="shared" ref="AB98:AB99" si="101">IF(S98="","",SUM(S98:AA98))</f>
        <v>41</v>
      </c>
      <c r="AC98" s="162">
        <f t="shared" ref="AC98:AC99" si="102">IF(AB98="","",AB98+Q98)</f>
        <v>83</v>
      </c>
      <c r="AD98" s="12"/>
      <c r="AE98" s="1"/>
      <c r="AF98" s="1"/>
    </row>
    <row r="99" ht="27.75" customHeight="1">
      <c r="A99" s="60"/>
      <c r="B99" s="60"/>
      <c r="C99" s="1"/>
      <c r="D99" s="1"/>
      <c r="E99" s="7"/>
      <c r="F99" s="161" t="s">
        <v>144</v>
      </c>
      <c r="G99" s="142"/>
      <c r="H99" s="164">
        <f t="shared" ref="H99:P99" si="98">IF(H98="","",IF(H98=H90,0.5,IF(H98&lt;H90,1,0)))</f>
        <v>1</v>
      </c>
      <c r="I99" s="164">
        <f t="shared" si="98"/>
        <v>1</v>
      </c>
      <c r="J99" s="164">
        <f t="shared" si="98"/>
        <v>0</v>
      </c>
      <c r="K99" s="164">
        <f t="shared" si="98"/>
        <v>0</v>
      </c>
      <c r="L99" s="164">
        <f t="shared" si="98"/>
        <v>0.5</v>
      </c>
      <c r="M99" s="164">
        <f t="shared" si="98"/>
        <v>0</v>
      </c>
      <c r="N99" s="164">
        <f t="shared" si="98"/>
        <v>1</v>
      </c>
      <c r="O99" s="164">
        <f t="shared" si="98"/>
        <v>0</v>
      </c>
      <c r="P99" s="165">
        <f t="shared" si="98"/>
        <v>1</v>
      </c>
      <c r="Q99" s="164">
        <f t="shared" si="99"/>
        <v>4.5</v>
      </c>
      <c r="R99" s="23"/>
      <c r="S99" s="164">
        <f t="shared" ref="S99:AA99" si="100">IF(S98="","",IF(S98=S90,0.5,IF(S98&lt;S90,1,0)))</f>
        <v>0</v>
      </c>
      <c r="T99" s="164">
        <f t="shared" si="100"/>
        <v>0</v>
      </c>
      <c r="U99" s="164">
        <f t="shared" si="100"/>
        <v>1</v>
      </c>
      <c r="V99" s="164">
        <f t="shared" si="100"/>
        <v>0</v>
      </c>
      <c r="W99" s="164">
        <f t="shared" si="100"/>
        <v>0</v>
      </c>
      <c r="X99" s="164">
        <f t="shared" si="100"/>
        <v>1</v>
      </c>
      <c r="Y99" s="164">
        <f t="shared" si="100"/>
        <v>1</v>
      </c>
      <c r="Z99" s="164">
        <f t="shared" si="100"/>
        <v>0</v>
      </c>
      <c r="AA99" s="165">
        <f t="shared" si="100"/>
        <v>1</v>
      </c>
      <c r="AB99" s="164">
        <f t="shared" si="101"/>
        <v>4</v>
      </c>
      <c r="AC99" s="164">
        <f t="shared" si="102"/>
        <v>8.5</v>
      </c>
      <c r="AD99" s="12"/>
      <c r="AE99" s="1"/>
      <c r="AF99" s="1"/>
    </row>
    <row r="100" ht="6.75" customHeight="1">
      <c r="A100" s="60"/>
      <c r="B100" s="60"/>
      <c r="C100" s="1"/>
      <c r="D100" s="1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  <c r="AE100" s="1"/>
      <c r="AF100" s="1"/>
    </row>
    <row r="101" ht="79.5" hidden="1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6.75" customHeight="1">
      <c r="C102" s="1"/>
      <c r="D102" s="1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  <c r="X102" s="4"/>
      <c r="Y102" s="4"/>
      <c r="Z102" s="4"/>
      <c r="AA102" s="4"/>
      <c r="AB102" s="4"/>
      <c r="AC102" s="4"/>
      <c r="AD102" s="5"/>
      <c r="AE102" s="1"/>
      <c r="AF102" s="1"/>
    </row>
    <row r="103" ht="15.75" customHeight="1">
      <c r="C103" s="1"/>
      <c r="D103" s="1"/>
      <c r="E103" s="7"/>
      <c r="F103" s="140" t="str">
        <f>F78</f>
        <v>MICHIGAN OPEN 2022 - ROUND 4 - THE MONUMENT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2"/>
      <c r="AD103" s="12"/>
      <c r="AE103" s="1"/>
      <c r="AF103" s="1"/>
    </row>
    <row r="104" ht="18.75" customHeight="1">
      <c r="C104" s="1"/>
      <c r="D104" s="1"/>
      <c r="E104" s="7"/>
      <c r="F104" s="1"/>
      <c r="G104" s="1"/>
      <c r="H104" s="1"/>
      <c r="I104" s="1"/>
      <c r="J104" s="287" t="str">
        <f>J79</f>
        <v>FRONT</v>
      </c>
      <c r="K104" s="141"/>
      <c r="L104" s="141"/>
      <c r="M104" s="141"/>
      <c r="N104" s="141"/>
      <c r="O104" s="1"/>
      <c r="P104" s="1"/>
      <c r="Q104" s="1"/>
      <c r="R104" s="1"/>
      <c r="S104" s="1"/>
      <c r="T104" s="1"/>
      <c r="U104" s="1"/>
      <c r="V104" s="287" t="str">
        <f>V79</f>
        <v>BACK</v>
      </c>
      <c r="W104" s="141"/>
      <c r="X104" s="141"/>
      <c r="Y104" s="141"/>
      <c r="Z104" s="141"/>
      <c r="AA104" s="1"/>
      <c r="AB104" s="1"/>
      <c r="AC104" s="1"/>
      <c r="AD104" s="12"/>
      <c r="AE104" s="1"/>
      <c r="AF104" s="1"/>
    </row>
    <row r="105" ht="15.0" customHeight="1">
      <c r="C105" s="1"/>
      <c r="D105" s="1"/>
      <c r="E105" s="7"/>
      <c r="F105" s="1"/>
      <c r="G105" s="143" t="str">
        <f t="shared" ref="G105:Q105" si="103">G80</f>
        <v>HOLE</v>
      </c>
      <c r="H105" s="143">
        <f t="shared" si="103"/>
        <v>1</v>
      </c>
      <c r="I105" s="143">
        <f t="shared" si="103"/>
        <v>2</v>
      </c>
      <c r="J105" s="143">
        <f t="shared" si="103"/>
        <v>3</v>
      </c>
      <c r="K105" s="143">
        <f t="shared" si="103"/>
        <v>4</v>
      </c>
      <c r="L105" s="143">
        <f t="shared" si="103"/>
        <v>5</v>
      </c>
      <c r="M105" s="143">
        <f t="shared" si="103"/>
        <v>6</v>
      </c>
      <c r="N105" s="143">
        <f t="shared" si="103"/>
        <v>7</v>
      </c>
      <c r="O105" s="143">
        <f t="shared" si="103"/>
        <v>8</v>
      </c>
      <c r="P105" s="143">
        <f t="shared" si="103"/>
        <v>9</v>
      </c>
      <c r="Q105" s="143" t="str">
        <f t="shared" si="103"/>
        <v>OUT</v>
      </c>
      <c r="R105" s="16"/>
      <c r="S105" s="143">
        <f t="shared" ref="S105:AC105" si="104">S80</f>
        <v>10</v>
      </c>
      <c r="T105" s="143">
        <f t="shared" si="104"/>
        <v>11</v>
      </c>
      <c r="U105" s="143">
        <f t="shared" si="104"/>
        <v>12</v>
      </c>
      <c r="V105" s="143">
        <f t="shared" si="104"/>
        <v>13</v>
      </c>
      <c r="W105" s="143">
        <f t="shared" si="104"/>
        <v>14</v>
      </c>
      <c r="X105" s="143">
        <f t="shared" si="104"/>
        <v>15</v>
      </c>
      <c r="Y105" s="143">
        <f t="shared" si="104"/>
        <v>16</v>
      </c>
      <c r="Z105" s="143">
        <f t="shared" si="104"/>
        <v>17</v>
      </c>
      <c r="AA105" s="143">
        <f t="shared" si="104"/>
        <v>18</v>
      </c>
      <c r="AB105" s="143" t="str">
        <f t="shared" si="104"/>
        <v>IN</v>
      </c>
      <c r="AC105" s="143" t="str">
        <f t="shared" si="104"/>
        <v>TOTAL</v>
      </c>
      <c r="AD105" s="12"/>
      <c r="AE105" s="1"/>
      <c r="AF105" s="1"/>
    </row>
    <row r="106" ht="15.0" customHeight="1">
      <c r="C106" s="1"/>
      <c r="D106" s="1"/>
      <c r="E106" s="7"/>
      <c r="F106" s="144" t="s">
        <v>190</v>
      </c>
      <c r="G106" s="182" t="str">
        <f t="shared" ref="G106:Q106" si="105">G81</f>
        <v>COMBO</v>
      </c>
      <c r="H106" s="182">
        <f t="shared" si="105"/>
        <v>531</v>
      </c>
      <c r="I106" s="182">
        <f t="shared" si="105"/>
        <v>359</v>
      </c>
      <c r="J106" s="182">
        <f t="shared" si="105"/>
        <v>151</v>
      </c>
      <c r="K106" s="182">
        <f t="shared" si="105"/>
        <v>387</v>
      </c>
      <c r="L106" s="182">
        <f t="shared" si="105"/>
        <v>505</v>
      </c>
      <c r="M106" s="182">
        <f t="shared" si="105"/>
        <v>282</v>
      </c>
      <c r="N106" s="182">
        <f t="shared" si="105"/>
        <v>398</v>
      </c>
      <c r="O106" s="182">
        <f t="shared" si="105"/>
        <v>389</v>
      </c>
      <c r="P106" s="182">
        <f t="shared" si="105"/>
        <v>166</v>
      </c>
      <c r="Q106" s="182">
        <f t="shared" si="105"/>
        <v>3168</v>
      </c>
      <c r="R106" s="17"/>
      <c r="S106" s="182">
        <f t="shared" ref="S106:AB106" si="106">S81</f>
        <v>502</v>
      </c>
      <c r="T106" s="182">
        <f t="shared" si="106"/>
        <v>368</v>
      </c>
      <c r="U106" s="182">
        <f t="shared" si="106"/>
        <v>371</v>
      </c>
      <c r="V106" s="182">
        <f t="shared" si="106"/>
        <v>193</v>
      </c>
      <c r="W106" s="182">
        <f t="shared" si="106"/>
        <v>503</v>
      </c>
      <c r="X106" s="182">
        <f t="shared" si="106"/>
        <v>408</v>
      </c>
      <c r="Y106" s="182">
        <f t="shared" si="106"/>
        <v>324</v>
      </c>
      <c r="Z106" s="182">
        <f t="shared" si="106"/>
        <v>163</v>
      </c>
      <c r="AA106" s="182">
        <f t="shared" si="106"/>
        <v>379</v>
      </c>
      <c r="AB106" s="182">
        <f t="shared" si="106"/>
        <v>3211</v>
      </c>
      <c r="AC106" s="182">
        <f t="shared" ref="AC106:AC107" si="109">AB106+Q106</f>
        <v>6379</v>
      </c>
      <c r="AD106" s="12"/>
      <c r="AE106" s="1"/>
      <c r="AF106" s="1"/>
    </row>
    <row r="107" ht="15.0" customHeight="1">
      <c r="C107" s="1"/>
      <c r="D107" s="1"/>
      <c r="E107" s="7"/>
      <c r="F107" s="146"/>
      <c r="G107" s="147" t="str">
        <f t="shared" ref="G107:Q107" si="107">G82</f>
        <v>PAR</v>
      </c>
      <c r="H107" s="147">
        <f t="shared" si="107"/>
        <v>5</v>
      </c>
      <c r="I107" s="147">
        <f t="shared" si="107"/>
        <v>4</v>
      </c>
      <c r="J107" s="147">
        <f t="shared" si="107"/>
        <v>3</v>
      </c>
      <c r="K107" s="147">
        <f t="shared" si="107"/>
        <v>4</v>
      </c>
      <c r="L107" s="147">
        <f t="shared" si="107"/>
        <v>5</v>
      </c>
      <c r="M107" s="147">
        <f t="shared" si="107"/>
        <v>4</v>
      </c>
      <c r="N107" s="147">
        <f t="shared" si="107"/>
        <v>4</v>
      </c>
      <c r="O107" s="147">
        <f t="shared" si="107"/>
        <v>4</v>
      </c>
      <c r="P107" s="147">
        <f t="shared" si="107"/>
        <v>3</v>
      </c>
      <c r="Q107" s="147">
        <f t="shared" si="107"/>
        <v>36</v>
      </c>
      <c r="R107" s="17"/>
      <c r="S107" s="147">
        <f t="shared" ref="S107:AB107" si="108">S82</f>
        <v>5</v>
      </c>
      <c r="T107" s="147">
        <f t="shared" si="108"/>
        <v>4</v>
      </c>
      <c r="U107" s="147">
        <f t="shared" si="108"/>
        <v>4</v>
      </c>
      <c r="V107" s="147">
        <f t="shared" si="108"/>
        <v>3</v>
      </c>
      <c r="W107" s="147">
        <f t="shared" si="108"/>
        <v>5</v>
      </c>
      <c r="X107" s="147">
        <f t="shared" si="108"/>
        <v>4</v>
      </c>
      <c r="Y107" s="147">
        <f t="shared" si="108"/>
        <v>4</v>
      </c>
      <c r="Z107" s="147">
        <f t="shared" si="108"/>
        <v>3</v>
      </c>
      <c r="AA107" s="147">
        <f t="shared" si="108"/>
        <v>4</v>
      </c>
      <c r="AB107" s="147">
        <f t="shared" si="108"/>
        <v>36</v>
      </c>
      <c r="AC107" s="147">
        <f t="shared" si="109"/>
        <v>72</v>
      </c>
      <c r="AD107" s="12"/>
      <c r="AE107" s="1"/>
      <c r="AF107" s="1"/>
    </row>
    <row r="108" ht="15.0" customHeight="1">
      <c r="C108" s="1"/>
      <c r="D108" s="1"/>
      <c r="E108" s="7"/>
      <c r="F108" s="1"/>
      <c r="G108" s="148" t="str">
        <f t="shared" ref="G108:P108" si="110">G83</f>
        <v>HDCP</v>
      </c>
      <c r="H108" s="148">
        <f t="shared" si="110"/>
        <v>15</v>
      </c>
      <c r="I108" s="148">
        <f t="shared" si="110"/>
        <v>5</v>
      </c>
      <c r="J108" s="148">
        <f t="shared" si="110"/>
        <v>13</v>
      </c>
      <c r="K108" s="148">
        <f t="shared" si="110"/>
        <v>7</v>
      </c>
      <c r="L108" s="148">
        <f t="shared" si="110"/>
        <v>1</v>
      </c>
      <c r="M108" s="148">
        <f t="shared" si="110"/>
        <v>17</v>
      </c>
      <c r="N108" s="148">
        <f t="shared" si="110"/>
        <v>3</v>
      </c>
      <c r="O108" s="148">
        <f t="shared" si="110"/>
        <v>9</v>
      </c>
      <c r="P108" s="148">
        <f t="shared" si="110"/>
        <v>11</v>
      </c>
      <c r="Q108" s="148"/>
      <c r="R108" s="17"/>
      <c r="S108" s="148">
        <f t="shared" ref="S108:AA108" si="111">S83</f>
        <v>10</v>
      </c>
      <c r="T108" s="148">
        <f t="shared" si="111"/>
        <v>8</v>
      </c>
      <c r="U108" s="148">
        <f t="shared" si="111"/>
        <v>6</v>
      </c>
      <c r="V108" s="148">
        <f t="shared" si="111"/>
        <v>2</v>
      </c>
      <c r="W108" s="148">
        <f t="shared" si="111"/>
        <v>14</v>
      </c>
      <c r="X108" s="148">
        <f t="shared" si="111"/>
        <v>18</v>
      </c>
      <c r="Y108" s="148">
        <f t="shared" si="111"/>
        <v>16</v>
      </c>
      <c r="Z108" s="148">
        <f t="shared" si="111"/>
        <v>12</v>
      </c>
      <c r="AA108" s="148">
        <f t="shared" si="111"/>
        <v>4</v>
      </c>
      <c r="AB108" s="148"/>
      <c r="AC108" s="148"/>
      <c r="AD108" s="12"/>
      <c r="AE108" s="1"/>
      <c r="AF108" s="1"/>
    </row>
    <row r="109" ht="6.75" customHeight="1">
      <c r="C109" s="1"/>
      <c r="D109" s="1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2"/>
      <c r="AE109" s="1"/>
      <c r="AF109" s="1"/>
    </row>
    <row r="110" ht="11.25" customHeight="1">
      <c r="C110" s="1"/>
      <c r="D110" s="1"/>
      <c r="E110" s="7"/>
      <c r="F110" s="183" t="s">
        <v>86</v>
      </c>
      <c r="G110" s="150">
        <f>IFERROR(VLOOKUP(F110,HANDICAPS!$B$8:$G$23,$D$3,FALSE),"")</f>
        <v>23</v>
      </c>
      <c r="H110" s="151" t="str">
        <f t="shared" ref="H110:P110" si="112">IFERROR(IF($G110&gt;18,IF(($G110-18)&gt;H$33,"**","*"),IF($G110&gt;=H$8,"*","")),"")</f>
        <v>*</v>
      </c>
      <c r="I110" s="151" t="str">
        <f t="shared" si="112"/>
        <v>*</v>
      </c>
      <c r="J110" s="151" t="str">
        <f t="shared" si="112"/>
        <v>*</v>
      </c>
      <c r="K110" s="151" t="str">
        <f t="shared" si="112"/>
        <v>*</v>
      </c>
      <c r="L110" s="151" t="str">
        <f t="shared" si="112"/>
        <v>**</v>
      </c>
      <c r="M110" s="151" t="str">
        <f t="shared" si="112"/>
        <v>*</v>
      </c>
      <c r="N110" s="151" t="str">
        <f t="shared" si="112"/>
        <v>**</v>
      </c>
      <c r="O110" s="151" t="str">
        <f t="shared" si="112"/>
        <v>*</v>
      </c>
      <c r="P110" s="152" t="str">
        <f t="shared" si="112"/>
        <v>*</v>
      </c>
      <c r="Q110" s="151"/>
      <c r="R110" s="153"/>
      <c r="S110" s="151" t="str">
        <f t="shared" ref="S110:AA110" si="113">IFERROR(IF($G110&gt;18,IF(($G110-18)&gt;S$33,"**","*"),IF($G110&gt;=S$8,"*","")),"")</f>
        <v>*</v>
      </c>
      <c r="T110" s="151" t="str">
        <f t="shared" si="113"/>
        <v>*</v>
      </c>
      <c r="U110" s="151" t="str">
        <f t="shared" si="113"/>
        <v>*</v>
      </c>
      <c r="V110" s="151" t="str">
        <f t="shared" si="113"/>
        <v>**</v>
      </c>
      <c r="W110" s="151" t="str">
        <f t="shared" si="113"/>
        <v>*</v>
      </c>
      <c r="X110" s="151" t="str">
        <f t="shared" si="113"/>
        <v>*</v>
      </c>
      <c r="Y110" s="151" t="str">
        <f t="shared" si="113"/>
        <v>*</v>
      </c>
      <c r="Z110" s="151" t="str">
        <f t="shared" si="113"/>
        <v>*</v>
      </c>
      <c r="AA110" s="152" t="str">
        <f t="shared" si="113"/>
        <v>**</v>
      </c>
      <c r="AB110" s="151"/>
      <c r="AC110" s="151" t="str">
        <f>IF(AB110="","",SUM(Q110,AB110))</f>
        <v/>
      </c>
      <c r="AD110" s="12"/>
      <c r="AE110" s="1"/>
      <c r="AF110" s="1"/>
    </row>
    <row r="111" ht="20.25" customHeight="1">
      <c r="B111" s="60" t="str">
        <f>F110</f>
        <v>RYAN</v>
      </c>
      <c r="C111" s="1"/>
      <c r="D111" s="1"/>
      <c r="E111" s="7"/>
      <c r="F111" s="281"/>
      <c r="G111" s="146"/>
      <c r="H111" s="282">
        <v>5.0</v>
      </c>
      <c r="I111" s="282">
        <v>6.0</v>
      </c>
      <c r="J111" s="282">
        <v>4.0</v>
      </c>
      <c r="K111" s="282">
        <v>6.0</v>
      </c>
      <c r="L111" s="282">
        <v>8.0</v>
      </c>
      <c r="M111" s="282">
        <v>5.0</v>
      </c>
      <c r="N111" s="282">
        <v>6.0</v>
      </c>
      <c r="O111" s="282">
        <v>7.0</v>
      </c>
      <c r="P111" s="282">
        <v>4.0</v>
      </c>
      <c r="Q111" s="160">
        <f>IF(H111="","",SUM(H111:P111))</f>
        <v>51</v>
      </c>
      <c r="R111" s="153"/>
      <c r="S111" s="282">
        <v>8.0</v>
      </c>
      <c r="T111" s="282">
        <v>6.0</v>
      </c>
      <c r="U111" s="282">
        <v>6.0</v>
      </c>
      <c r="V111" s="282">
        <v>6.0</v>
      </c>
      <c r="W111" s="282">
        <v>5.0</v>
      </c>
      <c r="X111" s="282">
        <v>8.0</v>
      </c>
      <c r="Y111" s="282">
        <v>5.0</v>
      </c>
      <c r="Z111" s="282">
        <v>4.0</v>
      </c>
      <c r="AA111" s="282">
        <v>5.0</v>
      </c>
      <c r="AB111" s="160">
        <f>IF(S111="","",SUM(S111:AA111))</f>
        <v>53</v>
      </c>
      <c r="AC111" s="160">
        <f>IFERROR(Q111+AB111,"")</f>
        <v>104</v>
      </c>
      <c r="AD111" s="12"/>
      <c r="AE111" s="1"/>
      <c r="AF111" s="1"/>
    </row>
    <row r="112" ht="11.25" customHeight="1">
      <c r="B112" s="60"/>
      <c r="C112" s="1"/>
      <c r="D112" s="1"/>
      <c r="E112" s="7"/>
      <c r="F112" s="281"/>
      <c r="G112" s="146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158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/>
      <c r="AC112" s="285"/>
      <c r="AD112" s="12"/>
      <c r="AE112" s="1"/>
      <c r="AF112" s="1"/>
    </row>
    <row r="113" ht="18.75" customHeight="1">
      <c r="B113" s="60"/>
      <c r="C113" s="1"/>
      <c r="D113" s="1"/>
      <c r="E113" s="7"/>
      <c r="F113" s="154"/>
      <c r="G113" s="155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160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12"/>
      <c r="AE113" s="1"/>
      <c r="AF113" s="1"/>
    </row>
    <row r="114" ht="6.75" customHeight="1">
      <c r="B114" s="60"/>
      <c r="C114" s="1"/>
      <c r="D114" s="1"/>
      <c r="E114" s="7"/>
      <c r="F114" s="16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12"/>
      <c r="AE114" s="1"/>
      <c r="AF114" s="1"/>
    </row>
    <row r="115" ht="27.75" customHeight="1">
      <c r="B115" s="60"/>
      <c r="C115" s="1"/>
      <c r="D115" s="1"/>
      <c r="E115" s="7"/>
      <c r="F115" s="161" t="s">
        <v>143</v>
      </c>
      <c r="G115" s="142"/>
      <c r="H115" s="162">
        <f t="shared" ref="H115:P115" si="114">IF(H111="","",MIN(IF(H110="**",H111-2,IF(H110="*",H111-1,H111)),(IF(H112="**",H113-2,IF(H112="*",H113-1,H113)))))</f>
        <v>4</v>
      </c>
      <c r="I115" s="162">
        <f t="shared" si="114"/>
        <v>5</v>
      </c>
      <c r="J115" s="162">
        <f t="shared" si="114"/>
        <v>3</v>
      </c>
      <c r="K115" s="162">
        <f t="shared" si="114"/>
        <v>5</v>
      </c>
      <c r="L115" s="162">
        <f t="shared" si="114"/>
        <v>6</v>
      </c>
      <c r="M115" s="162">
        <f t="shared" si="114"/>
        <v>4</v>
      </c>
      <c r="N115" s="162">
        <f t="shared" si="114"/>
        <v>4</v>
      </c>
      <c r="O115" s="162">
        <f t="shared" si="114"/>
        <v>6</v>
      </c>
      <c r="P115" s="163">
        <f t="shared" si="114"/>
        <v>3</v>
      </c>
      <c r="Q115" s="162">
        <f t="shared" ref="Q115:Q116" si="117">IF(H115="","",SUM(H115:P115))</f>
        <v>40</v>
      </c>
      <c r="R115" s="23"/>
      <c r="S115" s="162">
        <f t="shared" ref="S115:AA115" si="115">IF(S111="","",MIN(IF(S110="**",S111-2,IF(S110="*",S111-1,S111)),(IF(S112="**",S113-2,IF(S112="*",S113-1,S113)))))</f>
        <v>7</v>
      </c>
      <c r="T115" s="162">
        <f t="shared" si="115"/>
        <v>5</v>
      </c>
      <c r="U115" s="162">
        <f t="shared" si="115"/>
        <v>5</v>
      </c>
      <c r="V115" s="162">
        <f t="shared" si="115"/>
        <v>4</v>
      </c>
      <c r="W115" s="162">
        <f t="shared" si="115"/>
        <v>4</v>
      </c>
      <c r="X115" s="162">
        <f t="shared" si="115"/>
        <v>7</v>
      </c>
      <c r="Y115" s="162">
        <f t="shared" si="115"/>
        <v>4</v>
      </c>
      <c r="Z115" s="162">
        <f t="shared" si="115"/>
        <v>3</v>
      </c>
      <c r="AA115" s="163">
        <f t="shared" si="115"/>
        <v>3</v>
      </c>
      <c r="AB115" s="162">
        <f t="shared" ref="AB115:AB116" si="119">IF(S115="","",SUM(S115:AA115))</f>
        <v>42</v>
      </c>
      <c r="AC115" s="162">
        <f t="shared" ref="AC115:AC116" si="120">IF(AB115="","",AB115+Q115)</f>
        <v>82</v>
      </c>
      <c r="AD115" s="12"/>
      <c r="AE115" s="1"/>
      <c r="AF115" s="1"/>
    </row>
    <row r="116" ht="27.75" customHeight="1">
      <c r="B116" s="60"/>
      <c r="C116" s="1"/>
      <c r="D116" s="1"/>
      <c r="E116" s="7"/>
      <c r="F116" s="161" t="s">
        <v>144</v>
      </c>
      <c r="G116" s="142"/>
      <c r="H116" s="164">
        <f t="shared" ref="H116:P116" si="116">IF(H115="","",IF(H115=H123,0.5,IF(H115&lt;H123,1,0)))</f>
        <v>1</v>
      </c>
      <c r="I116" s="164">
        <f t="shared" si="116"/>
        <v>1</v>
      </c>
      <c r="J116" s="164">
        <f t="shared" si="116"/>
        <v>0.5</v>
      </c>
      <c r="K116" s="164">
        <f t="shared" si="116"/>
        <v>0.5</v>
      </c>
      <c r="L116" s="164">
        <f t="shared" si="116"/>
        <v>1</v>
      </c>
      <c r="M116" s="164">
        <f t="shared" si="116"/>
        <v>0.5</v>
      </c>
      <c r="N116" s="164">
        <f t="shared" si="116"/>
        <v>1</v>
      </c>
      <c r="O116" s="164">
        <f t="shared" si="116"/>
        <v>0.5</v>
      </c>
      <c r="P116" s="165">
        <f t="shared" si="116"/>
        <v>1</v>
      </c>
      <c r="Q116" s="164">
        <f t="shared" si="117"/>
        <v>7</v>
      </c>
      <c r="R116" s="23"/>
      <c r="S116" s="164">
        <f t="shared" ref="S116:AA116" si="118">IF(S115="","",IF(S115=S123,0.5,IF(S115&lt;S123,1,0)))</f>
        <v>0.5</v>
      </c>
      <c r="T116" s="164">
        <f t="shared" si="118"/>
        <v>1</v>
      </c>
      <c r="U116" s="164">
        <f t="shared" si="118"/>
        <v>1</v>
      </c>
      <c r="V116" s="164">
        <f t="shared" si="118"/>
        <v>0.5</v>
      </c>
      <c r="W116" s="164">
        <f t="shared" si="118"/>
        <v>1</v>
      </c>
      <c r="X116" s="164">
        <f t="shared" si="118"/>
        <v>0.5</v>
      </c>
      <c r="Y116" s="164">
        <f t="shared" si="118"/>
        <v>1</v>
      </c>
      <c r="Z116" s="164">
        <f t="shared" si="118"/>
        <v>0.5</v>
      </c>
      <c r="AA116" s="165">
        <f t="shared" si="118"/>
        <v>1</v>
      </c>
      <c r="AB116" s="164">
        <f t="shared" si="119"/>
        <v>7</v>
      </c>
      <c r="AC116" s="164">
        <f t="shared" si="120"/>
        <v>14</v>
      </c>
      <c r="AD116" s="12"/>
      <c r="AE116" s="1"/>
      <c r="AF116" s="1"/>
    </row>
    <row r="117" ht="6.75" customHeight="1">
      <c r="B117" s="60"/>
      <c r="C117" s="1"/>
      <c r="D117" s="1"/>
      <c r="E117" s="7"/>
      <c r="F117" s="16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12"/>
      <c r="AE117" s="1"/>
      <c r="AF117" s="1"/>
    </row>
    <row r="118" ht="11.25" customHeight="1">
      <c r="B118" s="60"/>
      <c r="C118" s="1"/>
      <c r="D118" s="1"/>
      <c r="E118" s="7"/>
      <c r="F118" s="183" t="s">
        <v>130</v>
      </c>
      <c r="G118" s="150">
        <f>IFERROR(VLOOKUP(F118,HANDICAPS!$B$8:$G$23,$D$3,FALSE),"")</f>
        <v>19</v>
      </c>
      <c r="H118" s="151" t="str">
        <f t="shared" ref="H118:P118" si="121">IFERROR(IF($G118&gt;18,IF(($G118-18)&gt;H$33,"**","*"),IF($G118&gt;=H$8,"*","")),"")</f>
        <v>*</v>
      </c>
      <c r="I118" s="151" t="str">
        <f t="shared" si="121"/>
        <v>*</v>
      </c>
      <c r="J118" s="151" t="str">
        <f t="shared" si="121"/>
        <v>*</v>
      </c>
      <c r="K118" s="151" t="str">
        <f t="shared" si="121"/>
        <v>*</v>
      </c>
      <c r="L118" s="151" t="str">
        <f t="shared" si="121"/>
        <v>*</v>
      </c>
      <c r="M118" s="151" t="str">
        <f t="shared" si="121"/>
        <v>*</v>
      </c>
      <c r="N118" s="151" t="str">
        <f t="shared" si="121"/>
        <v>*</v>
      </c>
      <c r="O118" s="151" t="str">
        <f t="shared" si="121"/>
        <v>*</v>
      </c>
      <c r="P118" s="152" t="str">
        <f t="shared" si="121"/>
        <v>*</v>
      </c>
      <c r="Q118" s="151"/>
      <c r="R118" s="153"/>
      <c r="S118" s="151" t="str">
        <f t="shared" ref="S118:AA118" si="122">IFERROR(IF($G118&gt;18,IF(($G118-18)&gt;S$33,"**","*"),IF($G118&gt;=S$8,"*","")),"")</f>
        <v>*</v>
      </c>
      <c r="T118" s="151" t="str">
        <f t="shared" si="122"/>
        <v>*</v>
      </c>
      <c r="U118" s="151" t="str">
        <f t="shared" si="122"/>
        <v>*</v>
      </c>
      <c r="V118" s="151" t="str">
        <f t="shared" si="122"/>
        <v>*</v>
      </c>
      <c r="W118" s="151" t="str">
        <f t="shared" si="122"/>
        <v>*</v>
      </c>
      <c r="X118" s="151" t="str">
        <f t="shared" si="122"/>
        <v>*</v>
      </c>
      <c r="Y118" s="151" t="str">
        <f t="shared" si="122"/>
        <v>*</v>
      </c>
      <c r="Z118" s="151" t="str">
        <f t="shared" si="122"/>
        <v>*</v>
      </c>
      <c r="AA118" s="152" t="str">
        <f t="shared" si="122"/>
        <v>*</v>
      </c>
      <c r="AB118" s="151"/>
      <c r="AC118" s="151" t="str">
        <f>IF(AB118="","",SUM(Q118,AB118))</f>
        <v/>
      </c>
      <c r="AD118" s="12"/>
      <c r="AE118" s="1"/>
      <c r="AF118" s="1"/>
    </row>
    <row r="119" ht="18.75" customHeight="1">
      <c r="B119" s="60" t="str">
        <f>F118</f>
        <v>SHEPP</v>
      </c>
      <c r="C119" s="1"/>
      <c r="D119" s="1"/>
      <c r="E119" s="7"/>
      <c r="F119" s="281"/>
      <c r="G119" s="146"/>
      <c r="H119" s="282">
        <v>7.0</v>
      </c>
      <c r="I119" s="282">
        <v>7.0</v>
      </c>
      <c r="J119" s="282">
        <v>4.0</v>
      </c>
      <c r="K119" s="282">
        <v>6.0</v>
      </c>
      <c r="L119" s="282">
        <v>8.0</v>
      </c>
      <c r="M119" s="282">
        <v>5.0</v>
      </c>
      <c r="N119" s="282">
        <v>8.0</v>
      </c>
      <c r="O119" s="282">
        <v>7.0</v>
      </c>
      <c r="P119" s="282">
        <v>6.0</v>
      </c>
      <c r="Q119" s="160">
        <f>IF(H119="","",SUM(H119:P119))</f>
        <v>58</v>
      </c>
      <c r="R119" s="153"/>
      <c r="S119" s="282">
        <v>8.0</v>
      </c>
      <c r="T119" s="282">
        <v>7.0</v>
      </c>
      <c r="U119" s="282">
        <v>7.0</v>
      </c>
      <c r="V119" s="282">
        <v>5.0</v>
      </c>
      <c r="W119" s="282">
        <v>7.0</v>
      </c>
      <c r="X119" s="282">
        <v>8.0</v>
      </c>
      <c r="Y119" s="282">
        <v>6.0</v>
      </c>
      <c r="Z119" s="282">
        <v>4.0</v>
      </c>
      <c r="AA119" s="282">
        <v>7.0</v>
      </c>
      <c r="AB119" s="160">
        <f>IF(S119="","",SUM(S119:AA119))</f>
        <v>59</v>
      </c>
      <c r="AC119" s="160">
        <f>IFERROR(Q119+AB119,"")</f>
        <v>117</v>
      </c>
      <c r="AD119" s="12"/>
      <c r="AE119" s="1"/>
      <c r="AF119" s="1"/>
    </row>
    <row r="120" ht="11.25" customHeight="1">
      <c r="C120" s="1"/>
      <c r="D120" s="1"/>
      <c r="E120" s="7"/>
      <c r="F120" s="281"/>
      <c r="G120" s="146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158"/>
      <c r="S120" s="285"/>
      <c r="T120" s="285"/>
      <c r="U120" s="285"/>
      <c r="V120" s="285"/>
      <c r="W120" s="285"/>
      <c r="X120" s="285"/>
      <c r="Y120" s="285"/>
      <c r="Z120" s="285"/>
      <c r="AA120" s="285"/>
      <c r="AB120" s="285"/>
      <c r="AC120" s="285"/>
      <c r="AD120" s="12"/>
      <c r="AE120" s="1"/>
      <c r="AF120" s="1"/>
    </row>
    <row r="121" ht="18.75" customHeight="1">
      <c r="C121" s="1"/>
      <c r="D121" s="1"/>
      <c r="E121" s="7"/>
      <c r="F121" s="154"/>
      <c r="G121" s="155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160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12"/>
      <c r="AE121" s="1"/>
      <c r="AF121" s="1"/>
    </row>
    <row r="122" ht="6.75" customHeight="1">
      <c r="C122" s="1"/>
      <c r="D122" s="1"/>
      <c r="E122" s="7"/>
      <c r="F122" s="16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12"/>
      <c r="AE122" s="1"/>
      <c r="AF122" s="1"/>
    </row>
    <row r="123" ht="27.75" customHeight="1">
      <c r="C123" s="1"/>
      <c r="D123" s="1"/>
      <c r="E123" s="7"/>
      <c r="F123" s="161" t="s">
        <v>143</v>
      </c>
      <c r="G123" s="142"/>
      <c r="H123" s="162">
        <f t="shared" ref="H123:P123" si="123">IF(H119="","",MIN(IF(H118="**",H119-2,IF(H118="*",H119-1,H119)),(IF(H120="**",H121-2,IF(H120="*",H121-1,H121)))))</f>
        <v>6</v>
      </c>
      <c r="I123" s="162">
        <f t="shared" si="123"/>
        <v>6</v>
      </c>
      <c r="J123" s="162">
        <f t="shared" si="123"/>
        <v>3</v>
      </c>
      <c r="K123" s="162">
        <f t="shared" si="123"/>
        <v>5</v>
      </c>
      <c r="L123" s="162">
        <f t="shared" si="123"/>
        <v>7</v>
      </c>
      <c r="M123" s="162">
        <f t="shared" si="123"/>
        <v>4</v>
      </c>
      <c r="N123" s="162">
        <f t="shared" si="123"/>
        <v>7</v>
      </c>
      <c r="O123" s="162">
        <f t="shared" si="123"/>
        <v>6</v>
      </c>
      <c r="P123" s="163">
        <f t="shared" si="123"/>
        <v>5</v>
      </c>
      <c r="Q123" s="162">
        <f t="shared" ref="Q123:Q124" si="126">IF(H123="","",SUM(H123:P123))</f>
        <v>49</v>
      </c>
      <c r="R123" s="23"/>
      <c r="S123" s="162">
        <f t="shared" ref="S123:AA123" si="124">IF(S119="","",MIN(IF(S118="**",S119-2,IF(S118="*",S119-1,S119)),(IF(S120="**",S121-2,IF(S120="*",S121-1,S121)))))</f>
        <v>7</v>
      </c>
      <c r="T123" s="162">
        <f t="shared" si="124"/>
        <v>6</v>
      </c>
      <c r="U123" s="162">
        <f t="shared" si="124"/>
        <v>6</v>
      </c>
      <c r="V123" s="162">
        <f t="shared" si="124"/>
        <v>4</v>
      </c>
      <c r="W123" s="162">
        <f t="shared" si="124"/>
        <v>6</v>
      </c>
      <c r="X123" s="162">
        <f t="shared" si="124"/>
        <v>7</v>
      </c>
      <c r="Y123" s="162">
        <f t="shared" si="124"/>
        <v>5</v>
      </c>
      <c r="Z123" s="162">
        <f t="shared" si="124"/>
        <v>3</v>
      </c>
      <c r="AA123" s="163">
        <f t="shared" si="124"/>
        <v>6</v>
      </c>
      <c r="AB123" s="162">
        <f t="shared" ref="AB123:AB124" si="128">IF(S123="","",SUM(S123:AA123))</f>
        <v>50</v>
      </c>
      <c r="AC123" s="162">
        <f t="shared" ref="AC123:AC124" si="129">IF(AB123="","",AB123+Q123)</f>
        <v>99</v>
      </c>
      <c r="AD123" s="12"/>
      <c r="AE123" s="1"/>
      <c r="AF123" s="1"/>
    </row>
    <row r="124" ht="27.75" customHeight="1">
      <c r="C124" s="1"/>
      <c r="D124" s="1"/>
      <c r="E124" s="7"/>
      <c r="F124" s="161" t="s">
        <v>144</v>
      </c>
      <c r="G124" s="142"/>
      <c r="H124" s="164">
        <f t="shared" ref="H124:P124" si="125">IF(H123="","",IF(H123=H115,0.5,IF(H123&lt;H115,1,0)))</f>
        <v>0</v>
      </c>
      <c r="I124" s="164">
        <f t="shared" si="125"/>
        <v>0</v>
      </c>
      <c r="J124" s="164">
        <f t="shared" si="125"/>
        <v>0.5</v>
      </c>
      <c r="K124" s="164">
        <f t="shared" si="125"/>
        <v>0.5</v>
      </c>
      <c r="L124" s="164">
        <f t="shared" si="125"/>
        <v>0</v>
      </c>
      <c r="M124" s="164">
        <f t="shared" si="125"/>
        <v>0.5</v>
      </c>
      <c r="N124" s="164">
        <f t="shared" si="125"/>
        <v>0</v>
      </c>
      <c r="O124" s="164">
        <f t="shared" si="125"/>
        <v>0.5</v>
      </c>
      <c r="P124" s="165">
        <f t="shared" si="125"/>
        <v>0</v>
      </c>
      <c r="Q124" s="164">
        <f t="shared" si="126"/>
        <v>2</v>
      </c>
      <c r="R124" s="23"/>
      <c r="S124" s="164">
        <f t="shared" ref="S124:AA124" si="127">IF(S123="","",IF(S123=S115,0.5,IF(S123&lt;S115,1,0)))</f>
        <v>0.5</v>
      </c>
      <c r="T124" s="164">
        <f t="shared" si="127"/>
        <v>0</v>
      </c>
      <c r="U124" s="164">
        <f t="shared" si="127"/>
        <v>0</v>
      </c>
      <c r="V124" s="164">
        <f t="shared" si="127"/>
        <v>0.5</v>
      </c>
      <c r="W124" s="164">
        <f t="shared" si="127"/>
        <v>0</v>
      </c>
      <c r="X124" s="164">
        <f t="shared" si="127"/>
        <v>0.5</v>
      </c>
      <c r="Y124" s="164">
        <f t="shared" si="127"/>
        <v>0</v>
      </c>
      <c r="Z124" s="164">
        <f t="shared" si="127"/>
        <v>0.5</v>
      </c>
      <c r="AA124" s="165">
        <f t="shared" si="127"/>
        <v>0</v>
      </c>
      <c r="AB124" s="164">
        <f t="shared" si="128"/>
        <v>2</v>
      </c>
      <c r="AC124" s="164">
        <f t="shared" si="129"/>
        <v>4</v>
      </c>
      <c r="AD124" s="12"/>
      <c r="AE124" s="1"/>
      <c r="AF124" s="1"/>
    </row>
    <row r="125" ht="6.75" customHeight="1">
      <c r="C125" s="1"/>
      <c r="D125" s="1"/>
      <c r="E125" s="35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  <c r="AE125" s="1"/>
      <c r="AF125" s="1"/>
    </row>
    <row r="126" ht="60.0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6.75" customHeight="1">
      <c r="C127" s="1"/>
      <c r="D127" s="1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  <c r="X127" s="4"/>
      <c r="Y127" s="4"/>
      <c r="Z127" s="4"/>
      <c r="AA127" s="4"/>
      <c r="AB127" s="4"/>
      <c r="AC127" s="4"/>
      <c r="AD127" s="5"/>
      <c r="AE127" s="1"/>
      <c r="AF127" s="1"/>
    </row>
    <row r="128" ht="15.75" customHeight="1">
      <c r="C128" s="1"/>
      <c r="D128" s="1"/>
      <c r="E128" s="7"/>
      <c r="F128" s="140" t="str">
        <f>F103</f>
        <v>MICHIGAN OPEN 2022 - ROUND 4 - THE MONUMENT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2"/>
      <c r="AD128" s="12"/>
      <c r="AE128" s="1"/>
      <c r="AF128" s="1"/>
    </row>
    <row r="129" ht="18.75" customHeight="1">
      <c r="C129" s="1"/>
      <c r="D129" s="1"/>
      <c r="E129" s="7"/>
      <c r="F129" s="1"/>
      <c r="G129" s="1"/>
      <c r="H129" s="1"/>
      <c r="I129" s="1"/>
      <c r="J129" s="287" t="str">
        <f>J104</f>
        <v>FRONT</v>
      </c>
      <c r="K129" s="141"/>
      <c r="L129" s="141"/>
      <c r="M129" s="141"/>
      <c r="N129" s="141"/>
      <c r="O129" s="1"/>
      <c r="P129" s="1"/>
      <c r="Q129" s="1"/>
      <c r="R129" s="1"/>
      <c r="S129" s="1"/>
      <c r="T129" s="1"/>
      <c r="U129" s="1"/>
      <c r="V129" s="287" t="str">
        <f>V104</f>
        <v>BACK</v>
      </c>
      <c r="W129" s="141"/>
      <c r="X129" s="141"/>
      <c r="Y129" s="141"/>
      <c r="Z129" s="141"/>
      <c r="AA129" s="1"/>
      <c r="AB129" s="1"/>
      <c r="AC129" s="1"/>
      <c r="AD129" s="12"/>
      <c r="AE129" s="1"/>
      <c r="AF129" s="1"/>
    </row>
    <row r="130" ht="15.0" customHeight="1">
      <c r="C130" s="1"/>
      <c r="D130" s="1"/>
      <c r="E130" s="7"/>
      <c r="F130" s="1"/>
      <c r="G130" s="143" t="str">
        <f t="shared" ref="G130:Q130" si="130">G105</f>
        <v>HOLE</v>
      </c>
      <c r="H130" s="143">
        <f t="shared" si="130"/>
        <v>1</v>
      </c>
      <c r="I130" s="143">
        <f t="shared" si="130"/>
        <v>2</v>
      </c>
      <c r="J130" s="143">
        <f t="shared" si="130"/>
        <v>3</v>
      </c>
      <c r="K130" s="143">
        <f t="shared" si="130"/>
        <v>4</v>
      </c>
      <c r="L130" s="143">
        <f t="shared" si="130"/>
        <v>5</v>
      </c>
      <c r="M130" s="143">
        <f t="shared" si="130"/>
        <v>6</v>
      </c>
      <c r="N130" s="143">
        <f t="shared" si="130"/>
        <v>7</v>
      </c>
      <c r="O130" s="143">
        <f t="shared" si="130"/>
        <v>8</v>
      </c>
      <c r="P130" s="143">
        <f t="shared" si="130"/>
        <v>9</v>
      </c>
      <c r="Q130" s="143" t="str">
        <f t="shared" si="130"/>
        <v>OUT</v>
      </c>
      <c r="R130" s="16"/>
      <c r="S130" s="143">
        <f t="shared" ref="S130:AC130" si="131">S105</f>
        <v>10</v>
      </c>
      <c r="T130" s="143">
        <f t="shared" si="131"/>
        <v>11</v>
      </c>
      <c r="U130" s="143">
        <f t="shared" si="131"/>
        <v>12</v>
      </c>
      <c r="V130" s="143">
        <f t="shared" si="131"/>
        <v>13</v>
      </c>
      <c r="W130" s="143">
        <f t="shared" si="131"/>
        <v>14</v>
      </c>
      <c r="X130" s="143">
        <f t="shared" si="131"/>
        <v>15</v>
      </c>
      <c r="Y130" s="143">
        <f t="shared" si="131"/>
        <v>16</v>
      </c>
      <c r="Z130" s="143">
        <f t="shared" si="131"/>
        <v>17</v>
      </c>
      <c r="AA130" s="143">
        <f t="shared" si="131"/>
        <v>18</v>
      </c>
      <c r="AB130" s="143" t="str">
        <f t="shared" si="131"/>
        <v>IN</v>
      </c>
      <c r="AC130" s="143" t="str">
        <f t="shared" si="131"/>
        <v>TOTAL</v>
      </c>
      <c r="AD130" s="12"/>
      <c r="AE130" s="1"/>
      <c r="AF130" s="1"/>
    </row>
    <row r="131" ht="15.0" customHeight="1">
      <c r="C131" s="1"/>
      <c r="D131" s="1"/>
      <c r="E131" s="7"/>
      <c r="F131" s="144" t="s">
        <v>190</v>
      </c>
      <c r="G131" s="182" t="str">
        <f t="shared" ref="G131:Q131" si="132">G106</f>
        <v>COMBO</v>
      </c>
      <c r="H131" s="182">
        <f t="shared" si="132"/>
        <v>531</v>
      </c>
      <c r="I131" s="182">
        <f t="shared" si="132"/>
        <v>359</v>
      </c>
      <c r="J131" s="182">
        <f t="shared" si="132"/>
        <v>151</v>
      </c>
      <c r="K131" s="182">
        <f t="shared" si="132"/>
        <v>387</v>
      </c>
      <c r="L131" s="182">
        <f t="shared" si="132"/>
        <v>505</v>
      </c>
      <c r="M131" s="182">
        <f t="shared" si="132"/>
        <v>282</v>
      </c>
      <c r="N131" s="182">
        <f t="shared" si="132"/>
        <v>398</v>
      </c>
      <c r="O131" s="182">
        <f t="shared" si="132"/>
        <v>389</v>
      </c>
      <c r="P131" s="182">
        <f t="shared" si="132"/>
        <v>166</v>
      </c>
      <c r="Q131" s="182">
        <f t="shared" si="132"/>
        <v>3168</v>
      </c>
      <c r="R131" s="17"/>
      <c r="S131" s="182">
        <f t="shared" ref="S131:AB131" si="133">S106</f>
        <v>502</v>
      </c>
      <c r="T131" s="182">
        <f t="shared" si="133"/>
        <v>368</v>
      </c>
      <c r="U131" s="182">
        <f t="shared" si="133"/>
        <v>371</v>
      </c>
      <c r="V131" s="182">
        <f t="shared" si="133"/>
        <v>193</v>
      </c>
      <c r="W131" s="182">
        <f t="shared" si="133"/>
        <v>503</v>
      </c>
      <c r="X131" s="182">
        <f t="shared" si="133"/>
        <v>408</v>
      </c>
      <c r="Y131" s="182">
        <f t="shared" si="133"/>
        <v>324</v>
      </c>
      <c r="Z131" s="182">
        <f t="shared" si="133"/>
        <v>163</v>
      </c>
      <c r="AA131" s="182">
        <f t="shared" si="133"/>
        <v>379</v>
      </c>
      <c r="AB131" s="182">
        <f t="shared" si="133"/>
        <v>3211</v>
      </c>
      <c r="AC131" s="182">
        <f t="shared" ref="AC131:AC132" si="136">AB131+Q131</f>
        <v>6379</v>
      </c>
      <c r="AD131" s="12"/>
      <c r="AE131" s="1"/>
      <c r="AF131" s="1"/>
    </row>
    <row r="132" ht="15.0" customHeight="1">
      <c r="C132" s="1"/>
      <c r="D132" s="1"/>
      <c r="E132" s="7"/>
      <c r="F132" s="146"/>
      <c r="G132" s="147" t="str">
        <f t="shared" ref="G132:Q132" si="134">G107</f>
        <v>PAR</v>
      </c>
      <c r="H132" s="147">
        <f t="shared" si="134"/>
        <v>5</v>
      </c>
      <c r="I132" s="147">
        <f t="shared" si="134"/>
        <v>4</v>
      </c>
      <c r="J132" s="147">
        <f t="shared" si="134"/>
        <v>3</v>
      </c>
      <c r="K132" s="147">
        <f t="shared" si="134"/>
        <v>4</v>
      </c>
      <c r="L132" s="147">
        <f t="shared" si="134"/>
        <v>5</v>
      </c>
      <c r="M132" s="147">
        <f t="shared" si="134"/>
        <v>4</v>
      </c>
      <c r="N132" s="147">
        <f t="shared" si="134"/>
        <v>4</v>
      </c>
      <c r="O132" s="147">
        <f t="shared" si="134"/>
        <v>4</v>
      </c>
      <c r="P132" s="147">
        <f t="shared" si="134"/>
        <v>3</v>
      </c>
      <c r="Q132" s="147">
        <f t="shared" si="134"/>
        <v>36</v>
      </c>
      <c r="R132" s="17"/>
      <c r="S132" s="147">
        <f t="shared" ref="S132:AB132" si="135">S107</f>
        <v>5</v>
      </c>
      <c r="T132" s="147">
        <f t="shared" si="135"/>
        <v>4</v>
      </c>
      <c r="U132" s="147">
        <f t="shared" si="135"/>
        <v>4</v>
      </c>
      <c r="V132" s="147">
        <f t="shared" si="135"/>
        <v>3</v>
      </c>
      <c r="W132" s="147">
        <f t="shared" si="135"/>
        <v>5</v>
      </c>
      <c r="X132" s="147">
        <f t="shared" si="135"/>
        <v>4</v>
      </c>
      <c r="Y132" s="147">
        <f t="shared" si="135"/>
        <v>4</v>
      </c>
      <c r="Z132" s="147">
        <f t="shared" si="135"/>
        <v>3</v>
      </c>
      <c r="AA132" s="147">
        <f t="shared" si="135"/>
        <v>4</v>
      </c>
      <c r="AB132" s="147">
        <f t="shared" si="135"/>
        <v>36</v>
      </c>
      <c r="AC132" s="147">
        <f t="shared" si="136"/>
        <v>72</v>
      </c>
      <c r="AD132" s="12"/>
      <c r="AE132" s="1"/>
      <c r="AF132" s="1"/>
    </row>
    <row r="133" ht="15.0" customHeight="1">
      <c r="C133" s="1"/>
      <c r="D133" s="1"/>
      <c r="E133" s="7"/>
      <c r="F133" s="1"/>
      <c r="G133" s="148" t="str">
        <f t="shared" ref="G133:P133" si="137">G108</f>
        <v>HDCP</v>
      </c>
      <c r="H133" s="148">
        <f t="shared" si="137"/>
        <v>15</v>
      </c>
      <c r="I133" s="148">
        <f t="shared" si="137"/>
        <v>5</v>
      </c>
      <c r="J133" s="148">
        <f t="shared" si="137"/>
        <v>13</v>
      </c>
      <c r="K133" s="148">
        <f t="shared" si="137"/>
        <v>7</v>
      </c>
      <c r="L133" s="148">
        <f t="shared" si="137"/>
        <v>1</v>
      </c>
      <c r="M133" s="148">
        <f t="shared" si="137"/>
        <v>17</v>
      </c>
      <c r="N133" s="148">
        <f t="shared" si="137"/>
        <v>3</v>
      </c>
      <c r="O133" s="148">
        <f t="shared" si="137"/>
        <v>9</v>
      </c>
      <c r="P133" s="148">
        <f t="shared" si="137"/>
        <v>11</v>
      </c>
      <c r="Q133" s="148"/>
      <c r="R133" s="17"/>
      <c r="S133" s="148">
        <f t="shared" ref="S133:AA133" si="138">S108</f>
        <v>10</v>
      </c>
      <c r="T133" s="148">
        <f t="shared" si="138"/>
        <v>8</v>
      </c>
      <c r="U133" s="148">
        <f t="shared" si="138"/>
        <v>6</v>
      </c>
      <c r="V133" s="148">
        <f t="shared" si="138"/>
        <v>2</v>
      </c>
      <c r="W133" s="148">
        <f t="shared" si="138"/>
        <v>14</v>
      </c>
      <c r="X133" s="148">
        <f t="shared" si="138"/>
        <v>18</v>
      </c>
      <c r="Y133" s="148">
        <f t="shared" si="138"/>
        <v>16</v>
      </c>
      <c r="Z133" s="148">
        <f t="shared" si="138"/>
        <v>12</v>
      </c>
      <c r="AA133" s="148">
        <f t="shared" si="138"/>
        <v>4</v>
      </c>
      <c r="AB133" s="148"/>
      <c r="AC133" s="148"/>
      <c r="AD133" s="12"/>
      <c r="AE133" s="1"/>
      <c r="AF133" s="1"/>
    </row>
    <row r="134" ht="6.75" customHeight="1">
      <c r="C134" s="1"/>
      <c r="D134" s="1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2"/>
      <c r="AE134" s="1"/>
      <c r="AF134" s="1"/>
    </row>
    <row r="135" ht="11.25" customHeight="1">
      <c r="C135" s="1"/>
      <c r="D135" s="1"/>
      <c r="E135" s="7"/>
      <c r="F135" s="183" t="s">
        <v>91</v>
      </c>
      <c r="G135" s="150">
        <f>IFERROR(VLOOKUP(F135,HANDICAPS!$B$8:$G$23,$D$3,FALSE),"")</f>
        <v>19</v>
      </c>
      <c r="H135" s="151" t="str">
        <f t="shared" ref="H135:P135" si="139">IFERROR(IF($G135&gt;18,IF(($G135-18)&gt;H$33,"**","*"),IF($G135&gt;=H$8,"*","")),"")</f>
        <v>*</v>
      </c>
      <c r="I135" s="151" t="str">
        <f t="shared" si="139"/>
        <v>*</v>
      </c>
      <c r="J135" s="151" t="str">
        <f t="shared" si="139"/>
        <v>*</v>
      </c>
      <c r="K135" s="151" t="str">
        <f t="shared" si="139"/>
        <v>*</v>
      </c>
      <c r="L135" s="151" t="str">
        <f t="shared" si="139"/>
        <v>*</v>
      </c>
      <c r="M135" s="151" t="str">
        <f t="shared" si="139"/>
        <v>*</v>
      </c>
      <c r="N135" s="151" t="str">
        <f t="shared" si="139"/>
        <v>*</v>
      </c>
      <c r="O135" s="151" t="str">
        <f t="shared" si="139"/>
        <v>*</v>
      </c>
      <c r="P135" s="152" t="str">
        <f t="shared" si="139"/>
        <v>*</v>
      </c>
      <c r="Q135" s="151"/>
      <c r="R135" s="153"/>
      <c r="S135" s="151" t="str">
        <f t="shared" ref="S135:AA135" si="140">IFERROR(IF($G135&gt;18,IF(($G135-18)&gt;S$33,"**","*"),IF($G135&gt;=S$8,"*","")),"")</f>
        <v>*</v>
      </c>
      <c r="T135" s="151" t="str">
        <f t="shared" si="140"/>
        <v>*</v>
      </c>
      <c r="U135" s="151" t="str">
        <f t="shared" si="140"/>
        <v>*</v>
      </c>
      <c r="V135" s="151" t="str">
        <f t="shared" si="140"/>
        <v>*</v>
      </c>
      <c r="W135" s="151" t="str">
        <f t="shared" si="140"/>
        <v>*</v>
      </c>
      <c r="X135" s="151" t="str">
        <f t="shared" si="140"/>
        <v>*</v>
      </c>
      <c r="Y135" s="151" t="str">
        <f t="shared" si="140"/>
        <v>*</v>
      </c>
      <c r="Z135" s="151" t="str">
        <f t="shared" si="140"/>
        <v>*</v>
      </c>
      <c r="AA135" s="152" t="str">
        <f t="shared" si="140"/>
        <v>*</v>
      </c>
      <c r="AB135" s="151"/>
      <c r="AC135" s="151" t="str">
        <f>IF(AB135="","",SUM(Q135,AB135))</f>
        <v/>
      </c>
      <c r="AD135" s="12"/>
      <c r="AE135" s="1"/>
      <c r="AF135" s="1"/>
    </row>
    <row r="136" ht="18.75" customHeight="1">
      <c r="B136" s="60" t="str">
        <f>F135</f>
        <v>KIP</v>
      </c>
      <c r="C136" s="1"/>
      <c r="D136" s="1"/>
      <c r="E136" s="7"/>
      <c r="F136" s="281"/>
      <c r="G136" s="146"/>
      <c r="H136" s="282">
        <v>8.0</v>
      </c>
      <c r="I136" s="282">
        <v>5.0</v>
      </c>
      <c r="J136" s="282">
        <v>4.0</v>
      </c>
      <c r="K136" s="282">
        <v>8.0</v>
      </c>
      <c r="L136" s="282">
        <v>8.0</v>
      </c>
      <c r="M136" s="282">
        <v>6.0</v>
      </c>
      <c r="N136" s="282">
        <v>6.0</v>
      </c>
      <c r="O136" s="282">
        <v>7.0</v>
      </c>
      <c r="P136" s="282">
        <v>4.0</v>
      </c>
      <c r="Q136" s="160">
        <f>IF(H136="","",SUM(H136:P136))</f>
        <v>56</v>
      </c>
      <c r="R136" s="153"/>
      <c r="S136" s="282">
        <v>6.0</v>
      </c>
      <c r="T136" s="282">
        <v>5.0</v>
      </c>
      <c r="U136" s="282">
        <v>5.0</v>
      </c>
      <c r="V136" s="282">
        <v>4.0</v>
      </c>
      <c r="W136" s="282">
        <v>6.0</v>
      </c>
      <c r="X136" s="282">
        <v>7.0</v>
      </c>
      <c r="Y136" s="282">
        <v>4.0</v>
      </c>
      <c r="Z136" s="282">
        <v>5.0</v>
      </c>
      <c r="AA136" s="282">
        <v>6.0</v>
      </c>
      <c r="AB136" s="160">
        <f>IF(S136="","",SUM(S136:AA136))</f>
        <v>48</v>
      </c>
      <c r="AC136" s="160">
        <f>IFERROR(Q136+AB136,"")</f>
        <v>104</v>
      </c>
      <c r="AD136" s="12"/>
      <c r="AE136" s="1"/>
      <c r="AF136" s="1"/>
    </row>
    <row r="137" ht="11.25" customHeight="1">
      <c r="B137" s="60"/>
      <c r="C137" s="1"/>
      <c r="D137" s="1"/>
      <c r="E137" s="7"/>
      <c r="F137" s="281"/>
      <c r="G137" s="146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158"/>
      <c r="S137" s="285"/>
      <c r="T137" s="285"/>
      <c r="U137" s="285"/>
      <c r="V137" s="285"/>
      <c r="W137" s="285"/>
      <c r="X137" s="285"/>
      <c r="Y137" s="285"/>
      <c r="Z137" s="285"/>
      <c r="AA137" s="285"/>
      <c r="AB137" s="285"/>
      <c r="AC137" s="285"/>
      <c r="AD137" s="12"/>
      <c r="AE137" s="1"/>
      <c r="AF137" s="1"/>
    </row>
    <row r="138" ht="18.75" customHeight="1">
      <c r="B138" s="60"/>
      <c r="C138" s="1"/>
      <c r="D138" s="1"/>
      <c r="E138" s="7"/>
      <c r="F138" s="154"/>
      <c r="G138" s="155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160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12"/>
      <c r="AE138" s="1"/>
      <c r="AF138" s="1"/>
    </row>
    <row r="139" ht="6.75" customHeight="1">
      <c r="B139" s="60"/>
      <c r="C139" s="1"/>
      <c r="D139" s="1"/>
      <c r="E139" s="7"/>
      <c r="F139" s="16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12"/>
      <c r="AE139" s="1"/>
      <c r="AF139" s="1"/>
    </row>
    <row r="140" ht="27.75" customHeight="1">
      <c r="B140" s="60"/>
      <c r="C140" s="1"/>
      <c r="D140" s="1"/>
      <c r="E140" s="7"/>
      <c r="F140" s="161" t="s">
        <v>143</v>
      </c>
      <c r="G140" s="142"/>
      <c r="H140" s="162">
        <f t="shared" ref="H140:P140" si="141">IF(H136="","",MIN(IF(H135="**",H136-2,IF(H135="*",H136-1,H136)),(IF(H137="**",H138-2,IF(H137="*",H138-1,H138)))))</f>
        <v>7</v>
      </c>
      <c r="I140" s="162">
        <f t="shared" si="141"/>
        <v>4</v>
      </c>
      <c r="J140" s="162">
        <f t="shared" si="141"/>
        <v>3</v>
      </c>
      <c r="K140" s="162">
        <f t="shared" si="141"/>
        <v>7</v>
      </c>
      <c r="L140" s="162">
        <f t="shared" si="141"/>
        <v>7</v>
      </c>
      <c r="M140" s="162">
        <f t="shared" si="141"/>
        <v>5</v>
      </c>
      <c r="N140" s="162">
        <f t="shared" si="141"/>
        <v>5</v>
      </c>
      <c r="O140" s="162">
        <f t="shared" si="141"/>
        <v>6</v>
      </c>
      <c r="P140" s="163">
        <f t="shared" si="141"/>
        <v>3</v>
      </c>
      <c r="Q140" s="162">
        <f t="shared" ref="Q140:Q141" si="144">IF(H140="","",SUM(H140:P140))</f>
        <v>47</v>
      </c>
      <c r="R140" s="23"/>
      <c r="S140" s="162">
        <f t="shared" ref="S140:AA140" si="142">IF(S136="","",MIN(IF(S135="**",S136-2,IF(S135="*",S136-1,S136)),(IF(S137="**",S138-2,IF(S137="*",S138-1,S138)))))</f>
        <v>5</v>
      </c>
      <c r="T140" s="162">
        <f t="shared" si="142"/>
        <v>4</v>
      </c>
      <c r="U140" s="162">
        <f t="shared" si="142"/>
        <v>4</v>
      </c>
      <c r="V140" s="162">
        <f t="shared" si="142"/>
        <v>3</v>
      </c>
      <c r="W140" s="162">
        <f t="shared" si="142"/>
        <v>5</v>
      </c>
      <c r="X140" s="162">
        <f t="shared" si="142"/>
        <v>6</v>
      </c>
      <c r="Y140" s="162">
        <f t="shared" si="142"/>
        <v>3</v>
      </c>
      <c r="Z140" s="162">
        <f t="shared" si="142"/>
        <v>4</v>
      </c>
      <c r="AA140" s="163">
        <f t="shared" si="142"/>
        <v>5</v>
      </c>
      <c r="AB140" s="162">
        <f t="shared" ref="AB140:AB141" si="146">IF(S140="","",SUM(S140:AA140))</f>
        <v>39</v>
      </c>
      <c r="AC140" s="162">
        <f t="shared" ref="AC140:AC141" si="147">IF(AB140="","",AB140+Q140)</f>
        <v>86</v>
      </c>
      <c r="AD140" s="12"/>
      <c r="AE140" s="1"/>
      <c r="AF140" s="1"/>
    </row>
    <row r="141" ht="27.75" customHeight="1">
      <c r="B141" s="60"/>
      <c r="C141" s="1"/>
      <c r="D141" s="1"/>
      <c r="E141" s="7"/>
      <c r="F141" s="161" t="s">
        <v>144</v>
      </c>
      <c r="G141" s="142"/>
      <c r="H141" s="164">
        <f t="shared" ref="H141:P141" si="143">IF(H140="","",IF(H140=H148,0.5,IF(H140&lt;H148,1,0)))</f>
        <v>0</v>
      </c>
      <c r="I141" s="164">
        <f t="shared" si="143"/>
        <v>1</v>
      </c>
      <c r="J141" s="164">
        <f t="shared" si="143"/>
        <v>0.5</v>
      </c>
      <c r="K141" s="164">
        <f t="shared" si="143"/>
        <v>0</v>
      </c>
      <c r="L141" s="164">
        <f t="shared" si="143"/>
        <v>0.5</v>
      </c>
      <c r="M141" s="164">
        <f t="shared" si="143"/>
        <v>0.5</v>
      </c>
      <c r="N141" s="164">
        <f t="shared" si="143"/>
        <v>0</v>
      </c>
      <c r="O141" s="164">
        <f t="shared" si="143"/>
        <v>0</v>
      </c>
      <c r="P141" s="165">
        <f t="shared" si="143"/>
        <v>1</v>
      </c>
      <c r="Q141" s="164">
        <f t="shared" si="144"/>
        <v>3.5</v>
      </c>
      <c r="R141" s="23"/>
      <c r="S141" s="164">
        <f t="shared" ref="S141:AA141" si="145">IF(S140="","",IF(S140=S148,0.5,IF(S140&lt;S148,1,0)))</f>
        <v>1</v>
      </c>
      <c r="T141" s="164">
        <f t="shared" si="145"/>
        <v>1</v>
      </c>
      <c r="U141" s="164">
        <f t="shared" si="145"/>
        <v>0</v>
      </c>
      <c r="V141" s="164">
        <f t="shared" si="145"/>
        <v>1</v>
      </c>
      <c r="W141" s="164">
        <f t="shared" si="145"/>
        <v>1</v>
      </c>
      <c r="X141" s="164">
        <f t="shared" si="145"/>
        <v>0</v>
      </c>
      <c r="Y141" s="164">
        <f t="shared" si="145"/>
        <v>1</v>
      </c>
      <c r="Z141" s="164">
        <f t="shared" si="145"/>
        <v>0.5</v>
      </c>
      <c r="AA141" s="165">
        <f t="shared" si="145"/>
        <v>0</v>
      </c>
      <c r="AB141" s="164">
        <f t="shared" si="146"/>
        <v>5.5</v>
      </c>
      <c r="AC141" s="164">
        <f t="shared" si="147"/>
        <v>9</v>
      </c>
      <c r="AD141" s="12"/>
      <c r="AE141" s="1"/>
      <c r="AF141" s="1"/>
    </row>
    <row r="142" ht="6.75" customHeight="1">
      <c r="B142" s="60"/>
      <c r="C142" s="1"/>
      <c r="D142" s="1"/>
      <c r="E142" s="7"/>
      <c r="F142" s="16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12"/>
      <c r="AE142" s="1"/>
      <c r="AF142" s="1"/>
    </row>
    <row r="143" ht="11.25" customHeight="1">
      <c r="B143" s="60"/>
      <c r="C143" s="1"/>
      <c r="D143" s="1"/>
      <c r="E143" s="7"/>
      <c r="F143" s="183" t="s">
        <v>131</v>
      </c>
      <c r="G143" s="150">
        <f>IFERROR(VLOOKUP(F143,HANDICAPS!$B$8:$G$23,$D$3,FALSE),"")</f>
        <v>19</v>
      </c>
      <c r="H143" s="151" t="str">
        <f t="shared" ref="H143:P143" si="148">IFERROR(IF($G143&gt;18,IF(($G143-18)&gt;H$33,"**","*"),IF($G143&gt;=H$8,"*","")),"")</f>
        <v>*</v>
      </c>
      <c r="I143" s="151" t="str">
        <f t="shared" si="148"/>
        <v>*</v>
      </c>
      <c r="J143" s="151" t="str">
        <f t="shared" si="148"/>
        <v>*</v>
      </c>
      <c r="K143" s="151" t="str">
        <f t="shared" si="148"/>
        <v>*</v>
      </c>
      <c r="L143" s="151" t="str">
        <f t="shared" si="148"/>
        <v>*</v>
      </c>
      <c r="M143" s="151" t="str">
        <f t="shared" si="148"/>
        <v>*</v>
      </c>
      <c r="N143" s="151" t="str">
        <f t="shared" si="148"/>
        <v>*</v>
      </c>
      <c r="O143" s="151" t="str">
        <f t="shared" si="148"/>
        <v>*</v>
      </c>
      <c r="P143" s="152" t="str">
        <f t="shared" si="148"/>
        <v>*</v>
      </c>
      <c r="Q143" s="151"/>
      <c r="R143" s="153"/>
      <c r="S143" s="151" t="str">
        <f t="shared" ref="S143:AA143" si="149">IFERROR(IF($G143&gt;18,IF(($G143-18)&gt;S$33,"**","*"),IF($G143&gt;=S$8,"*","")),"")</f>
        <v>*</v>
      </c>
      <c r="T143" s="151" t="str">
        <f t="shared" si="149"/>
        <v>*</v>
      </c>
      <c r="U143" s="151" t="str">
        <f t="shared" si="149"/>
        <v>*</v>
      </c>
      <c r="V143" s="151" t="str">
        <f t="shared" si="149"/>
        <v>*</v>
      </c>
      <c r="W143" s="151" t="str">
        <f t="shared" si="149"/>
        <v>*</v>
      </c>
      <c r="X143" s="151" t="str">
        <f t="shared" si="149"/>
        <v>*</v>
      </c>
      <c r="Y143" s="151" t="str">
        <f t="shared" si="149"/>
        <v>*</v>
      </c>
      <c r="Z143" s="151" t="str">
        <f t="shared" si="149"/>
        <v>*</v>
      </c>
      <c r="AA143" s="152" t="str">
        <f t="shared" si="149"/>
        <v>*</v>
      </c>
      <c r="AB143" s="151"/>
      <c r="AC143" s="151" t="str">
        <f>IF(AB143="","",SUM(Q143,AB143))</f>
        <v/>
      </c>
      <c r="AD143" s="12"/>
      <c r="AE143" s="1"/>
      <c r="AF143" s="1"/>
    </row>
    <row r="144" ht="18.75" customHeight="1">
      <c r="B144" s="60" t="str">
        <f>F143</f>
        <v>SKYLAR</v>
      </c>
      <c r="C144" s="1"/>
      <c r="D144" s="1"/>
      <c r="E144" s="7"/>
      <c r="F144" s="281"/>
      <c r="G144" s="146"/>
      <c r="H144" s="282">
        <v>5.0</v>
      </c>
      <c r="I144" s="282">
        <v>7.0</v>
      </c>
      <c r="J144" s="282">
        <v>4.0</v>
      </c>
      <c r="K144" s="282">
        <v>4.0</v>
      </c>
      <c r="L144" s="282">
        <v>8.0</v>
      </c>
      <c r="M144" s="282">
        <v>6.0</v>
      </c>
      <c r="N144" s="282">
        <v>5.0</v>
      </c>
      <c r="O144" s="282">
        <v>6.0</v>
      </c>
      <c r="P144" s="282">
        <v>5.0</v>
      </c>
      <c r="Q144" s="160">
        <f>IF(H144="","",SUM(H144:P144))</f>
        <v>50</v>
      </c>
      <c r="R144" s="153"/>
      <c r="S144" s="282">
        <v>7.0</v>
      </c>
      <c r="T144" s="282">
        <v>7.0</v>
      </c>
      <c r="U144" s="282">
        <v>4.0</v>
      </c>
      <c r="V144" s="282">
        <v>5.0</v>
      </c>
      <c r="W144" s="282">
        <v>8.0</v>
      </c>
      <c r="X144" s="282">
        <v>4.0</v>
      </c>
      <c r="Y144" s="282">
        <v>6.0</v>
      </c>
      <c r="Z144" s="282">
        <v>5.0</v>
      </c>
      <c r="AA144" s="282">
        <v>5.0</v>
      </c>
      <c r="AB144" s="160">
        <f>IF(S144="","",SUM(S144:AA144))</f>
        <v>51</v>
      </c>
      <c r="AC144" s="160">
        <f>IFERROR(Q144+AB144,"")</f>
        <v>101</v>
      </c>
      <c r="AD144" s="12"/>
      <c r="AE144" s="1"/>
      <c r="AF144" s="1"/>
    </row>
    <row r="145" ht="11.25" customHeight="1">
      <c r="C145" s="1"/>
      <c r="D145" s="1"/>
      <c r="E145" s="7"/>
      <c r="F145" s="281"/>
      <c r="G145" s="146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158"/>
      <c r="S145" s="285"/>
      <c r="T145" s="285"/>
      <c r="U145" s="285"/>
      <c r="V145" s="285"/>
      <c r="W145" s="285"/>
      <c r="X145" s="285"/>
      <c r="Y145" s="285"/>
      <c r="Z145" s="285"/>
      <c r="AA145" s="285"/>
      <c r="AB145" s="285"/>
      <c r="AC145" s="285"/>
      <c r="AD145" s="12"/>
      <c r="AE145" s="1"/>
      <c r="AF145" s="1"/>
    </row>
    <row r="146" ht="18.75" customHeight="1">
      <c r="C146" s="1"/>
      <c r="D146" s="1"/>
      <c r="E146" s="7"/>
      <c r="F146" s="154"/>
      <c r="G146" s="155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160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12"/>
      <c r="AE146" s="1"/>
      <c r="AF146" s="1"/>
    </row>
    <row r="147" ht="6.75" customHeight="1">
      <c r="C147" s="1"/>
      <c r="D147" s="1"/>
      <c r="E147" s="7"/>
      <c r="F147" s="16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12"/>
      <c r="AE147" s="1"/>
      <c r="AF147" s="1"/>
    </row>
    <row r="148" ht="27.75" customHeight="1">
      <c r="C148" s="1"/>
      <c r="D148" s="1"/>
      <c r="E148" s="7"/>
      <c r="F148" s="161" t="s">
        <v>143</v>
      </c>
      <c r="G148" s="142"/>
      <c r="H148" s="162">
        <f t="shared" ref="H148:P148" si="150">IF(H144="","",MIN(IF(H143="**",H144-2,IF(H143="*",H144-1,H144)),(IF(H145="**",H146-2,IF(H145="*",H146-1,H146)))))</f>
        <v>4</v>
      </c>
      <c r="I148" s="162">
        <f t="shared" si="150"/>
        <v>6</v>
      </c>
      <c r="J148" s="162">
        <f t="shared" si="150"/>
        <v>3</v>
      </c>
      <c r="K148" s="162">
        <f t="shared" si="150"/>
        <v>3</v>
      </c>
      <c r="L148" s="162">
        <f t="shared" si="150"/>
        <v>7</v>
      </c>
      <c r="M148" s="162">
        <f t="shared" si="150"/>
        <v>5</v>
      </c>
      <c r="N148" s="162">
        <f t="shared" si="150"/>
        <v>4</v>
      </c>
      <c r="O148" s="162">
        <f t="shared" si="150"/>
        <v>5</v>
      </c>
      <c r="P148" s="163">
        <f t="shared" si="150"/>
        <v>4</v>
      </c>
      <c r="Q148" s="162">
        <f t="shared" ref="Q148:Q149" si="153">IF(H148="","",SUM(H148:P148))</f>
        <v>41</v>
      </c>
      <c r="R148" s="23"/>
      <c r="S148" s="162">
        <f t="shared" ref="S148:AA148" si="151">IF(S144="","",MIN(IF(S143="**",S144-2,IF(S143="*",S144-1,S144)),(IF(S145="**",S146-2,IF(S145="*",S146-1,S146)))))</f>
        <v>6</v>
      </c>
      <c r="T148" s="162">
        <f t="shared" si="151"/>
        <v>6</v>
      </c>
      <c r="U148" s="162">
        <f t="shared" si="151"/>
        <v>3</v>
      </c>
      <c r="V148" s="162">
        <f t="shared" si="151"/>
        <v>4</v>
      </c>
      <c r="W148" s="162">
        <f t="shared" si="151"/>
        <v>7</v>
      </c>
      <c r="X148" s="162">
        <f t="shared" si="151"/>
        <v>3</v>
      </c>
      <c r="Y148" s="162">
        <f t="shared" si="151"/>
        <v>5</v>
      </c>
      <c r="Z148" s="162">
        <f t="shared" si="151"/>
        <v>4</v>
      </c>
      <c r="AA148" s="163">
        <f t="shared" si="151"/>
        <v>4</v>
      </c>
      <c r="AB148" s="162">
        <f t="shared" ref="AB148:AB149" si="155">IF(S148="","",SUM(S148:AA148))</f>
        <v>42</v>
      </c>
      <c r="AC148" s="162">
        <f t="shared" ref="AC148:AC149" si="156">IF(AB148="","",AB148+Q148)</f>
        <v>83</v>
      </c>
      <c r="AD148" s="12"/>
      <c r="AE148" s="1"/>
      <c r="AF148" s="1"/>
    </row>
    <row r="149" ht="27.75" customHeight="1">
      <c r="C149" s="1"/>
      <c r="D149" s="1"/>
      <c r="E149" s="7"/>
      <c r="F149" s="161" t="s">
        <v>144</v>
      </c>
      <c r="G149" s="142"/>
      <c r="H149" s="164">
        <f t="shared" ref="H149:P149" si="152">IF(H148="","",IF(H148=H140,0.5,IF(H148&lt;H140,1,0)))</f>
        <v>1</v>
      </c>
      <c r="I149" s="164">
        <f t="shared" si="152"/>
        <v>0</v>
      </c>
      <c r="J149" s="164">
        <f t="shared" si="152"/>
        <v>0.5</v>
      </c>
      <c r="K149" s="164">
        <f t="shared" si="152"/>
        <v>1</v>
      </c>
      <c r="L149" s="164">
        <f t="shared" si="152"/>
        <v>0.5</v>
      </c>
      <c r="M149" s="164">
        <f t="shared" si="152"/>
        <v>0.5</v>
      </c>
      <c r="N149" s="164">
        <f t="shared" si="152"/>
        <v>1</v>
      </c>
      <c r="O149" s="164">
        <f t="shared" si="152"/>
        <v>1</v>
      </c>
      <c r="P149" s="165">
        <f t="shared" si="152"/>
        <v>0</v>
      </c>
      <c r="Q149" s="164">
        <f t="shared" si="153"/>
        <v>5.5</v>
      </c>
      <c r="R149" s="23"/>
      <c r="S149" s="164">
        <f t="shared" ref="S149:AA149" si="154">IF(S148="","",IF(S148=S140,0.5,IF(S148&lt;S140,1,0)))</f>
        <v>0</v>
      </c>
      <c r="T149" s="164">
        <f t="shared" si="154"/>
        <v>0</v>
      </c>
      <c r="U149" s="164">
        <f t="shared" si="154"/>
        <v>1</v>
      </c>
      <c r="V149" s="164">
        <f t="shared" si="154"/>
        <v>0</v>
      </c>
      <c r="W149" s="164">
        <f t="shared" si="154"/>
        <v>0</v>
      </c>
      <c r="X149" s="164">
        <f t="shared" si="154"/>
        <v>1</v>
      </c>
      <c r="Y149" s="164">
        <f t="shared" si="154"/>
        <v>0</v>
      </c>
      <c r="Z149" s="164">
        <f t="shared" si="154"/>
        <v>0.5</v>
      </c>
      <c r="AA149" s="165">
        <f t="shared" si="154"/>
        <v>1</v>
      </c>
      <c r="AB149" s="164">
        <f t="shared" si="155"/>
        <v>3.5</v>
      </c>
      <c r="AC149" s="164">
        <f t="shared" si="156"/>
        <v>9</v>
      </c>
      <c r="AD149" s="12"/>
      <c r="AE149" s="1"/>
      <c r="AF149" s="1"/>
    </row>
    <row r="150" ht="6.75" customHeight="1">
      <c r="C150" s="1"/>
      <c r="D150" s="1"/>
      <c r="E150" s="35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  <c r="AE150" s="1"/>
      <c r="AF150" s="1"/>
    </row>
    <row r="151" ht="79.5" hidden="1" customHeight="1">
      <c r="C151" s="1"/>
      <c r="D151" s="1"/>
      <c r="E151" s="3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6.75" customHeight="1">
      <c r="C152" s="1"/>
      <c r="D152" s="1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  <c r="X152" s="4"/>
      <c r="Y152" s="4"/>
      <c r="Z152" s="4"/>
      <c r="AA152" s="4"/>
      <c r="AB152" s="4"/>
      <c r="AC152" s="4"/>
      <c r="AD152" s="5"/>
      <c r="AE152" s="1"/>
      <c r="AF152" s="1"/>
    </row>
    <row r="153" ht="15.75" customHeight="1">
      <c r="C153" s="1"/>
      <c r="D153" s="1"/>
      <c r="E153" s="7"/>
      <c r="F153" s="140" t="str">
        <f>F128</f>
        <v>MICHIGAN OPEN 2022 - ROUND 4 - THE MONUMENT</v>
      </c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2"/>
      <c r="AD153" s="12"/>
      <c r="AE153" s="1"/>
      <c r="AF153" s="1"/>
    </row>
    <row r="154" ht="18.75" customHeight="1">
      <c r="C154" s="1"/>
      <c r="D154" s="1"/>
      <c r="E154" s="7"/>
      <c r="F154" s="1"/>
      <c r="G154" s="1"/>
      <c r="H154" s="1"/>
      <c r="I154" s="1"/>
      <c r="J154" s="287" t="str">
        <f>J129</f>
        <v>FRONT</v>
      </c>
      <c r="K154" s="141"/>
      <c r="L154" s="141"/>
      <c r="M154" s="141"/>
      <c r="N154" s="141"/>
      <c r="O154" s="1"/>
      <c r="P154" s="1"/>
      <c r="Q154" s="1"/>
      <c r="R154" s="1"/>
      <c r="S154" s="1"/>
      <c r="T154" s="1"/>
      <c r="U154" s="1"/>
      <c r="V154" s="287" t="str">
        <f>V129</f>
        <v>BACK</v>
      </c>
      <c r="W154" s="141"/>
      <c r="X154" s="141"/>
      <c r="Y154" s="141"/>
      <c r="Z154" s="141"/>
      <c r="AA154" s="1"/>
      <c r="AB154" s="1"/>
      <c r="AC154" s="1"/>
      <c r="AD154" s="12"/>
      <c r="AE154" s="1"/>
      <c r="AF154" s="1"/>
    </row>
    <row r="155" ht="15.0" customHeight="1">
      <c r="C155" s="1"/>
      <c r="D155" s="1"/>
      <c r="E155" s="7"/>
      <c r="F155" s="1"/>
      <c r="G155" s="143" t="str">
        <f t="shared" ref="G155:Q155" si="157">G130</f>
        <v>HOLE</v>
      </c>
      <c r="H155" s="143">
        <f t="shared" si="157"/>
        <v>1</v>
      </c>
      <c r="I155" s="143">
        <f t="shared" si="157"/>
        <v>2</v>
      </c>
      <c r="J155" s="143">
        <f t="shared" si="157"/>
        <v>3</v>
      </c>
      <c r="K155" s="143">
        <f t="shared" si="157"/>
        <v>4</v>
      </c>
      <c r="L155" s="143">
        <f t="shared" si="157"/>
        <v>5</v>
      </c>
      <c r="M155" s="143">
        <f t="shared" si="157"/>
        <v>6</v>
      </c>
      <c r="N155" s="143">
        <f t="shared" si="157"/>
        <v>7</v>
      </c>
      <c r="O155" s="143">
        <f t="shared" si="157"/>
        <v>8</v>
      </c>
      <c r="P155" s="143">
        <f t="shared" si="157"/>
        <v>9</v>
      </c>
      <c r="Q155" s="143" t="str">
        <f t="shared" si="157"/>
        <v>OUT</v>
      </c>
      <c r="R155" s="16"/>
      <c r="S155" s="143">
        <f t="shared" ref="S155:AC155" si="158">S130</f>
        <v>10</v>
      </c>
      <c r="T155" s="143">
        <f t="shared" si="158"/>
        <v>11</v>
      </c>
      <c r="U155" s="143">
        <f t="shared" si="158"/>
        <v>12</v>
      </c>
      <c r="V155" s="143">
        <f t="shared" si="158"/>
        <v>13</v>
      </c>
      <c r="W155" s="143">
        <f t="shared" si="158"/>
        <v>14</v>
      </c>
      <c r="X155" s="143">
        <f t="shared" si="158"/>
        <v>15</v>
      </c>
      <c r="Y155" s="143">
        <f t="shared" si="158"/>
        <v>16</v>
      </c>
      <c r="Z155" s="143">
        <f t="shared" si="158"/>
        <v>17</v>
      </c>
      <c r="AA155" s="143">
        <f t="shared" si="158"/>
        <v>18</v>
      </c>
      <c r="AB155" s="143" t="str">
        <f t="shared" si="158"/>
        <v>IN</v>
      </c>
      <c r="AC155" s="143" t="str">
        <f t="shared" si="158"/>
        <v>TOTAL</v>
      </c>
      <c r="AD155" s="12"/>
      <c r="AE155" s="1"/>
      <c r="AF155" s="1"/>
    </row>
    <row r="156" ht="15.0" customHeight="1">
      <c r="C156" s="1"/>
      <c r="D156" s="1"/>
      <c r="E156" s="7"/>
      <c r="F156" s="144" t="s">
        <v>190</v>
      </c>
      <c r="G156" s="182" t="str">
        <f t="shared" ref="G156:Q156" si="159">G131</f>
        <v>COMBO</v>
      </c>
      <c r="H156" s="182">
        <f t="shared" si="159"/>
        <v>531</v>
      </c>
      <c r="I156" s="182">
        <f t="shared" si="159"/>
        <v>359</v>
      </c>
      <c r="J156" s="182">
        <f t="shared" si="159"/>
        <v>151</v>
      </c>
      <c r="K156" s="182">
        <f t="shared" si="159"/>
        <v>387</v>
      </c>
      <c r="L156" s="182">
        <f t="shared" si="159"/>
        <v>505</v>
      </c>
      <c r="M156" s="182">
        <f t="shared" si="159"/>
        <v>282</v>
      </c>
      <c r="N156" s="182">
        <f t="shared" si="159"/>
        <v>398</v>
      </c>
      <c r="O156" s="182">
        <f t="shared" si="159"/>
        <v>389</v>
      </c>
      <c r="P156" s="182">
        <f t="shared" si="159"/>
        <v>166</v>
      </c>
      <c r="Q156" s="182">
        <f t="shared" si="159"/>
        <v>3168</v>
      </c>
      <c r="R156" s="17"/>
      <c r="S156" s="182">
        <f t="shared" ref="S156:AB156" si="160">S131</f>
        <v>502</v>
      </c>
      <c r="T156" s="182">
        <f t="shared" si="160"/>
        <v>368</v>
      </c>
      <c r="U156" s="182">
        <f t="shared" si="160"/>
        <v>371</v>
      </c>
      <c r="V156" s="182">
        <f t="shared" si="160"/>
        <v>193</v>
      </c>
      <c r="W156" s="182">
        <f t="shared" si="160"/>
        <v>503</v>
      </c>
      <c r="X156" s="182">
        <f t="shared" si="160"/>
        <v>408</v>
      </c>
      <c r="Y156" s="182">
        <f t="shared" si="160"/>
        <v>324</v>
      </c>
      <c r="Z156" s="182">
        <f t="shared" si="160"/>
        <v>163</v>
      </c>
      <c r="AA156" s="182">
        <f t="shared" si="160"/>
        <v>379</v>
      </c>
      <c r="AB156" s="182">
        <f t="shared" si="160"/>
        <v>3211</v>
      </c>
      <c r="AC156" s="182">
        <f t="shared" ref="AC156:AC157" si="163">AB156+Q156</f>
        <v>6379</v>
      </c>
      <c r="AD156" s="12"/>
      <c r="AE156" s="1"/>
      <c r="AF156" s="1"/>
    </row>
    <row r="157" ht="15.0" customHeight="1">
      <c r="C157" s="1"/>
      <c r="D157" s="1"/>
      <c r="E157" s="7"/>
      <c r="F157" s="146"/>
      <c r="G157" s="147" t="str">
        <f t="shared" ref="G157:Q157" si="161">G132</f>
        <v>PAR</v>
      </c>
      <c r="H157" s="147">
        <f t="shared" si="161"/>
        <v>5</v>
      </c>
      <c r="I157" s="147">
        <f t="shared" si="161"/>
        <v>4</v>
      </c>
      <c r="J157" s="147">
        <f t="shared" si="161"/>
        <v>3</v>
      </c>
      <c r="K157" s="147">
        <f t="shared" si="161"/>
        <v>4</v>
      </c>
      <c r="L157" s="147">
        <f t="shared" si="161"/>
        <v>5</v>
      </c>
      <c r="M157" s="147">
        <f t="shared" si="161"/>
        <v>4</v>
      </c>
      <c r="N157" s="147">
        <f t="shared" si="161"/>
        <v>4</v>
      </c>
      <c r="O157" s="147">
        <f t="shared" si="161"/>
        <v>4</v>
      </c>
      <c r="P157" s="147">
        <f t="shared" si="161"/>
        <v>3</v>
      </c>
      <c r="Q157" s="147">
        <f t="shared" si="161"/>
        <v>36</v>
      </c>
      <c r="R157" s="17"/>
      <c r="S157" s="147">
        <f t="shared" ref="S157:AB157" si="162">S132</f>
        <v>5</v>
      </c>
      <c r="T157" s="147">
        <f t="shared" si="162"/>
        <v>4</v>
      </c>
      <c r="U157" s="147">
        <f t="shared" si="162"/>
        <v>4</v>
      </c>
      <c r="V157" s="147">
        <f t="shared" si="162"/>
        <v>3</v>
      </c>
      <c r="W157" s="147">
        <f t="shared" si="162"/>
        <v>5</v>
      </c>
      <c r="X157" s="147">
        <f t="shared" si="162"/>
        <v>4</v>
      </c>
      <c r="Y157" s="147">
        <f t="shared" si="162"/>
        <v>4</v>
      </c>
      <c r="Z157" s="147">
        <f t="shared" si="162"/>
        <v>3</v>
      </c>
      <c r="AA157" s="147">
        <f t="shared" si="162"/>
        <v>4</v>
      </c>
      <c r="AB157" s="147">
        <f t="shared" si="162"/>
        <v>36</v>
      </c>
      <c r="AC157" s="147">
        <f t="shared" si="163"/>
        <v>72</v>
      </c>
      <c r="AD157" s="12"/>
      <c r="AE157" s="1"/>
      <c r="AF157" s="1"/>
    </row>
    <row r="158" ht="15.0" customHeight="1">
      <c r="C158" s="1"/>
      <c r="D158" s="1"/>
      <c r="E158" s="7"/>
      <c r="F158" s="1"/>
      <c r="G158" s="148" t="str">
        <f t="shared" ref="G158:P158" si="164">G133</f>
        <v>HDCP</v>
      </c>
      <c r="H158" s="148">
        <f t="shared" si="164"/>
        <v>15</v>
      </c>
      <c r="I158" s="148">
        <f t="shared" si="164"/>
        <v>5</v>
      </c>
      <c r="J158" s="148">
        <f t="shared" si="164"/>
        <v>13</v>
      </c>
      <c r="K158" s="148">
        <f t="shared" si="164"/>
        <v>7</v>
      </c>
      <c r="L158" s="148">
        <f t="shared" si="164"/>
        <v>1</v>
      </c>
      <c r="M158" s="148">
        <f t="shared" si="164"/>
        <v>17</v>
      </c>
      <c r="N158" s="148">
        <f t="shared" si="164"/>
        <v>3</v>
      </c>
      <c r="O158" s="148">
        <f t="shared" si="164"/>
        <v>9</v>
      </c>
      <c r="P158" s="148">
        <f t="shared" si="164"/>
        <v>11</v>
      </c>
      <c r="Q158" s="148"/>
      <c r="R158" s="17"/>
      <c r="S158" s="148">
        <f t="shared" ref="S158:AA158" si="165">S133</f>
        <v>10</v>
      </c>
      <c r="T158" s="148">
        <f t="shared" si="165"/>
        <v>8</v>
      </c>
      <c r="U158" s="148">
        <f t="shared" si="165"/>
        <v>6</v>
      </c>
      <c r="V158" s="148">
        <f t="shared" si="165"/>
        <v>2</v>
      </c>
      <c r="W158" s="148">
        <f t="shared" si="165"/>
        <v>14</v>
      </c>
      <c r="X158" s="148">
        <f t="shared" si="165"/>
        <v>18</v>
      </c>
      <c r="Y158" s="148">
        <f t="shared" si="165"/>
        <v>16</v>
      </c>
      <c r="Z158" s="148">
        <f t="shared" si="165"/>
        <v>12</v>
      </c>
      <c r="AA158" s="148">
        <f t="shared" si="165"/>
        <v>4</v>
      </c>
      <c r="AB158" s="148"/>
      <c r="AC158" s="148"/>
      <c r="AD158" s="12"/>
      <c r="AE158" s="1"/>
      <c r="AF158" s="1"/>
    </row>
    <row r="159" ht="6.75" customHeight="1">
      <c r="C159" s="1"/>
      <c r="D159" s="1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2"/>
      <c r="AE159" s="1"/>
      <c r="AF159" s="1"/>
    </row>
    <row r="160" ht="11.25" customHeight="1">
      <c r="C160" s="1"/>
      <c r="D160" s="1"/>
      <c r="E160" s="7"/>
      <c r="F160" s="183" t="s">
        <v>84</v>
      </c>
      <c r="G160" s="150">
        <f>IFERROR(VLOOKUP(F160,HANDICAPS!$B$8:$G$23,$D$3,FALSE),"")</f>
        <v>10</v>
      </c>
      <c r="H160" s="151" t="str">
        <f t="shared" ref="H160:P160" si="166">IFERROR(IF($G160&gt;18,IF(($G160-18)&gt;H$33,"**","*"),IF($G160&gt;=H$8,"*","")),"")</f>
        <v/>
      </c>
      <c r="I160" s="151" t="str">
        <f t="shared" si="166"/>
        <v>*</v>
      </c>
      <c r="J160" s="151" t="str">
        <f t="shared" si="166"/>
        <v/>
      </c>
      <c r="K160" s="151" t="str">
        <f t="shared" si="166"/>
        <v>*</v>
      </c>
      <c r="L160" s="151" t="str">
        <f t="shared" si="166"/>
        <v>*</v>
      </c>
      <c r="M160" s="151" t="str">
        <f t="shared" si="166"/>
        <v/>
      </c>
      <c r="N160" s="151" t="str">
        <f t="shared" si="166"/>
        <v>*</v>
      </c>
      <c r="O160" s="151" t="str">
        <f t="shared" si="166"/>
        <v>*</v>
      </c>
      <c r="P160" s="152" t="str">
        <f t="shared" si="166"/>
        <v/>
      </c>
      <c r="Q160" s="151"/>
      <c r="R160" s="153"/>
      <c r="S160" s="151" t="str">
        <f t="shared" ref="S160:AA160" si="167">IFERROR(IF($G160&gt;18,IF(($G160-18)&gt;S$33,"**","*"),IF($G160&gt;=S$8,"*","")),"")</f>
        <v>*</v>
      </c>
      <c r="T160" s="151" t="str">
        <f t="shared" si="167"/>
        <v>*</v>
      </c>
      <c r="U160" s="151" t="str">
        <f t="shared" si="167"/>
        <v>*</v>
      </c>
      <c r="V160" s="151" t="str">
        <f t="shared" si="167"/>
        <v>*</v>
      </c>
      <c r="W160" s="151" t="str">
        <f t="shared" si="167"/>
        <v/>
      </c>
      <c r="X160" s="151" t="str">
        <f t="shared" si="167"/>
        <v/>
      </c>
      <c r="Y160" s="151" t="str">
        <f t="shared" si="167"/>
        <v/>
      </c>
      <c r="Z160" s="151" t="str">
        <f t="shared" si="167"/>
        <v/>
      </c>
      <c r="AA160" s="152" t="str">
        <f t="shared" si="167"/>
        <v>*</v>
      </c>
      <c r="AB160" s="151"/>
      <c r="AC160" s="151" t="str">
        <f>IF(AB160="","",SUM(Q160,AB160))</f>
        <v/>
      </c>
      <c r="AD160" s="12"/>
      <c r="AE160" s="1"/>
      <c r="AF160" s="1"/>
    </row>
    <row r="161" ht="18.75" customHeight="1">
      <c r="B161" s="60" t="str">
        <f>F160</f>
        <v>PAXTON</v>
      </c>
      <c r="C161" s="1"/>
      <c r="D161" s="1"/>
      <c r="E161" s="7"/>
      <c r="F161" s="281"/>
      <c r="G161" s="146"/>
      <c r="H161" s="282">
        <v>6.0</v>
      </c>
      <c r="I161" s="282">
        <v>6.0</v>
      </c>
      <c r="J161" s="282">
        <v>4.0</v>
      </c>
      <c r="K161" s="282">
        <v>7.0</v>
      </c>
      <c r="L161" s="282">
        <v>7.0</v>
      </c>
      <c r="M161" s="282">
        <v>5.0</v>
      </c>
      <c r="N161" s="282">
        <v>5.0</v>
      </c>
      <c r="O161" s="282">
        <v>5.0</v>
      </c>
      <c r="P161" s="282">
        <v>3.0</v>
      </c>
      <c r="Q161" s="160">
        <f>IF(H161="","",SUM(H161:P161))</f>
        <v>48</v>
      </c>
      <c r="R161" s="153"/>
      <c r="S161" s="282">
        <v>5.0</v>
      </c>
      <c r="T161" s="282">
        <v>5.0</v>
      </c>
      <c r="U161" s="282">
        <v>6.0</v>
      </c>
      <c r="V161" s="282">
        <v>4.0</v>
      </c>
      <c r="W161" s="282">
        <v>5.0</v>
      </c>
      <c r="X161" s="282">
        <v>4.0</v>
      </c>
      <c r="Y161" s="282">
        <v>5.0</v>
      </c>
      <c r="Z161" s="282">
        <v>3.0</v>
      </c>
      <c r="AA161" s="282">
        <v>5.0</v>
      </c>
      <c r="AB161" s="160">
        <f>IF(S161="","",SUM(S161:AA161))</f>
        <v>42</v>
      </c>
      <c r="AC161" s="160">
        <f>IFERROR(Q161+AB161,"")</f>
        <v>90</v>
      </c>
      <c r="AD161" s="12"/>
      <c r="AE161" s="1"/>
      <c r="AF161" s="1"/>
    </row>
    <row r="162" ht="11.25" customHeight="1">
      <c r="B162" s="60"/>
      <c r="C162" s="1"/>
      <c r="D162" s="1"/>
      <c r="E162" s="7"/>
      <c r="F162" s="281"/>
      <c r="G162" s="146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158"/>
      <c r="S162" s="285"/>
      <c r="T162" s="285"/>
      <c r="U162" s="285"/>
      <c r="V162" s="285"/>
      <c r="W162" s="285"/>
      <c r="X162" s="285"/>
      <c r="Y162" s="285"/>
      <c r="Z162" s="285"/>
      <c r="AA162" s="285"/>
      <c r="AB162" s="285"/>
      <c r="AC162" s="285"/>
      <c r="AD162" s="12"/>
      <c r="AE162" s="1"/>
      <c r="AF162" s="1"/>
    </row>
    <row r="163" ht="18.75" customHeight="1">
      <c r="B163" s="60"/>
      <c r="C163" s="1"/>
      <c r="D163" s="1"/>
      <c r="E163" s="7"/>
      <c r="F163" s="154"/>
      <c r="G163" s="155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160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12"/>
      <c r="AE163" s="1"/>
      <c r="AF163" s="1"/>
    </row>
    <row r="164" ht="6.75" customHeight="1">
      <c r="B164" s="60"/>
      <c r="C164" s="1"/>
      <c r="D164" s="1"/>
      <c r="E164" s="7"/>
      <c r="F164" s="16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12"/>
      <c r="AE164" s="1"/>
      <c r="AF164" s="1"/>
    </row>
    <row r="165" ht="27.75" customHeight="1">
      <c r="B165" s="60"/>
      <c r="C165" s="1"/>
      <c r="D165" s="1"/>
      <c r="E165" s="7"/>
      <c r="F165" s="161" t="s">
        <v>143</v>
      </c>
      <c r="G165" s="142"/>
      <c r="H165" s="162">
        <f t="shared" ref="H165:P165" si="168">IF(H161="","",MIN(IF(H160="**",H161-2,IF(H160="*",H161-1,H161)),(IF(H162="**",H163-2,IF(H162="*",H163-1,H163)))))</f>
        <v>6</v>
      </c>
      <c r="I165" s="162">
        <f t="shared" si="168"/>
        <v>5</v>
      </c>
      <c r="J165" s="162">
        <f t="shared" si="168"/>
        <v>4</v>
      </c>
      <c r="K165" s="162">
        <f t="shared" si="168"/>
        <v>6</v>
      </c>
      <c r="L165" s="162">
        <f t="shared" si="168"/>
        <v>6</v>
      </c>
      <c r="M165" s="162">
        <f t="shared" si="168"/>
        <v>5</v>
      </c>
      <c r="N165" s="162">
        <f t="shared" si="168"/>
        <v>4</v>
      </c>
      <c r="O165" s="162">
        <f t="shared" si="168"/>
        <v>4</v>
      </c>
      <c r="P165" s="163">
        <f t="shared" si="168"/>
        <v>3</v>
      </c>
      <c r="Q165" s="162">
        <f t="shared" ref="Q165:Q166" si="171">IF(H165="","",SUM(H165:P165))</f>
        <v>43</v>
      </c>
      <c r="R165" s="23"/>
      <c r="S165" s="162">
        <f t="shared" ref="S165:AA165" si="169">IF(S161="","",MIN(IF(S160="**",S161-2,IF(S160="*",S161-1,S161)),(IF(S162="**",S163-2,IF(S162="*",S163-1,S163)))))</f>
        <v>4</v>
      </c>
      <c r="T165" s="162">
        <f t="shared" si="169"/>
        <v>4</v>
      </c>
      <c r="U165" s="162">
        <f t="shared" si="169"/>
        <v>5</v>
      </c>
      <c r="V165" s="162">
        <f t="shared" si="169"/>
        <v>3</v>
      </c>
      <c r="W165" s="162">
        <f t="shared" si="169"/>
        <v>5</v>
      </c>
      <c r="X165" s="162">
        <f t="shared" si="169"/>
        <v>4</v>
      </c>
      <c r="Y165" s="162">
        <f t="shared" si="169"/>
        <v>5</v>
      </c>
      <c r="Z165" s="162">
        <f t="shared" si="169"/>
        <v>3</v>
      </c>
      <c r="AA165" s="163">
        <f t="shared" si="169"/>
        <v>4</v>
      </c>
      <c r="AB165" s="162">
        <f t="shared" ref="AB165:AB166" si="173">IF(S165="","",SUM(S165:AA165))</f>
        <v>37</v>
      </c>
      <c r="AC165" s="162">
        <f t="shared" ref="AC165:AC166" si="174">IF(AB165="","",AB165+Q165)</f>
        <v>80</v>
      </c>
      <c r="AD165" s="12"/>
      <c r="AE165" s="1"/>
      <c r="AF165" s="1"/>
    </row>
    <row r="166" ht="27.75" customHeight="1">
      <c r="B166" s="60"/>
      <c r="C166" s="1"/>
      <c r="D166" s="1"/>
      <c r="E166" s="7"/>
      <c r="F166" s="161" t="s">
        <v>144</v>
      </c>
      <c r="G166" s="142"/>
      <c r="H166" s="164">
        <f t="shared" ref="H166:P166" si="170">IF(H165="","",IF(H165=H173,0.5,IF(H165&lt;H173,1,0)))</f>
        <v>0.5</v>
      </c>
      <c r="I166" s="164">
        <f t="shared" si="170"/>
        <v>0</v>
      </c>
      <c r="J166" s="164">
        <f t="shared" si="170"/>
        <v>0</v>
      </c>
      <c r="K166" s="164">
        <f t="shared" si="170"/>
        <v>0</v>
      </c>
      <c r="L166" s="164">
        <f t="shared" si="170"/>
        <v>0</v>
      </c>
      <c r="M166" s="164">
        <f t="shared" si="170"/>
        <v>0.5</v>
      </c>
      <c r="N166" s="164">
        <f t="shared" si="170"/>
        <v>0.5</v>
      </c>
      <c r="O166" s="164">
        <f t="shared" si="170"/>
        <v>1</v>
      </c>
      <c r="P166" s="165">
        <f t="shared" si="170"/>
        <v>0</v>
      </c>
      <c r="Q166" s="164">
        <f t="shared" si="171"/>
        <v>2.5</v>
      </c>
      <c r="R166" s="23"/>
      <c r="S166" s="164">
        <f t="shared" ref="S166:AA166" si="172">IF(S165="","",IF(S165=S173,0.5,IF(S165&lt;S173,1,0)))</f>
        <v>1</v>
      </c>
      <c r="T166" s="164">
        <f t="shared" si="172"/>
        <v>0</v>
      </c>
      <c r="U166" s="164">
        <f t="shared" si="172"/>
        <v>0</v>
      </c>
      <c r="V166" s="164">
        <f t="shared" si="172"/>
        <v>0.5</v>
      </c>
      <c r="W166" s="164">
        <f t="shared" si="172"/>
        <v>1</v>
      </c>
      <c r="X166" s="164">
        <f t="shared" si="172"/>
        <v>0</v>
      </c>
      <c r="Y166" s="164">
        <f t="shared" si="172"/>
        <v>0.5</v>
      </c>
      <c r="Z166" s="164">
        <f t="shared" si="172"/>
        <v>1</v>
      </c>
      <c r="AA166" s="165">
        <f t="shared" si="172"/>
        <v>0</v>
      </c>
      <c r="AB166" s="164">
        <f t="shared" si="173"/>
        <v>4</v>
      </c>
      <c r="AC166" s="164">
        <f t="shared" si="174"/>
        <v>6.5</v>
      </c>
      <c r="AD166" s="12"/>
      <c r="AE166" s="1"/>
      <c r="AF166" s="1"/>
    </row>
    <row r="167" ht="6.75" customHeight="1">
      <c r="B167" s="60"/>
      <c r="C167" s="1"/>
      <c r="D167" s="1"/>
      <c r="E167" s="7"/>
      <c r="F167" s="16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12"/>
      <c r="AE167" s="1"/>
      <c r="AF167" s="1"/>
    </row>
    <row r="168" ht="11.25" customHeight="1">
      <c r="B168" s="60"/>
      <c r="C168" s="1"/>
      <c r="D168" s="1"/>
      <c r="E168" s="7"/>
      <c r="F168" s="183" t="s">
        <v>126</v>
      </c>
      <c r="G168" s="150">
        <f>IFERROR(VLOOKUP(F168,HANDICAPS!$B$8:$G$23,$D$3,FALSE),"")</f>
        <v>6</v>
      </c>
      <c r="H168" s="151" t="str">
        <f t="shared" ref="H168:P168" si="175">IFERROR(IF($G168&gt;18,IF(($G168-18)&gt;H$33,"**","*"),IF($G168&gt;=H$8,"*","")),"")</f>
        <v/>
      </c>
      <c r="I168" s="151" t="str">
        <f t="shared" si="175"/>
        <v>*</v>
      </c>
      <c r="J168" s="151" t="str">
        <f t="shared" si="175"/>
        <v/>
      </c>
      <c r="K168" s="151" t="str">
        <f t="shared" si="175"/>
        <v/>
      </c>
      <c r="L168" s="151" t="str">
        <f t="shared" si="175"/>
        <v>*</v>
      </c>
      <c r="M168" s="151" t="str">
        <f t="shared" si="175"/>
        <v/>
      </c>
      <c r="N168" s="151" t="str">
        <f t="shared" si="175"/>
        <v>*</v>
      </c>
      <c r="O168" s="151" t="str">
        <f t="shared" si="175"/>
        <v/>
      </c>
      <c r="P168" s="152" t="str">
        <f t="shared" si="175"/>
        <v/>
      </c>
      <c r="Q168" s="151"/>
      <c r="R168" s="153"/>
      <c r="S168" s="151" t="str">
        <f t="shared" ref="S168:AA168" si="176">IFERROR(IF($G168&gt;18,IF(($G168-18)&gt;S$33,"**","*"),IF($G168&gt;=S$8,"*","")),"")</f>
        <v/>
      </c>
      <c r="T168" s="151" t="str">
        <f t="shared" si="176"/>
        <v/>
      </c>
      <c r="U168" s="151" t="str">
        <f t="shared" si="176"/>
        <v>*</v>
      </c>
      <c r="V168" s="151" t="str">
        <f t="shared" si="176"/>
        <v>*</v>
      </c>
      <c r="W168" s="151" t="str">
        <f t="shared" si="176"/>
        <v/>
      </c>
      <c r="X168" s="151" t="str">
        <f t="shared" si="176"/>
        <v/>
      </c>
      <c r="Y168" s="151" t="str">
        <f t="shared" si="176"/>
        <v/>
      </c>
      <c r="Z168" s="151" t="str">
        <f t="shared" si="176"/>
        <v/>
      </c>
      <c r="AA168" s="152" t="str">
        <f t="shared" si="176"/>
        <v>*</v>
      </c>
      <c r="AB168" s="151"/>
      <c r="AC168" s="151" t="str">
        <f>IF(AB168="","",SUM(Q168,AB168))</f>
        <v/>
      </c>
      <c r="AD168" s="12"/>
      <c r="AE168" s="1"/>
      <c r="AF168" s="1"/>
    </row>
    <row r="169" ht="18.75" customHeight="1">
      <c r="B169" s="60" t="str">
        <f>F168</f>
        <v>BEN</v>
      </c>
      <c r="C169" s="1"/>
      <c r="D169" s="1"/>
      <c r="E169" s="7"/>
      <c r="F169" s="281"/>
      <c r="G169" s="146"/>
      <c r="H169" s="282">
        <v>6.0</v>
      </c>
      <c r="I169" s="282">
        <v>4.0</v>
      </c>
      <c r="J169" s="282">
        <v>3.0</v>
      </c>
      <c r="K169" s="282">
        <v>5.0</v>
      </c>
      <c r="L169" s="282">
        <v>5.0</v>
      </c>
      <c r="M169" s="282">
        <v>5.0</v>
      </c>
      <c r="N169" s="282">
        <v>5.0</v>
      </c>
      <c r="O169" s="282">
        <v>5.0</v>
      </c>
      <c r="P169" s="282">
        <v>2.0</v>
      </c>
      <c r="Q169" s="160">
        <f>IF(H169="","",SUM(H169:P169))</f>
        <v>40</v>
      </c>
      <c r="R169" s="153"/>
      <c r="S169" s="282">
        <v>5.0</v>
      </c>
      <c r="T169" s="282">
        <v>3.0</v>
      </c>
      <c r="U169" s="282">
        <v>5.0</v>
      </c>
      <c r="V169" s="282">
        <v>4.0</v>
      </c>
      <c r="W169" s="282">
        <v>6.0</v>
      </c>
      <c r="X169" s="282">
        <v>3.0</v>
      </c>
      <c r="Y169" s="282">
        <v>5.0</v>
      </c>
      <c r="Z169" s="282">
        <v>4.0</v>
      </c>
      <c r="AA169" s="282">
        <v>4.0</v>
      </c>
      <c r="AB169" s="160">
        <f>IF(S169="","",SUM(S169:AA169))</f>
        <v>39</v>
      </c>
      <c r="AC169" s="160">
        <f>IFERROR(Q169+AB169,"")</f>
        <v>79</v>
      </c>
      <c r="AD169" s="12"/>
      <c r="AE169" s="1"/>
      <c r="AF169" s="1"/>
    </row>
    <row r="170" ht="11.25" customHeight="1">
      <c r="C170" s="1"/>
      <c r="D170" s="1"/>
      <c r="E170" s="7"/>
      <c r="F170" s="281"/>
      <c r="G170" s="146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158"/>
      <c r="S170" s="285"/>
      <c r="T170" s="285"/>
      <c r="U170" s="285"/>
      <c r="V170" s="285"/>
      <c r="W170" s="285"/>
      <c r="X170" s="285"/>
      <c r="Y170" s="285"/>
      <c r="Z170" s="285"/>
      <c r="AA170" s="285"/>
      <c r="AB170" s="285"/>
      <c r="AC170" s="285"/>
      <c r="AD170" s="12"/>
      <c r="AE170" s="1"/>
      <c r="AF170" s="1"/>
    </row>
    <row r="171" ht="18.75" customHeight="1">
      <c r="C171" s="1"/>
      <c r="D171" s="1"/>
      <c r="E171" s="7"/>
      <c r="F171" s="154"/>
      <c r="G171" s="155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160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12"/>
      <c r="AE171" s="1"/>
      <c r="AF171" s="1"/>
    </row>
    <row r="172" ht="6.75" customHeight="1">
      <c r="C172" s="1"/>
      <c r="D172" s="1"/>
      <c r="E172" s="7"/>
      <c r="F172" s="16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12"/>
      <c r="AE172" s="1"/>
      <c r="AF172" s="1"/>
    </row>
    <row r="173" ht="27.75" customHeight="1">
      <c r="C173" s="1"/>
      <c r="D173" s="1"/>
      <c r="E173" s="7"/>
      <c r="F173" s="161" t="s">
        <v>143</v>
      </c>
      <c r="G173" s="142"/>
      <c r="H173" s="162">
        <f t="shared" ref="H173:P173" si="177">IF(H169="","",MIN(IF(H168="**",H169-2,IF(H168="*",H169-1,H169)),(IF(H170="**",H171-2,IF(H170="*",H171-1,H171)))))</f>
        <v>6</v>
      </c>
      <c r="I173" s="162">
        <f t="shared" si="177"/>
        <v>3</v>
      </c>
      <c r="J173" s="162">
        <f t="shared" si="177"/>
        <v>3</v>
      </c>
      <c r="K173" s="162">
        <f t="shared" si="177"/>
        <v>5</v>
      </c>
      <c r="L173" s="162">
        <f t="shared" si="177"/>
        <v>4</v>
      </c>
      <c r="M173" s="162">
        <f t="shared" si="177"/>
        <v>5</v>
      </c>
      <c r="N173" s="162">
        <f t="shared" si="177"/>
        <v>4</v>
      </c>
      <c r="O173" s="162">
        <f t="shared" si="177"/>
        <v>5</v>
      </c>
      <c r="P173" s="163">
        <f t="shared" si="177"/>
        <v>2</v>
      </c>
      <c r="Q173" s="162">
        <f t="shared" ref="Q173:Q174" si="180">IF(H173="","",SUM(H173:P173))</f>
        <v>37</v>
      </c>
      <c r="R173" s="23"/>
      <c r="S173" s="162">
        <f t="shared" ref="S173:AA173" si="178">IF(S169="","",MIN(IF(S168="**",S169-2,IF(S168="*",S169-1,S169)),(IF(S170="**",S171-2,IF(S170="*",S171-1,S171)))))</f>
        <v>5</v>
      </c>
      <c r="T173" s="162">
        <f t="shared" si="178"/>
        <v>3</v>
      </c>
      <c r="U173" s="162">
        <f t="shared" si="178"/>
        <v>4</v>
      </c>
      <c r="V173" s="162">
        <f t="shared" si="178"/>
        <v>3</v>
      </c>
      <c r="W173" s="162">
        <f t="shared" si="178"/>
        <v>6</v>
      </c>
      <c r="X173" s="162">
        <f t="shared" si="178"/>
        <v>3</v>
      </c>
      <c r="Y173" s="162">
        <f t="shared" si="178"/>
        <v>5</v>
      </c>
      <c r="Z173" s="162">
        <f t="shared" si="178"/>
        <v>4</v>
      </c>
      <c r="AA173" s="163">
        <f t="shared" si="178"/>
        <v>3</v>
      </c>
      <c r="AB173" s="162">
        <f t="shared" ref="AB173:AB174" si="182">IF(S173="","",SUM(S173:AA173))</f>
        <v>36</v>
      </c>
      <c r="AC173" s="162">
        <f t="shared" ref="AC173:AC174" si="183">IF(AB173="","",AB173+Q173)</f>
        <v>73</v>
      </c>
      <c r="AD173" s="12"/>
      <c r="AE173" s="1"/>
      <c r="AF173" s="1"/>
    </row>
    <row r="174" ht="27.75" customHeight="1">
      <c r="C174" s="1"/>
      <c r="D174" s="1"/>
      <c r="E174" s="7"/>
      <c r="F174" s="161" t="s">
        <v>144</v>
      </c>
      <c r="G174" s="142"/>
      <c r="H174" s="164">
        <f t="shared" ref="H174:P174" si="179">IF(H173="","",IF(H173=H165,0.5,IF(H173&lt;H165,1,0)))</f>
        <v>0.5</v>
      </c>
      <c r="I174" s="164">
        <f t="shared" si="179"/>
        <v>1</v>
      </c>
      <c r="J174" s="164">
        <f t="shared" si="179"/>
        <v>1</v>
      </c>
      <c r="K174" s="164">
        <f t="shared" si="179"/>
        <v>1</v>
      </c>
      <c r="L174" s="164">
        <f t="shared" si="179"/>
        <v>1</v>
      </c>
      <c r="M174" s="164">
        <f t="shared" si="179"/>
        <v>0.5</v>
      </c>
      <c r="N174" s="164">
        <f t="shared" si="179"/>
        <v>0.5</v>
      </c>
      <c r="O174" s="164">
        <f t="shared" si="179"/>
        <v>0</v>
      </c>
      <c r="P174" s="165">
        <f t="shared" si="179"/>
        <v>1</v>
      </c>
      <c r="Q174" s="164">
        <f t="shared" si="180"/>
        <v>6.5</v>
      </c>
      <c r="R174" s="23"/>
      <c r="S174" s="164">
        <f t="shared" ref="S174:AA174" si="181">IF(S173="","",IF(S173=S165,0.5,IF(S173&lt;S165,1,0)))</f>
        <v>0</v>
      </c>
      <c r="T174" s="164">
        <f t="shared" si="181"/>
        <v>1</v>
      </c>
      <c r="U174" s="164">
        <f t="shared" si="181"/>
        <v>1</v>
      </c>
      <c r="V174" s="164">
        <f t="shared" si="181"/>
        <v>0.5</v>
      </c>
      <c r="W174" s="164">
        <f t="shared" si="181"/>
        <v>0</v>
      </c>
      <c r="X174" s="164">
        <f t="shared" si="181"/>
        <v>1</v>
      </c>
      <c r="Y174" s="164">
        <f t="shared" si="181"/>
        <v>0.5</v>
      </c>
      <c r="Z174" s="164">
        <f t="shared" si="181"/>
        <v>0</v>
      </c>
      <c r="AA174" s="165">
        <f t="shared" si="181"/>
        <v>1</v>
      </c>
      <c r="AB174" s="164">
        <f t="shared" si="182"/>
        <v>5</v>
      </c>
      <c r="AC174" s="164">
        <f t="shared" si="183"/>
        <v>11.5</v>
      </c>
      <c r="AD174" s="12"/>
      <c r="AE174" s="1"/>
      <c r="AF174" s="1"/>
    </row>
    <row r="175" ht="6.75" customHeight="1">
      <c r="C175" s="1"/>
      <c r="D175" s="1"/>
      <c r="E175" s="35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  <c r="AE175" s="1"/>
      <c r="AF175" s="1"/>
    </row>
    <row r="176" ht="60.0" customHeight="1">
      <c r="C176" s="1"/>
      <c r="D176" s="1"/>
      <c r="E176" s="3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6.75" customHeight="1">
      <c r="C177" s="1"/>
      <c r="D177" s="1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  <c r="X177" s="4"/>
      <c r="Y177" s="4"/>
      <c r="Z177" s="4"/>
      <c r="AA177" s="4"/>
      <c r="AB177" s="4"/>
      <c r="AC177" s="4"/>
      <c r="AD177" s="5"/>
      <c r="AE177" s="1"/>
      <c r="AF177" s="1"/>
    </row>
    <row r="178" ht="15.75" customHeight="1">
      <c r="C178" s="1"/>
      <c r="D178" s="1"/>
      <c r="E178" s="7"/>
      <c r="F178" s="140" t="str">
        <f>F153</f>
        <v>MICHIGAN OPEN 2022 - ROUND 4 - THE MONUMENT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2"/>
      <c r="AD178" s="12"/>
      <c r="AE178" s="1"/>
      <c r="AF178" s="1"/>
    </row>
    <row r="179" ht="18.75" customHeight="1">
      <c r="C179" s="1"/>
      <c r="D179" s="1"/>
      <c r="E179" s="7"/>
      <c r="F179" s="1"/>
      <c r="G179" s="1"/>
      <c r="H179" s="1"/>
      <c r="I179" s="1"/>
      <c r="J179" s="287" t="str">
        <f>J154</f>
        <v>FRONT</v>
      </c>
      <c r="K179" s="141"/>
      <c r="L179" s="141"/>
      <c r="M179" s="141"/>
      <c r="N179" s="141"/>
      <c r="O179" s="1"/>
      <c r="P179" s="1"/>
      <c r="Q179" s="1"/>
      <c r="R179" s="1"/>
      <c r="S179" s="1"/>
      <c r="T179" s="1"/>
      <c r="U179" s="1"/>
      <c r="V179" s="287" t="str">
        <f>V154</f>
        <v>BACK</v>
      </c>
      <c r="W179" s="141"/>
      <c r="X179" s="141"/>
      <c r="Y179" s="141"/>
      <c r="Z179" s="141"/>
      <c r="AA179" s="1"/>
      <c r="AB179" s="1"/>
      <c r="AC179" s="1"/>
      <c r="AD179" s="12"/>
      <c r="AE179" s="1"/>
      <c r="AF179" s="1"/>
    </row>
    <row r="180" ht="15.0" customHeight="1">
      <c r="C180" s="1"/>
      <c r="D180" s="1"/>
      <c r="E180" s="7"/>
      <c r="F180" s="1"/>
      <c r="G180" s="143" t="str">
        <f t="shared" ref="G180:Q180" si="184">G155</f>
        <v>HOLE</v>
      </c>
      <c r="H180" s="143">
        <f t="shared" si="184"/>
        <v>1</v>
      </c>
      <c r="I180" s="143">
        <f t="shared" si="184"/>
        <v>2</v>
      </c>
      <c r="J180" s="143">
        <f t="shared" si="184"/>
        <v>3</v>
      </c>
      <c r="K180" s="143">
        <f t="shared" si="184"/>
        <v>4</v>
      </c>
      <c r="L180" s="143">
        <f t="shared" si="184"/>
        <v>5</v>
      </c>
      <c r="M180" s="143">
        <f t="shared" si="184"/>
        <v>6</v>
      </c>
      <c r="N180" s="143">
        <f t="shared" si="184"/>
        <v>7</v>
      </c>
      <c r="O180" s="143">
        <f t="shared" si="184"/>
        <v>8</v>
      </c>
      <c r="P180" s="143">
        <f t="shared" si="184"/>
        <v>9</v>
      </c>
      <c r="Q180" s="143" t="str">
        <f t="shared" si="184"/>
        <v>OUT</v>
      </c>
      <c r="R180" s="16"/>
      <c r="S180" s="143">
        <f t="shared" ref="S180:AC180" si="185">S155</f>
        <v>10</v>
      </c>
      <c r="T180" s="143">
        <f t="shared" si="185"/>
        <v>11</v>
      </c>
      <c r="U180" s="143">
        <f t="shared" si="185"/>
        <v>12</v>
      </c>
      <c r="V180" s="143">
        <f t="shared" si="185"/>
        <v>13</v>
      </c>
      <c r="W180" s="143">
        <f t="shared" si="185"/>
        <v>14</v>
      </c>
      <c r="X180" s="143">
        <f t="shared" si="185"/>
        <v>15</v>
      </c>
      <c r="Y180" s="143">
        <f t="shared" si="185"/>
        <v>16</v>
      </c>
      <c r="Z180" s="143">
        <f t="shared" si="185"/>
        <v>17</v>
      </c>
      <c r="AA180" s="143">
        <f t="shared" si="185"/>
        <v>18</v>
      </c>
      <c r="AB180" s="143" t="str">
        <f t="shared" si="185"/>
        <v>IN</v>
      </c>
      <c r="AC180" s="143" t="str">
        <f t="shared" si="185"/>
        <v>TOTAL</v>
      </c>
      <c r="AD180" s="12"/>
      <c r="AE180" s="1"/>
      <c r="AF180" s="1"/>
    </row>
    <row r="181" ht="15.0" customHeight="1">
      <c r="C181" s="1"/>
      <c r="D181" s="1"/>
      <c r="E181" s="7"/>
      <c r="F181" s="144" t="s">
        <v>190</v>
      </c>
      <c r="G181" s="182" t="str">
        <f t="shared" ref="G181:Q181" si="186">G156</f>
        <v>COMBO</v>
      </c>
      <c r="H181" s="182">
        <f t="shared" si="186"/>
        <v>531</v>
      </c>
      <c r="I181" s="182">
        <f t="shared" si="186"/>
        <v>359</v>
      </c>
      <c r="J181" s="182">
        <f t="shared" si="186"/>
        <v>151</v>
      </c>
      <c r="K181" s="182">
        <f t="shared" si="186"/>
        <v>387</v>
      </c>
      <c r="L181" s="182">
        <f t="shared" si="186"/>
        <v>505</v>
      </c>
      <c r="M181" s="182">
        <f t="shared" si="186"/>
        <v>282</v>
      </c>
      <c r="N181" s="182">
        <f t="shared" si="186"/>
        <v>398</v>
      </c>
      <c r="O181" s="182">
        <f t="shared" si="186"/>
        <v>389</v>
      </c>
      <c r="P181" s="182">
        <f t="shared" si="186"/>
        <v>166</v>
      </c>
      <c r="Q181" s="182">
        <f t="shared" si="186"/>
        <v>3168</v>
      </c>
      <c r="R181" s="17"/>
      <c r="S181" s="182">
        <f t="shared" ref="S181:AB181" si="187">S156</f>
        <v>502</v>
      </c>
      <c r="T181" s="182">
        <f t="shared" si="187"/>
        <v>368</v>
      </c>
      <c r="U181" s="182">
        <f t="shared" si="187"/>
        <v>371</v>
      </c>
      <c r="V181" s="182">
        <f t="shared" si="187"/>
        <v>193</v>
      </c>
      <c r="W181" s="182">
        <f t="shared" si="187"/>
        <v>503</v>
      </c>
      <c r="X181" s="182">
        <f t="shared" si="187"/>
        <v>408</v>
      </c>
      <c r="Y181" s="182">
        <f t="shared" si="187"/>
        <v>324</v>
      </c>
      <c r="Z181" s="182">
        <f t="shared" si="187"/>
        <v>163</v>
      </c>
      <c r="AA181" s="182">
        <f t="shared" si="187"/>
        <v>379</v>
      </c>
      <c r="AB181" s="182">
        <f t="shared" si="187"/>
        <v>3211</v>
      </c>
      <c r="AC181" s="182">
        <f t="shared" ref="AC181:AC182" si="190">AB181+Q181</f>
        <v>6379</v>
      </c>
      <c r="AD181" s="12"/>
      <c r="AE181" s="1"/>
      <c r="AF181" s="1"/>
    </row>
    <row r="182" ht="15.0" customHeight="1">
      <c r="C182" s="1"/>
      <c r="D182" s="1"/>
      <c r="E182" s="7"/>
      <c r="F182" s="146"/>
      <c r="G182" s="147" t="str">
        <f t="shared" ref="G182:Q182" si="188">G157</f>
        <v>PAR</v>
      </c>
      <c r="H182" s="147">
        <f t="shared" si="188"/>
        <v>5</v>
      </c>
      <c r="I182" s="147">
        <f t="shared" si="188"/>
        <v>4</v>
      </c>
      <c r="J182" s="147">
        <f t="shared" si="188"/>
        <v>3</v>
      </c>
      <c r="K182" s="147">
        <f t="shared" si="188"/>
        <v>4</v>
      </c>
      <c r="L182" s="147">
        <f t="shared" si="188"/>
        <v>5</v>
      </c>
      <c r="M182" s="147">
        <f t="shared" si="188"/>
        <v>4</v>
      </c>
      <c r="N182" s="147">
        <f t="shared" si="188"/>
        <v>4</v>
      </c>
      <c r="O182" s="147">
        <f t="shared" si="188"/>
        <v>4</v>
      </c>
      <c r="P182" s="147">
        <f t="shared" si="188"/>
        <v>3</v>
      </c>
      <c r="Q182" s="147">
        <f t="shared" si="188"/>
        <v>36</v>
      </c>
      <c r="R182" s="17"/>
      <c r="S182" s="147">
        <f t="shared" ref="S182:AB182" si="189">S157</f>
        <v>5</v>
      </c>
      <c r="T182" s="147">
        <f t="shared" si="189"/>
        <v>4</v>
      </c>
      <c r="U182" s="147">
        <f t="shared" si="189"/>
        <v>4</v>
      </c>
      <c r="V182" s="147">
        <f t="shared" si="189"/>
        <v>3</v>
      </c>
      <c r="W182" s="147">
        <f t="shared" si="189"/>
        <v>5</v>
      </c>
      <c r="X182" s="147">
        <f t="shared" si="189"/>
        <v>4</v>
      </c>
      <c r="Y182" s="147">
        <f t="shared" si="189"/>
        <v>4</v>
      </c>
      <c r="Z182" s="147">
        <f t="shared" si="189"/>
        <v>3</v>
      </c>
      <c r="AA182" s="147">
        <f t="shared" si="189"/>
        <v>4</v>
      </c>
      <c r="AB182" s="147">
        <f t="shared" si="189"/>
        <v>36</v>
      </c>
      <c r="AC182" s="147">
        <f t="shared" si="190"/>
        <v>72</v>
      </c>
      <c r="AD182" s="12"/>
      <c r="AE182" s="1"/>
      <c r="AF182" s="1"/>
    </row>
    <row r="183" ht="15.0" customHeight="1">
      <c r="C183" s="1"/>
      <c r="D183" s="1"/>
      <c r="E183" s="7"/>
      <c r="F183" s="1"/>
      <c r="G183" s="148" t="str">
        <f t="shared" ref="G183:P183" si="191">G158</f>
        <v>HDCP</v>
      </c>
      <c r="H183" s="148">
        <f t="shared" si="191"/>
        <v>15</v>
      </c>
      <c r="I183" s="148">
        <f t="shared" si="191"/>
        <v>5</v>
      </c>
      <c r="J183" s="148">
        <f t="shared" si="191"/>
        <v>13</v>
      </c>
      <c r="K183" s="148">
        <f t="shared" si="191"/>
        <v>7</v>
      </c>
      <c r="L183" s="148">
        <f t="shared" si="191"/>
        <v>1</v>
      </c>
      <c r="M183" s="148">
        <f t="shared" si="191"/>
        <v>17</v>
      </c>
      <c r="N183" s="148">
        <f t="shared" si="191"/>
        <v>3</v>
      </c>
      <c r="O183" s="148">
        <f t="shared" si="191"/>
        <v>9</v>
      </c>
      <c r="P183" s="148">
        <f t="shared" si="191"/>
        <v>11</v>
      </c>
      <c r="Q183" s="148"/>
      <c r="R183" s="17"/>
      <c r="S183" s="148">
        <f t="shared" ref="S183:AA183" si="192">S158</f>
        <v>10</v>
      </c>
      <c r="T183" s="148">
        <f t="shared" si="192"/>
        <v>8</v>
      </c>
      <c r="U183" s="148">
        <f t="shared" si="192"/>
        <v>6</v>
      </c>
      <c r="V183" s="148">
        <f t="shared" si="192"/>
        <v>2</v>
      </c>
      <c r="W183" s="148">
        <f t="shared" si="192"/>
        <v>14</v>
      </c>
      <c r="X183" s="148">
        <f t="shared" si="192"/>
        <v>18</v>
      </c>
      <c r="Y183" s="148">
        <f t="shared" si="192"/>
        <v>16</v>
      </c>
      <c r="Z183" s="148">
        <f t="shared" si="192"/>
        <v>12</v>
      </c>
      <c r="AA183" s="148">
        <f t="shared" si="192"/>
        <v>4</v>
      </c>
      <c r="AB183" s="148"/>
      <c r="AC183" s="148"/>
      <c r="AD183" s="12"/>
      <c r="AE183" s="1"/>
      <c r="AF183" s="1"/>
    </row>
    <row r="184" ht="6.75" customHeight="1">
      <c r="C184" s="1"/>
      <c r="D184" s="1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2"/>
      <c r="AE184" s="1"/>
      <c r="AF184" s="1"/>
    </row>
    <row r="185" ht="11.25" customHeight="1">
      <c r="C185" s="1"/>
      <c r="D185" s="1"/>
      <c r="E185" s="7"/>
      <c r="F185" s="183" t="s">
        <v>123</v>
      </c>
      <c r="G185" s="150">
        <f>IFERROR(VLOOKUP(F185,HANDICAPS!$B$8:$G$23,$D$3,FALSE),"")</f>
        <v>1</v>
      </c>
      <c r="H185" s="151" t="str">
        <f t="shared" ref="H185:P185" si="193">IFERROR(IF($G185&gt;18,IF(($G185-18)&gt;H$33,"**","*"),IF($G185&gt;=H$8,"*","")),"")</f>
        <v/>
      </c>
      <c r="I185" s="151" t="str">
        <f t="shared" si="193"/>
        <v/>
      </c>
      <c r="J185" s="151" t="str">
        <f t="shared" si="193"/>
        <v/>
      </c>
      <c r="K185" s="151" t="str">
        <f t="shared" si="193"/>
        <v/>
      </c>
      <c r="L185" s="151" t="str">
        <f t="shared" si="193"/>
        <v>*</v>
      </c>
      <c r="M185" s="151" t="str">
        <f t="shared" si="193"/>
        <v/>
      </c>
      <c r="N185" s="151" t="str">
        <f t="shared" si="193"/>
        <v/>
      </c>
      <c r="O185" s="151" t="str">
        <f t="shared" si="193"/>
        <v/>
      </c>
      <c r="P185" s="152" t="str">
        <f t="shared" si="193"/>
        <v/>
      </c>
      <c r="Q185" s="151"/>
      <c r="R185" s="153"/>
      <c r="S185" s="151" t="str">
        <f t="shared" ref="S185:AA185" si="194">IFERROR(IF($G185&gt;18,IF(($G185-18)&gt;S$33,"**","*"),IF($G185&gt;=S$8,"*","")),"")</f>
        <v/>
      </c>
      <c r="T185" s="151" t="str">
        <f t="shared" si="194"/>
        <v/>
      </c>
      <c r="U185" s="151" t="str">
        <f t="shared" si="194"/>
        <v/>
      </c>
      <c r="V185" s="151" t="str">
        <f t="shared" si="194"/>
        <v/>
      </c>
      <c r="W185" s="151" t="str">
        <f t="shared" si="194"/>
        <v/>
      </c>
      <c r="X185" s="151" t="str">
        <f t="shared" si="194"/>
        <v/>
      </c>
      <c r="Y185" s="151" t="str">
        <f t="shared" si="194"/>
        <v/>
      </c>
      <c r="Z185" s="151" t="str">
        <f t="shared" si="194"/>
        <v/>
      </c>
      <c r="AA185" s="152" t="str">
        <f t="shared" si="194"/>
        <v/>
      </c>
      <c r="AB185" s="151"/>
      <c r="AC185" s="151" t="str">
        <f>IF(AB185="","",SUM(Q185,AB185))</f>
        <v/>
      </c>
      <c r="AD185" s="12"/>
      <c r="AE185" s="1"/>
      <c r="AF185" s="1"/>
    </row>
    <row r="186" ht="18.75" customHeight="1">
      <c r="B186" s="60" t="str">
        <f>F185</f>
        <v>SCOTT</v>
      </c>
      <c r="C186" s="1"/>
      <c r="D186" s="1"/>
      <c r="E186" s="7"/>
      <c r="F186" s="281"/>
      <c r="G186" s="146"/>
      <c r="H186" s="282">
        <v>6.0</v>
      </c>
      <c r="I186" s="282">
        <v>6.0</v>
      </c>
      <c r="J186" s="282">
        <v>4.0</v>
      </c>
      <c r="K186" s="282">
        <v>4.0</v>
      </c>
      <c r="L186" s="282">
        <v>5.0</v>
      </c>
      <c r="M186" s="282">
        <v>4.0</v>
      </c>
      <c r="N186" s="282">
        <v>4.0</v>
      </c>
      <c r="O186" s="282">
        <v>5.0</v>
      </c>
      <c r="P186" s="282">
        <v>5.0</v>
      </c>
      <c r="Q186" s="160">
        <f>IF(H186="","",SUM(H186:P186))</f>
        <v>43</v>
      </c>
      <c r="R186" s="153"/>
      <c r="S186" s="282">
        <v>5.0</v>
      </c>
      <c r="T186" s="282">
        <v>4.0</v>
      </c>
      <c r="U186" s="282">
        <v>5.0</v>
      </c>
      <c r="V186" s="282">
        <v>3.0</v>
      </c>
      <c r="W186" s="282">
        <v>6.0</v>
      </c>
      <c r="X186" s="282">
        <v>5.0</v>
      </c>
      <c r="Y186" s="282">
        <v>4.0</v>
      </c>
      <c r="Z186" s="282">
        <v>3.0</v>
      </c>
      <c r="AA186" s="282">
        <v>4.0</v>
      </c>
      <c r="AB186" s="160">
        <f>IF(S186="","",SUM(S186:AA186))</f>
        <v>39</v>
      </c>
      <c r="AC186" s="160">
        <f>IFERROR(Q186+AB186,"")</f>
        <v>82</v>
      </c>
      <c r="AD186" s="12"/>
      <c r="AE186" s="1"/>
      <c r="AF186" s="1"/>
    </row>
    <row r="187" ht="11.25" customHeight="1">
      <c r="B187" s="60"/>
      <c r="C187" s="1"/>
      <c r="D187" s="1"/>
      <c r="E187" s="7"/>
      <c r="F187" s="281"/>
      <c r="G187" s="146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158"/>
      <c r="S187" s="285"/>
      <c r="T187" s="285"/>
      <c r="U187" s="285"/>
      <c r="V187" s="285"/>
      <c r="W187" s="285"/>
      <c r="X187" s="285"/>
      <c r="Y187" s="285"/>
      <c r="Z187" s="285"/>
      <c r="AA187" s="285"/>
      <c r="AB187" s="285"/>
      <c r="AC187" s="285"/>
      <c r="AD187" s="12"/>
      <c r="AE187" s="1"/>
      <c r="AF187" s="1"/>
    </row>
    <row r="188" ht="18.75" customHeight="1">
      <c r="B188" s="60"/>
      <c r="C188" s="1"/>
      <c r="D188" s="1"/>
      <c r="E188" s="7"/>
      <c r="F188" s="154"/>
      <c r="G188" s="155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160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12"/>
      <c r="AE188" s="1"/>
      <c r="AF188" s="1"/>
    </row>
    <row r="189" ht="6.75" customHeight="1">
      <c r="B189" s="60"/>
      <c r="C189" s="1"/>
      <c r="D189" s="1"/>
      <c r="E189" s="7"/>
      <c r="F189" s="16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12"/>
      <c r="AE189" s="1"/>
      <c r="AF189" s="1"/>
    </row>
    <row r="190" ht="27.75" customHeight="1">
      <c r="B190" s="60"/>
      <c r="C190" s="1"/>
      <c r="D190" s="1"/>
      <c r="E190" s="7"/>
      <c r="F190" s="161" t="s">
        <v>143</v>
      </c>
      <c r="G190" s="142"/>
      <c r="H190" s="162">
        <f t="shared" ref="H190:P190" si="195">IF(H186="","",MIN(IF(H185="**",H186-2,IF(H185="*",H186-1,H186)),(IF(H187="**",H188-2,IF(H187="*",H188-1,H188)))))</f>
        <v>6</v>
      </c>
      <c r="I190" s="162">
        <f t="shared" si="195"/>
        <v>6</v>
      </c>
      <c r="J190" s="162">
        <f t="shared" si="195"/>
        <v>4</v>
      </c>
      <c r="K190" s="162">
        <f t="shared" si="195"/>
        <v>4</v>
      </c>
      <c r="L190" s="162">
        <f t="shared" si="195"/>
        <v>4</v>
      </c>
      <c r="M190" s="162">
        <f t="shared" si="195"/>
        <v>4</v>
      </c>
      <c r="N190" s="162">
        <f t="shared" si="195"/>
        <v>4</v>
      </c>
      <c r="O190" s="162">
        <f t="shared" si="195"/>
        <v>5</v>
      </c>
      <c r="P190" s="163">
        <f t="shared" si="195"/>
        <v>5</v>
      </c>
      <c r="Q190" s="162">
        <f t="shared" ref="Q190:Q191" si="198">IF(H190="","",SUM(H190:P190))</f>
        <v>42</v>
      </c>
      <c r="R190" s="23"/>
      <c r="S190" s="162">
        <f t="shared" ref="S190:AA190" si="196">IF(S186="","",MIN(IF(S185="**",S186-2,IF(S185="*",S186-1,S186)),(IF(S187="**",S188-2,IF(S187="*",S188-1,S188)))))</f>
        <v>5</v>
      </c>
      <c r="T190" s="162">
        <f t="shared" si="196"/>
        <v>4</v>
      </c>
      <c r="U190" s="162">
        <f t="shared" si="196"/>
        <v>5</v>
      </c>
      <c r="V190" s="162">
        <f t="shared" si="196"/>
        <v>3</v>
      </c>
      <c r="W190" s="162">
        <f t="shared" si="196"/>
        <v>6</v>
      </c>
      <c r="X190" s="162">
        <f t="shared" si="196"/>
        <v>5</v>
      </c>
      <c r="Y190" s="162">
        <f t="shared" si="196"/>
        <v>4</v>
      </c>
      <c r="Z190" s="162">
        <f t="shared" si="196"/>
        <v>3</v>
      </c>
      <c r="AA190" s="163">
        <f t="shared" si="196"/>
        <v>4</v>
      </c>
      <c r="AB190" s="162">
        <f t="shared" ref="AB190:AB191" si="200">IF(S190="","",SUM(S190:AA190))</f>
        <v>39</v>
      </c>
      <c r="AC190" s="162">
        <f t="shared" ref="AC190:AC191" si="201">IF(AB190="","",AB190+Q190)</f>
        <v>81</v>
      </c>
      <c r="AD190" s="12"/>
      <c r="AE190" s="1"/>
      <c r="AF190" s="1"/>
    </row>
    <row r="191" ht="27.75" customHeight="1">
      <c r="B191" s="60"/>
      <c r="C191" s="1"/>
      <c r="D191" s="1"/>
      <c r="E191" s="7"/>
      <c r="F191" s="161" t="s">
        <v>144</v>
      </c>
      <c r="G191" s="142"/>
      <c r="H191" s="164">
        <f t="shared" ref="H191:P191" si="197">IF(H190="","",IF(H190=H198,0.5,IF(H190&lt;H198,1,0)))</f>
        <v>0.5</v>
      </c>
      <c r="I191" s="164">
        <f t="shared" si="197"/>
        <v>0</v>
      </c>
      <c r="J191" s="164">
        <f t="shared" si="197"/>
        <v>0</v>
      </c>
      <c r="K191" s="164">
        <f t="shared" si="197"/>
        <v>1</v>
      </c>
      <c r="L191" s="164">
        <f t="shared" si="197"/>
        <v>1</v>
      </c>
      <c r="M191" s="164">
        <f t="shared" si="197"/>
        <v>1</v>
      </c>
      <c r="N191" s="164">
        <f t="shared" si="197"/>
        <v>0</v>
      </c>
      <c r="O191" s="164">
        <f t="shared" si="197"/>
        <v>0</v>
      </c>
      <c r="P191" s="165">
        <f t="shared" si="197"/>
        <v>0</v>
      </c>
      <c r="Q191" s="164">
        <f t="shared" si="198"/>
        <v>3.5</v>
      </c>
      <c r="R191" s="23"/>
      <c r="S191" s="164">
        <f t="shared" ref="S191:AA191" si="199">IF(S190="","",IF(S190=S198,0.5,IF(S190&lt;S198,1,0)))</f>
        <v>1</v>
      </c>
      <c r="T191" s="164">
        <f t="shared" si="199"/>
        <v>1</v>
      </c>
      <c r="U191" s="164">
        <f t="shared" si="199"/>
        <v>0</v>
      </c>
      <c r="V191" s="164">
        <f t="shared" si="199"/>
        <v>0.5</v>
      </c>
      <c r="W191" s="164">
        <f t="shared" si="199"/>
        <v>0.5</v>
      </c>
      <c r="X191" s="164">
        <f t="shared" si="199"/>
        <v>0.5</v>
      </c>
      <c r="Y191" s="164">
        <f t="shared" si="199"/>
        <v>1</v>
      </c>
      <c r="Z191" s="164">
        <f t="shared" si="199"/>
        <v>1</v>
      </c>
      <c r="AA191" s="165">
        <f t="shared" si="199"/>
        <v>0.5</v>
      </c>
      <c r="AB191" s="164">
        <f t="shared" si="200"/>
        <v>6</v>
      </c>
      <c r="AC191" s="164">
        <f t="shared" si="201"/>
        <v>9.5</v>
      </c>
      <c r="AD191" s="12"/>
      <c r="AE191" s="1"/>
      <c r="AF191" s="1"/>
    </row>
    <row r="192" ht="6.75" customHeight="1">
      <c r="B192" s="60"/>
      <c r="C192" s="1"/>
      <c r="D192" s="1"/>
      <c r="E192" s="7"/>
      <c r="F192" s="16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12"/>
      <c r="AE192" s="1"/>
      <c r="AF192" s="1"/>
    </row>
    <row r="193" ht="11.25" customHeight="1">
      <c r="B193" s="60"/>
      <c r="C193" s="1"/>
      <c r="D193" s="1"/>
      <c r="E193" s="7"/>
      <c r="F193" s="183" t="s">
        <v>81</v>
      </c>
      <c r="G193" s="150">
        <f>IFERROR(VLOOKUP(F193,HANDICAPS!$B$8:$G$23,$D$3,FALSE),"")</f>
        <v>7</v>
      </c>
      <c r="H193" s="151" t="str">
        <f t="shared" ref="H193:P193" si="202">IFERROR(IF($G193&gt;18,IF(($G193-18)&gt;H$33,"**","*"),IF($G193&gt;=H$8,"*","")),"")</f>
        <v/>
      </c>
      <c r="I193" s="151" t="str">
        <f t="shared" si="202"/>
        <v>*</v>
      </c>
      <c r="J193" s="151" t="str">
        <f t="shared" si="202"/>
        <v/>
      </c>
      <c r="K193" s="151" t="str">
        <f t="shared" si="202"/>
        <v>*</v>
      </c>
      <c r="L193" s="151" t="str">
        <f t="shared" si="202"/>
        <v>*</v>
      </c>
      <c r="M193" s="151" t="str">
        <f t="shared" si="202"/>
        <v/>
      </c>
      <c r="N193" s="151" t="str">
        <f t="shared" si="202"/>
        <v>*</v>
      </c>
      <c r="O193" s="151" t="str">
        <f t="shared" si="202"/>
        <v/>
      </c>
      <c r="P193" s="152" t="str">
        <f t="shared" si="202"/>
        <v/>
      </c>
      <c r="Q193" s="151"/>
      <c r="R193" s="153"/>
      <c r="S193" s="151" t="str">
        <f t="shared" ref="S193:AA193" si="203">IFERROR(IF($G193&gt;18,IF(($G193-18)&gt;S$33,"**","*"),IF($G193&gt;=S$8,"*","")),"")</f>
        <v/>
      </c>
      <c r="T193" s="151" t="str">
        <f t="shared" si="203"/>
        <v/>
      </c>
      <c r="U193" s="151" t="str">
        <f t="shared" si="203"/>
        <v>*</v>
      </c>
      <c r="V193" s="151" t="str">
        <f t="shared" si="203"/>
        <v>*</v>
      </c>
      <c r="W193" s="151" t="str">
        <f t="shared" si="203"/>
        <v/>
      </c>
      <c r="X193" s="151" t="str">
        <f t="shared" si="203"/>
        <v/>
      </c>
      <c r="Y193" s="151" t="str">
        <f t="shared" si="203"/>
        <v/>
      </c>
      <c r="Z193" s="151" t="str">
        <f t="shared" si="203"/>
        <v/>
      </c>
      <c r="AA193" s="152" t="str">
        <f t="shared" si="203"/>
        <v>*</v>
      </c>
      <c r="AB193" s="151"/>
      <c r="AC193" s="151" t="str">
        <f>IF(AB193="","",SUM(Q193,AB193))</f>
        <v/>
      </c>
      <c r="AD193" s="12"/>
      <c r="AE193" s="1"/>
      <c r="AF193" s="1"/>
    </row>
    <row r="194" ht="18.75" customHeight="1">
      <c r="B194" s="60" t="str">
        <f>F193</f>
        <v>ZACH</v>
      </c>
      <c r="C194" s="1"/>
      <c r="D194" s="1"/>
      <c r="E194" s="7"/>
      <c r="F194" s="281"/>
      <c r="G194" s="146"/>
      <c r="H194" s="282">
        <v>6.0</v>
      </c>
      <c r="I194" s="282">
        <v>6.0</v>
      </c>
      <c r="J194" s="282">
        <v>3.0</v>
      </c>
      <c r="K194" s="282">
        <v>7.0</v>
      </c>
      <c r="L194" s="282">
        <v>6.0</v>
      </c>
      <c r="M194" s="282">
        <v>5.0</v>
      </c>
      <c r="N194" s="282">
        <v>4.0</v>
      </c>
      <c r="O194" s="282">
        <v>4.0</v>
      </c>
      <c r="P194" s="282">
        <v>3.0</v>
      </c>
      <c r="Q194" s="160">
        <f>IF(H194="","",SUM(H194:P194))</f>
        <v>44</v>
      </c>
      <c r="R194" s="153"/>
      <c r="S194" s="282">
        <v>7.0</v>
      </c>
      <c r="T194" s="282">
        <v>6.0</v>
      </c>
      <c r="U194" s="282">
        <v>5.0</v>
      </c>
      <c r="V194" s="282">
        <v>4.0</v>
      </c>
      <c r="W194" s="282">
        <v>6.0</v>
      </c>
      <c r="X194" s="282">
        <v>5.0</v>
      </c>
      <c r="Y194" s="282">
        <v>5.0</v>
      </c>
      <c r="Z194" s="282">
        <v>5.0</v>
      </c>
      <c r="AA194" s="282">
        <v>5.0</v>
      </c>
      <c r="AB194" s="160">
        <f>IF(S194="","",SUM(S194:AA194))</f>
        <v>48</v>
      </c>
      <c r="AC194" s="160">
        <f>IFERROR(Q194+AB194,"")</f>
        <v>92</v>
      </c>
      <c r="AD194" s="12"/>
      <c r="AE194" s="1"/>
      <c r="AF194" s="1"/>
    </row>
    <row r="195" ht="11.25" customHeight="1">
      <c r="C195" s="1"/>
      <c r="D195" s="1"/>
      <c r="E195" s="7"/>
      <c r="F195" s="281"/>
      <c r="G195" s="146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158"/>
      <c r="S195" s="285"/>
      <c r="T195" s="285"/>
      <c r="U195" s="285"/>
      <c r="V195" s="285"/>
      <c r="W195" s="285"/>
      <c r="X195" s="285"/>
      <c r="Y195" s="285"/>
      <c r="Z195" s="285"/>
      <c r="AA195" s="285"/>
      <c r="AB195" s="285"/>
      <c r="AC195" s="285"/>
      <c r="AD195" s="12"/>
      <c r="AE195" s="1"/>
      <c r="AF195" s="1"/>
    </row>
    <row r="196" ht="18.75" customHeight="1">
      <c r="C196" s="1"/>
      <c r="D196" s="1"/>
      <c r="E196" s="7"/>
      <c r="F196" s="154"/>
      <c r="G196" s="155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160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12"/>
      <c r="AE196" s="1"/>
      <c r="AF196" s="1"/>
    </row>
    <row r="197" ht="6.75" customHeight="1">
      <c r="C197" s="1"/>
      <c r="D197" s="1"/>
      <c r="E197" s="7"/>
      <c r="F197" s="16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12"/>
      <c r="AE197" s="1"/>
      <c r="AF197" s="1"/>
    </row>
    <row r="198" ht="27.75" customHeight="1">
      <c r="C198" s="1"/>
      <c r="D198" s="1"/>
      <c r="E198" s="7"/>
      <c r="F198" s="161" t="s">
        <v>143</v>
      </c>
      <c r="G198" s="142"/>
      <c r="H198" s="162">
        <f t="shared" ref="H198:P198" si="204">IF(H194="","",MIN(IF(H193="**",H194-2,IF(H193="*",H194-1,H194)),(IF(H195="**",H196-2,IF(H195="*",H196-1,H196)))))</f>
        <v>6</v>
      </c>
      <c r="I198" s="162">
        <f t="shared" si="204"/>
        <v>5</v>
      </c>
      <c r="J198" s="162">
        <f t="shared" si="204"/>
        <v>3</v>
      </c>
      <c r="K198" s="162">
        <f t="shared" si="204"/>
        <v>6</v>
      </c>
      <c r="L198" s="162">
        <f t="shared" si="204"/>
        <v>5</v>
      </c>
      <c r="M198" s="162">
        <f t="shared" si="204"/>
        <v>5</v>
      </c>
      <c r="N198" s="162">
        <f t="shared" si="204"/>
        <v>3</v>
      </c>
      <c r="O198" s="162">
        <f t="shared" si="204"/>
        <v>4</v>
      </c>
      <c r="P198" s="163">
        <f t="shared" si="204"/>
        <v>3</v>
      </c>
      <c r="Q198" s="162">
        <f t="shared" ref="Q198:Q199" si="207">IF(H198="","",SUM(H198:P198))</f>
        <v>40</v>
      </c>
      <c r="R198" s="23"/>
      <c r="S198" s="162">
        <f t="shared" ref="S198:AA198" si="205">IF(S194="","",MIN(IF(S193="**",S194-2,IF(S193="*",S194-1,S194)),(IF(S195="**",S196-2,IF(S195="*",S196-1,S196)))))</f>
        <v>7</v>
      </c>
      <c r="T198" s="162">
        <f t="shared" si="205"/>
        <v>6</v>
      </c>
      <c r="U198" s="162">
        <f t="shared" si="205"/>
        <v>4</v>
      </c>
      <c r="V198" s="162">
        <f t="shared" si="205"/>
        <v>3</v>
      </c>
      <c r="W198" s="162">
        <f t="shared" si="205"/>
        <v>6</v>
      </c>
      <c r="X198" s="162">
        <f t="shared" si="205"/>
        <v>5</v>
      </c>
      <c r="Y198" s="162">
        <f t="shared" si="205"/>
        <v>5</v>
      </c>
      <c r="Z198" s="162">
        <f t="shared" si="205"/>
        <v>5</v>
      </c>
      <c r="AA198" s="163">
        <f t="shared" si="205"/>
        <v>4</v>
      </c>
      <c r="AB198" s="162">
        <f t="shared" ref="AB198:AB199" si="209">IF(S198="","",SUM(S198:AA198))</f>
        <v>45</v>
      </c>
      <c r="AC198" s="162">
        <f t="shared" ref="AC198:AC199" si="210">IF(AB198="","",AB198+Q198)</f>
        <v>85</v>
      </c>
      <c r="AD198" s="12"/>
      <c r="AE198" s="1"/>
      <c r="AF198" s="1"/>
    </row>
    <row r="199" ht="27.75" customHeight="1">
      <c r="C199" s="1"/>
      <c r="D199" s="1"/>
      <c r="E199" s="7"/>
      <c r="F199" s="161" t="s">
        <v>144</v>
      </c>
      <c r="G199" s="142"/>
      <c r="H199" s="164">
        <f t="shared" ref="H199:P199" si="206">IF(H198="","",IF(H198=H190,0.5,IF(H198&lt;H190,1,0)))</f>
        <v>0.5</v>
      </c>
      <c r="I199" s="164">
        <f t="shared" si="206"/>
        <v>1</v>
      </c>
      <c r="J199" s="164">
        <f t="shared" si="206"/>
        <v>1</v>
      </c>
      <c r="K199" s="164">
        <f t="shared" si="206"/>
        <v>0</v>
      </c>
      <c r="L199" s="164">
        <f t="shared" si="206"/>
        <v>0</v>
      </c>
      <c r="M199" s="164">
        <f t="shared" si="206"/>
        <v>0</v>
      </c>
      <c r="N199" s="164">
        <f t="shared" si="206"/>
        <v>1</v>
      </c>
      <c r="O199" s="164">
        <f t="shared" si="206"/>
        <v>1</v>
      </c>
      <c r="P199" s="165">
        <f t="shared" si="206"/>
        <v>1</v>
      </c>
      <c r="Q199" s="164">
        <f t="shared" si="207"/>
        <v>5.5</v>
      </c>
      <c r="R199" s="23"/>
      <c r="S199" s="164">
        <f t="shared" ref="S199:AA199" si="208">IF(S198="","",IF(S198=S190,0.5,IF(S198&lt;S190,1,0)))</f>
        <v>0</v>
      </c>
      <c r="T199" s="164">
        <f t="shared" si="208"/>
        <v>0</v>
      </c>
      <c r="U199" s="164">
        <f t="shared" si="208"/>
        <v>1</v>
      </c>
      <c r="V199" s="164">
        <f t="shared" si="208"/>
        <v>0.5</v>
      </c>
      <c r="W199" s="164">
        <f t="shared" si="208"/>
        <v>0.5</v>
      </c>
      <c r="X199" s="164">
        <f t="shared" si="208"/>
        <v>0.5</v>
      </c>
      <c r="Y199" s="164">
        <f t="shared" si="208"/>
        <v>0</v>
      </c>
      <c r="Z199" s="164">
        <f t="shared" si="208"/>
        <v>0</v>
      </c>
      <c r="AA199" s="165">
        <f t="shared" si="208"/>
        <v>0.5</v>
      </c>
      <c r="AB199" s="164">
        <f t="shared" si="209"/>
        <v>3</v>
      </c>
      <c r="AC199" s="164">
        <f t="shared" si="210"/>
        <v>8.5</v>
      </c>
      <c r="AD199" s="12"/>
      <c r="AE199" s="1"/>
      <c r="AF199" s="1"/>
    </row>
    <row r="200" ht="6.75" customHeight="1">
      <c r="C200" s="1"/>
      <c r="D200" s="1"/>
      <c r="E200" s="35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  <c r="AE200" s="1"/>
      <c r="AF200" s="1"/>
    </row>
    <row r="201" ht="19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9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9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9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4.2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4.2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4.25" customHeight="1">
      <c r="C207" s="1"/>
      <c r="D207" s="1"/>
      <c r="E207" s="1"/>
      <c r="F207" s="40" t="str">
        <f>F10</f>
        <v>MAX</v>
      </c>
      <c r="G207" s="40"/>
      <c r="H207" s="40">
        <f t="shared" ref="H207:P207" si="211">H11</f>
        <v>5</v>
      </c>
      <c r="I207" s="40">
        <f t="shared" si="211"/>
        <v>6</v>
      </c>
      <c r="J207" s="40">
        <f t="shared" si="211"/>
        <v>3</v>
      </c>
      <c r="K207" s="40">
        <f t="shared" si="211"/>
        <v>3</v>
      </c>
      <c r="L207" s="40">
        <f t="shared" si="211"/>
        <v>7</v>
      </c>
      <c r="M207" s="40">
        <f t="shared" si="211"/>
        <v>7</v>
      </c>
      <c r="N207" s="40">
        <f t="shared" si="211"/>
        <v>6</v>
      </c>
      <c r="O207" s="40">
        <f t="shared" si="211"/>
        <v>4</v>
      </c>
      <c r="P207" s="40">
        <f t="shared" si="211"/>
        <v>4</v>
      </c>
      <c r="Q207" s="40"/>
      <c r="R207" s="40"/>
      <c r="S207" s="40">
        <f t="shared" ref="S207:AA207" si="212">S11</f>
        <v>6</v>
      </c>
      <c r="T207" s="40">
        <f t="shared" si="212"/>
        <v>7</v>
      </c>
      <c r="U207" s="40">
        <f t="shared" si="212"/>
        <v>7</v>
      </c>
      <c r="V207" s="40">
        <f t="shared" si="212"/>
        <v>5</v>
      </c>
      <c r="W207" s="40">
        <f t="shared" si="212"/>
        <v>7</v>
      </c>
      <c r="X207" s="40">
        <f t="shared" si="212"/>
        <v>5</v>
      </c>
      <c r="Y207" s="40">
        <f t="shared" si="212"/>
        <v>5</v>
      </c>
      <c r="Z207" s="40">
        <f t="shared" si="212"/>
        <v>4</v>
      </c>
      <c r="AA207" s="40">
        <f t="shared" si="212"/>
        <v>4</v>
      </c>
      <c r="AB207" s="1"/>
      <c r="AC207" s="1"/>
      <c r="AD207" s="1"/>
      <c r="AE207" s="1"/>
      <c r="AF207" s="1"/>
    </row>
    <row r="208" ht="14.25" customHeight="1">
      <c r="C208" s="1"/>
      <c r="D208" s="1"/>
      <c r="E208" s="1"/>
      <c r="F208" s="40" t="str">
        <f>F18</f>
        <v>SLICK</v>
      </c>
      <c r="G208" s="1"/>
      <c r="H208" s="40">
        <f t="shared" ref="H208:P208" si="213">H19</f>
        <v>7</v>
      </c>
      <c r="I208" s="40">
        <f t="shared" si="213"/>
        <v>5</v>
      </c>
      <c r="J208" s="40">
        <f t="shared" si="213"/>
        <v>3</v>
      </c>
      <c r="K208" s="40">
        <f t="shared" si="213"/>
        <v>5</v>
      </c>
      <c r="L208" s="40">
        <f t="shared" si="213"/>
        <v>8</v>
      </c>
      <c r="M208" s="40">
        <f t="shared" si="213"/>
        <v>6</v>
      </c>
      <c r="N208" s="40">
        <f t="shared" si="213"/>
        <v>6</v>
      </c>
      <c r="O208" s="40">
        <f t="shared" si="213"/>
        <v>4</v>
      </c>
      <c r="P208" s="40">
        <f t="shared" si="213"/>
        <v>3</v>
      </c>
      <c r="Q208" s="40"/>
      <c r="R208" s="40"/>
      <c r="S208" s="40">
        <f t="shared" ref="S208:AA208" si="214">S19</f>
        <v>5</v>
      </c>
      <c r="T208" s="40">
        <f t="shared" si="214"/>
        <v>5</v>
      </c>
      <c r="U208" s="40">
        <f t="shared" si="214"/>
        <v>7</v>
      </c>
      <c r="V208" s="40">
        <f t="shared" si="214"/>
        <v>4</v>
      </c>
      <c r="W208" s="40">
        <f t="shared" si="214"/>
        <v>6</v>
      </c>
      <c r="X208" s="40">
        <f t="shared" si="214"/>
        <v>5</v>
      </c>
      <c r="Y208" s="40">
        <f t="shared" si="214"/>
        <v>5</v>
      </c>
      <c r="Z208" s="40">
        <f t="shared" si="214"/>
        <v>2</v>
      </c>
      <c r="AA208" s="40">
        <f t="shared" si="214"/>
        <v>5</v>
      </c>
      <c r="AB208" s="1"/>
      <c r="AC208" s="1"/>
      <c r="AD208" s="1"/>
      <c r="AE208" s="1"/>
      <c r="AF208" s="1"/>
    </row>
    <row r="209" ht="14.25" customHeight="1">
      <c r="C209" s="1"/>
      <c r="D209" s="1"/>
      <c r="E209" s="1"/>
      <c r="F209" s="40" t="str">
        <f>F35</f>
        <v>DEREK</v>
      </c>
      <c r="G209" s="1"/>
      <c r="H209" s="40">
        <f t="shared" ref="H209:P209" si="215">H36</f>
        <v>7</v>
      </c>
      <c r="I209" s="40">
        <f t="shared" si="215"/>
        <v>4</v>
      </c>
      <c r="J209" s="40">
        <f t="shared" si="215"/>
        <v>4</v>
      </c>
      <c r="K209" s="40">
        <f t="shared" si="215"/>
        <v>5</v>
      </c>
      <c r="L209" s="40">
        <f t="shared" si="215"/>
        <v>5</v>
      </c>
      <c r="M209" s="40">
        <f t="shared" si="215"/>
        <v>4</v>
      </c>
      <c r="N209" s="40">
        <f t="shared" si="215"/>
        <v>5</v>
      </c>
      <c r="O209" s="40">
        <f t="shared" si="215"/>
        <v>4</v>
      </c>
      <c r="P209" s="40">
        <f t="shared" si="215"/>
        <v>3</v>
      </c>
      <c r="Q209" s="40"/>
      <c r="R209" s="40"/>
      <c r="S209" s="40">
        <f t="shared" ref="S209:AA209" si="216">S36</f>
        <v>5</v>
      </c>
      <c r="T209" s="40">
        <f t="shared" si="216"/>
        <v>4</v>
      </c>
      <c r="U209" s="40">
        <f t="shared" si="216"/>
        <v>4</v>
      </c>
      <c r="V209" s="40">
        <f t="shared" si="216"/>
        <v>3</v>
      </c>
      <c r="W209" s="40">
        <f t="shared" si="216"/>
        <v>5</v>
      </c>
      <c r="X209" s="40">
        <f t="shared" si="216"/>
        <v>6</v>
      </c>
      <c r="Y209" s="40">
        <f t="shared" si="216"/>
        <v>4</v>
      </c>
      <c r="Z209" s="40">
        <f t="shared" si="216"/>
        <v>4</v>
      </c>
      <c r="AA209" s="40">
        <f t="shared" si="216"/>
        <v>5</v>
      </c>
      <c r="AB209" s="1"/>
      <c r="AC209" s="1"/>
      <c r="AD209" s="1"/>
      <c r="AE209" s="1"/>
      <c r="AF209" s="1"/>
    </row>
    <row r="210" ht="14.25" customHeight="1">
      <c r="C210" s="1"/>
      <c r="D210" s="1"/>
      <c r="E210" s="1"/>
      <c r="F210" s="40" t="str">
        <f>F43</f>
        <v>WAYS</v>
      </c>
      <c r="G210" s="1"/>
      <c r="H210" s="40">
        <f t="shared" ref="H210:P210" si="217">H44</f>
        <v>7</v>
      </c>
      <c r="I210" s="40">
        <f t="shared" si="217"/>
        <v>5</v>
      </c>
      <c r="J210" s="40">
        <f t="shared" si="217"/>
        <v>3</v>
      </c>
      <c r="K210" s="40">
        <f t="shared" si="217"/>
        <v>3</v>
      </c>
      <c r="L210" s="40">
        <f t="shared" si="217"/>
        <v>5</v>
      </c>
      <c r="M210" s="40">
        <f t="shared" si="217"/>
        <v>5</v>
      </c>
      <c r="N210" s="40">
        <f t="shared" si="217"/>
        <v>4</v>
      </c>
      <c r="O210" s="40">
        <f t="shared" si="217"/>
        <v>5</v>
      </c>
      <c r="P210" s="40">
        <f t="shared" si="217"/>
        <v>3</v>
      </c>
      <c r="Q210" s="40"/>
      <c r="R210" s="40"/>
      <c r="S210" s="40">
        <f t="shared" ref="S210:AA210" si="218">S44</f>
        <v>6</v>
      </c>
      <c r="T210" s="40">
        <f t="shared" si="218"/>
        <v>5</v>
      </c>
      <c r="U210" s="40">
        <f t="shared" si="218"/>
        <v>4</v>
      </c>
      <c r="V210" s="40">
        <f t="shared" si="218"/>
        <v>3</v>
      </c>
      <c r="W210" s="40">
        <f t="shared" si="218"/>
        <v>6</v>
      </c>
      <c r="X210" s="40">
        <f t="shared" si="218"/>
        <v>5</v>
      </c>
      <c r="Y210" s="40">
        <f t="shared" si="218"/>
        <v>4</v>
      </c>
      <c r="Z210" s="40">
        <f t="shared" si="218"/>
        <v>3</v>
      </c>
      <c r="AA210" s="40">
        <f t="shared" si="218"/>
        <v>4</v>
      </c>
      <c r="AB210" s="1"/>
      <c r="AC210" s="1"/>
      <c r="AD210" s="1"/>
      <c r="AE210" s="1"/>
      <c r="AF210" s="1"/>
    </row>
    <row r="211" ht="14.25" customHeight="1">
      <c r="C211" s="1"/>
      <c r="D211" s="1"/>
      <c r="E211" s="1"/>
      <c r="F211" s="40" t="str">
        <f>F60</f>
        <v>DYLAN</v>
      </c>
      <c r="G211" s="1"/>
      <c r="H211" s="40">
        <f t="shared" ref="H211:P211" si="219">H61</f>
        <v>5</v>
      </c>
      <c r="I211" s="40">
        <f t="shared" si="219"/>
        <v>5</v>
      </c>
      <c r="J211" s="40">
        <f t="shared" si="219"/>
        <v>3</v>
      </c>
      <c r="K211" s="40">
        <f t="shared" si="219"/>
        <v>4</v>
      </c>
      <c r="L211" s="40">
        <f t="shared" si="219"/>
        <v>6</v>
      </c>
      <c r="M211" s="40">
        <f t="shared" si="219"/>
        <v>6</v>
      </c>
      <c r="N211" s="40">
        <f t="shared" si="219"/>
        <v>5</v>
      </c>
      <c r="O211" s="40">
        <f t="shared" si="219"/>
        <v>4</v>
      </c>
      <c r="P211" s="40">
        <f t="shared" si="219"/>
        <v>5</v>
      </c>
      <c r="Q211" s="40"/>
      <c r="R211" s="40"/>
      <c r="S211" s="40">
        <f t="shared" ref="S211:AA211" si="220">S61</f>
        <v>7</v>
      </c>
      <c r="T211" s="40">
        <f t="shared" si="220"/>
        <v>4</v>
      </c>
      <c r="U211" s="40">
        <f t="shared" si="220"/>
        <v>6</v>
      </c>
      <c r="V211" s="40">
        <f t="shared" si="220"/>
        <v>4</v>
      </c>
      <c r="W211" s="40">
        <f t="shared" si="220"/>
        <v>7</v>
      </c>
      <c r="X211" s="40">
        <f t="shared" si="220"/>
        <v>6</v>
      </c>
      <c r="Y211" s="40">
        <f t="shared" si="220"/>
        <v>4</v>
      </c>
      <c r="Z211" s="40">
        <f t="shared" si="220"/>
        <v>4</v>
      </c>
      <c r="AA211" s="40">
        <f t="shared" si="220"/>
        <v>6</v>
      </c>
      <c r="AB211" s="1"/>
      <c r="AC211" s="1"/>
      <c r="AD211" s="1"/>
      <c r="AE211" s="1"/>
      <c r="AF211" s="1"/>
    </row>
    <row r="212" ht="14.25" customHeight="1">
      <c r="C212" s="1"/>
      <c r="D212" s="1"/>
      <c r="E212" s="1"/>
      <c r="F212" s="40" t="str">
        <f>F68</f>
        <v>TOM</v>
      </c>
      <c r="G212" s="1"/>
      <c r="H212" s="40">
        <f t="shared" ref="H212:P212" si="221">H69</f>
        <v>8</v>
      </c>
      <c r="I212" s="40">
        <f t="shared" si="221"/>
        <v>8</v>
      </c>
      <c r="J212" s="40">
        <f t="shared" si="221"/>
        <v>4</v>
      </c>
      <c r="K212" s="40">
        <f t="shared" si="221"/>
        <v>4</v>
      </c>
      <c r="L212" s="40">
        <f t="shared" si="221"/>
        <v>7</v>
      </c>
      <c r="M212" s="40">
        <f t="shared" si="221"/>
        <v>5</v>
      </c>
      <c r="N212" s="40">
        <f t="shared" si="221"/>
        <v>4</v>
      </c>
      <c r="O212" s="40">
        <f t="shared" si="221"/>
        <v>7</v>
      </c>
      <c r="P212" s="40">
        <f t="shared" si="221"/>
        <v>3</v>
      </c>
      <c r="Q212" s="40"/>
      <c r="R212" s="40"/>
      <c r="S212" s="40">
        <f t="shared" ref="S212:AA212" si="222">S69</f>
        <v>8</v>
      </c>
      <c r="T212" s="40">
        <f t="shared" si="222"/>
        <v>5</v>
      </c>
      <c r="U212" s="40">
        <f t="shared" si="222"/>
        <v>4</v>
      </c>
      <c r="V212" s="40">
        <f t="shared" si="222"/>
        <v>4</v>
      </c>
      <c r="W212" s="40">
        <f t="shared" si="222"/>
        <v>5</v>
      </c>
      <c r="X212" s="40">
        <f t="shared" si="222"/>
        <v>4</v>
      </c>
      <c r="Y212" s="40">
        <f t="shared" si="222"/>
        <v>4</v>
      </c>
      <c r="Z212" s="40">
        <f t="shared" si="222"/>
        <v>4</v>
      </c>
      <c r="AA212" s="40">
        <f t="shared" si="222"/>
        <v>5</v>
      </c>
      <c r="AB212" s="1"/>
      <c r="AC212" s="1"/>
      <c r="AD212" s="1"/>
      <c r="AE212" s="1"/>
      <c r="AF212" s="1"/>
    </row>
    <row r="213" ht="14.25" customHeight="1">
      <c r="C213" s="1"/>
      <c r="D213" s="1"/>
      <c r="E213" s="1"/>
      <c r="F213" s="40" t="str">
        <f>F85</f>
        <v>ERIC</v>
      </c>
      <c r="G213" s="1"/>
      <c r="H213" s="40">
        <f t="shared" ref="H213:P213" si="223">H86</f>
        <v>8</v>
      </c>
      <c r="I213" s="40">
        <f t="shared" si="223"/>
        <v>6</v>
      </c>
      <c r="J213" s="40">
        <f t="shared" si="223"/>
        <v>4</v>
      </c>
      <c r="K213" s="40">
        <f t="shared" si="223"/>
        <v>4</v>
      </c>
      <c r="L213" s="40">
        <f t="shared" si="223"/>
        <v>7</v>
      </c>
      <c r="M213" s="40">
        <f t="shared" si="223"/>
        <v>4</v>
      </c>
      <c r="N213" s="40">
        <f t="shared" si="223"/>
        <v>6</v>
      </c>
      <c r="O213" s="40">
        <f t="shared" si="223"/>
        <v>4</v>
      </c>
      <c r="P213" s="40">
        <f t="shared" si="223"/>
        <v>5</v>
      </c>
      <c r="Q213" s="40"/>
      <c r="R213" s="40"/>
      <c r="S213" s="40">
        <f t="shared" ref="S213:AA213" si="224">S86</f>
        <v>5</v>
      </c>
      <c r="T213" s="40">
        <f t="shared" si="224"/>
        <v>5</v>
      </c>
      <c r="U213" s="40">
        <f t="shared" si="224"/>
        <v>6</v>
      </c>
      <c r="V213" s="40">
        <f t="shared" si="224"/>
        <v>3</v>
      </c>
      <c r="W213" s="40">
        <f t="shared" si="224"/>
        <v>7</v>
      </c>
      <c r="X213" s="40">
        <f t="shared" si="224"/>
        <v>6</v>
      </c>
      <c r="Y213" s="40">
        <f t="shared" si="224"/>
        <v>5</v>
      </c>
      <c r="Z213" s="40">
        <f t="shared" si="224"/>
        <v>2</v>
      </c>
      <c r="AA213" s="40">
        <f t="shared" si="224"/>
        <v>7</v>
      </c>
      <c r="AB213" s="1"/>
      <c r="AC213" s="1"/>
      <c r="AD213" s="1"/>
      <c r="AE213" s="1"/>
      <c r="AF213" s="1"/>
    </row>
    <row r="214" ht="14.25" customHeight="1">
      <c r="C214" s="1"/>
      <c r="D214" s="1"/>
      <c r="E214" s="1"/>
      <c r="F214" s="40" t="str">
        <f>F93</f>
        <v>DANNY</v>
      </c>
      <c r="G214" s="1"/>
      <c r="H214" s="40">
        <f t="shared" ref="H214:P214" si="225">H94</f>
        <v>6</v>
      </c>
      <c r="I214" s="40">
        <f t="shared" si="225"/>
        <v>4</v>
      </c>
      <c r="J214" s="40">
        <f t="shared" si="225"/>
        <v>4</v>
      </c>
      <c r="K214" s="40">
        <f t="shared" si="225"/>
        <v>6</v>
      </c>
      <c r="L214" s="40">
        <f t="shared" si="225"/>
        <v>7</v>
      </c>
      <c r="M214" s="40">
        <f t="shared" si="225"/>
        <v>6</v>
      </c>
      <c r="N214" s="40">
        <f t="shared" si="225"/>
        <v>4</v>
      </c>
      <c r="O214" s="40">
        <f t="shared" si="225"/>
        <v>5</v>
      </c>
      <c r="P214" s="40">
        <f t="shared" si="225"/>
        <v>3</v>
      </c>
      <c r="Q214" s="40"/>
      <c r="R214" s="40"/>
      <c r="S214" s="40">
        <f t="shared" ref="S214:AA214" si="226">S94</f>
        <v>6</v>
      </c>
      <c r="T214" s="40">
        <f t="shared" si="226"/>
        <v>5</v>
      </c>
      <c r="U214" s="40">
        <f t="shared" si="226"/>
        <v>4</v>
      </c>
      <c r="V214" s="40">
        <f t="shared" si="226"/>
        <v>4</v>
      </c>
      <c r="W214" s="40">
        <f t="shared" si="226"/>
        <v>7</v>
      </c>
      <c r="X214" s="40">
        <f t="shared" si="226"/>
        <v>4</v>
      </c>
      <c r="Y214" s="40">
        <f t="shared" si="226"/>
        <v>4</v>
      </c>
      <c r="Z214" s="40">
        <f t="shared" si="226"/>
        <v>4</v>
      </c>
      <c r="AA214" s="40">
        <f t="shared" si="226"/>
        <v>6</v>
      </c>
      <c r="AB214" s="1"/>
      <c r="AC214" s="1"/>
      <c r="AD214" s="1"/>
      <c r="AE214" s="1"/>
      <c r="AF214" s="1"/>
    </row>
    <row r="215" ht="14.25" customHeight="1">
      <c r="C215" s="1"/>
      <c r="D215" s="1"/>
      <c r="E215" s="1"/>
      <c r="F215" s="40" t="str">
        <f>F110</f>
        <v>RYAN</v>
      </c>
      <c r="G215" s="1"/>
      <c r="H215" s="40">
        <f t="shared" ref="H215:P215" si="227">H111</f>
        <v>5</v>
      </c>
      <c r="I215" s="40">
        <f t="shared" si="227"/>
        <v>6</v>
      </c>
      <c r="J215" s="40">
        <f t="shared" si="227"/>
        <v>4</v>
      </c>
      <c r="K215" s="40">
        <f t="shared" si="227"/>
        <v>6</v>
      </c>
      <c r="L215" s="40">
        <f t="shared" si="227"/>
        <v>8</v>
      </c>
      <c r="M215" s="40">
        <f t="shared" si="227"/>
        <v>5</v>
      </c>
      <c r="N215" s="40">
        <f t="shared" si="227"/>
        <v>6</v>
      </c>
      <c r="O215" s="40">
        <f t="shared" si="227"/>
        <v>7</v>
      </c>
      <c r="P215" s="40">
        <f t="shared" si="227"/>
        <v>4</v>
      </c>
      <c r="Q215" s="40"/>
      <c r="R215" s="40"/>
      <c r="S215" s="40">
        <f t="shared" ref="S215:AA215" si="228">S111</f>
        <v>8</v>
      </c>
      <c r="T215" s="40">
        <f t="shared" si="228"/>
        <v>6</v>
      </c>
      <c r="U215" s="40">
        <f t="shared" si="228"/>
        <v>6</v>
      </c>
      <c r="V215" s="40">
        <f t="shared" si="228"/>
        <v>6</v>
      </c>
      <c r="W215" s="40">
        <f t="shared" si="228"/>
        <v>5</v>
      </c>
      <c r="X215" s="40">
        <f t="shared" si="228"/>
        <v>8</v>
      </c>
      <c r="Y215" s="40">
        <f t="shared" si="228"/>
        <v>5</v>
      </c>
      <c r="Z215" s="40">
        <f t="shared" si="228"/>
        <v>4</v>
      </c>
      <c r="AA215" s="40">
        <f t="shared" si="228"/>
        <v>5</v>
      </c>
      <c r="AB215" s="1"/>
      <c r="AC215" s="1"/>
      <c r="AD215" s="1"/>
      <c r="AE215" s="1"/>
      <c r="AF215" s="1"/>
    </row>
    <row r="216" ht="14.25" customHeight="1">
      <c r="C216" s="1"/>
      <c r="D216" s="1"/>
      <c r="E216" s="1"/>
      <c r="F216" s="40" t="str">
        <f>F118</f>
        <v>SHEPP</v>
      </c>
      <c r="G216" s="1"/>
      <c r="H216" s="40">
        <f t="shared" ref="H216:P216" si="229">H119</f>
        <v>7</v>
      </c>
      <c r="I216" s="40">
        <f t="shared" si="229"/>
        <v>7</v>
      </c>
      <c r="J216" s="40">
        <f t="shared" si="229"/>
        <v>4</v>
      </c>
      <c r="K216" s="40">
        <f t="shared" si="229"/>
        <v>6</v>
      </c>
      <c r="L216" s="40">
        <f t="shared" si="229"/>
        <v>8</v>
      </c>
      <c r="M216" s="40">
        <f t="shared" si="229"/>
        <v>5</v>
      </c>
      <c r="N216" s="40">
        <f t="shared" si="229"/>
        <v>8</v>
      </c>
      <c r="O216" s="40">
        <f t="shared" si="229"/>
        <v>7</v>
      </c>
      <c r="P216" s="40">
        <f t="shared" si="229"/>
        <v>6</v>
      </c>
      <c r="Q216" s="40"/>
      <c r="R216" s="40"/>
      <c r="S216" s="40">
        <f t="shared" ref="S216:AA216" si="230">S119</f>
        <v>8</v>
      </c>
      <c r="T216" s="40">
        <f t="shared" si="230"/>
        <v>7</v>
      </c>
      <c r="U216" s="40">
        <f t="shared" si="230"/>
        <v>7</v>
      </c>
      <c r="V216" s="40">
        <f t="shared" si="230"/>
        <v>5</v>
      </c>
      <c r="W216" s="40">
        <f t="shared" si="230"/>
        <v>7</v>
      </c>
      <c r="X216" s="40">
        <f t="shared" si="230"/>
        <v>8</v>
      </c>
      <c r="Y216" s="40">
        <f t="shared" si="230"/>
        <v>6</v>
      </c>
      <c r="Z216" s="40">
        <f t="shared" si="230"/>
        <v>4</v>
      </c>
      <c r="AA216" s="40">
        <f t="shared" si="230"/>
        <v>7</v>
      </c>
      <c r="AB216" s="1"/>
      <c r="AC216" s="1"/>
      <c r="AD216" s="1"/>
      <c r="AE216" s="1"/>
      <c r="AF216" s="1"/>
    </row>
    <row r="217" ht="14.25" customHeight="1">
      <c r="C217" s="1"/>
      <c r="D217" s="1"/>
      <c r="E217" s="1"/>
      <c r="F217" s="40" t="str">
        <f>F135</f>
        <v>KIP</v>
      </c>
      <c r="G217" s="1"/>
      <c r="H217" s="40">
        <f t="shared" ref="H217:P217" si="231">H136</f>
        <v>8</v>
      </c>
      <c r="I217" s="40">
        <f t="shared" si="231"/>
        <v>5</v>
      </c>
      <c r="J217" s="40">
        <f t="shared" si="231"/>
        <v>4</v>
      </c>
      <c r="K217" s="40">
        <f t="shared" si="231"/>
        <v>8</v>
      </c>
      <c r="L217" s="40">
        <f t="shared" si="231"/>
        <v>8</v>
      </c>
      <c r="M217" s="40">
        <f t="shared" si="231"/>
        <v>6</v>
      </c>
      <c r="N217" s="40">
        <f t="shared" si="231"/>
        <v>6</v>
      </c>
      <c r="O217" s="40">
        <f t="shared" si="231"/>
        <v>7</v>
      </c>
      <c r="P217" s="40">
        <f t="shared" si="231"/>
        <v>4</v>
      </c>
      <c r="Q217" s="40"/>
      <c r="R217" s="40"/>
      <c r="S217" s="40">
        <f t="shared" ref="S217:AA217" si="232">S136</f>
        <v>6</v>
      </c>
      <c r="T217" s="40">
        <f t="shared" si="232"/>
        <v>5</v>
      </c>
      <c r="U217" s="40">
        <f t="shared" si="232"/>
        <v>5</v>
      </c>
      <c r="V217" s="40">
        <f t="shared" si="232"/>
        <v>4</v>
      </c>
      <c r="W217" s="40">
        <f t="shared" si="232"/>
        <v>6</v>
      </c>
      <c r="X217" s="40">
        <f t="shared" si="232"/>
        <v>7</v>
      </c>
      <c r="Y217" s="40">
        <f t="shared" si="232"/>
        <v>4</v>
      </c>
      <c r="Z217" s="40">
        <f t="shared" si="232"/>
        <v>5</v>
      </c>
      <c r="AA217" s="40">
        <f t="shared" si="232"/>
        <v>6</v>
      </c>
      <c r="AB217" s="1"/>
      <c r="AC217" s="1"/>
      <c r="AD217" s="1"/>
      <c r="AE217" s="1"/>
      <c r="AF217" s="1"/>
    </row>
    <row r="218" ht="14.25" customHeight="1">
      <c r="C218" s="1"/>
      <c r="D218" s="1"/>
      <c r="E218" s="1"/>
      <c r="F218" s="40" t="str">
        <f>F143</f>
        <v>SKYLAR</v>
      </c>
      <c r="G218" s="1"/>
      <c r="H218" s="40">
        <f t="shared" ref="H218:P218" si="233">H144</f>
        <v>5</v>
      </c>
      <c r="I218" s="40">
        <f t="shared" si="233"/>
        <v>7</v>
      </c>
      <c r="J218" s="40">
        <f t="shared" si="233"/>
        <v>4</v>
      </c>
      <c r="K218" s="40">
        <f t="shared" si="233"/>
        <v>4</v>
      </c>
      <c r="L218" s="40">
        <f t="shared" si="233"/>
        <v>8</v>
      </c>
      <c r="M218" s="40">
        <f t="shared" si="233"/>
        <v>6</v>
      </c>
      <c r="N218" s="40">
        <f t="shared" si="233"/>
        <v>5</v>
      </c>
      <c r="O218" s="40">
        <f t="shared" si="233"/>
        <v>6</v>
      </c>
      <c r="P218" s="40">
        <f t="shared" si="233"/>
        <v>5</v>
      </c>
      <c r="Q218" s="40"/>
      <c r="R218" s="40"/>
      <c r="S218" s="40">
        <f t="shared" ref="S218:AA218" si="234">S144</f>
        <v>7</v>
      </c>
      <c r="T218" s="40">
        <f t="shared" si="234"/>
        <v>7</v>
      </c>
      <c r="U218" s="40">
        <f t="shared" si="234"/>
        <v>4</v>
      </c>
      <c r="V218" s="40">
        <f t="shared" si="234"/>
        <v>5</v>
      </c>
      <c r="W218" s="40">
        <f t="shared" si="234"/>
        <v>8</v>
      </c>
      <c r="X218" s="40">
        <f t="shared" si="234"/>
        <v>4</v>
      </c>
      <c r="Y218" s="40">
        <f t="shared" si="234"/>
        <v>6</v>
      </c>
      <c r="Z218" s="40">
        <f t="shared" si="234"/>
        <v>5</v>
      </c>
      <c r="AA218" s="40">
        <f t="shared" si="234"/>
        <v>5</v>
      </c>
      <c r="AB218" s="1"/>
      <c r="AC218" s="1"/>
      <c r="AD218" s="1"/>
      <c r="AE218" s="1"/>
      <c r="AF218" s="1"/>
    </row>
    <row r="219" ht="14.25" customHeight="1">
      <c r="C219" s="1"/>
      <c r="D219" s="1"/>
      <c r="E219" s="1"/>
      <c r="F219" s="40" t="str">
        <f>F160</f>
        <v>PAXTON</v>
      </c>
      <c r="G219" s="1"/>
      <c r="H219" s="40">
        <f t="shared" ref="H219:P219" si="235">H161</f>
        <v>6</v>
      </c>
      <c r="I219" s="40">
        <f t="shared" si="235"/>
        <v>6</v>
      </c>
      <c r="J219" s="40">
        <f t="shared" si="235"/>
        <v>4</v>
      </c>
      <c r="K219" s="40">
        <f t="shared" si="235"/>
        <v>7</v>
      </c>
      <c r="L219" s="40">
        <f t="shared" si="235"/>
        <v>7</v>
      </c>
      <c r="M219" s="40">
        <f t="shared" si="235"/>
        <v>5</v>
      </c>
      <c r="N219" s="40">
        <f t="shared" si="235"/>
        <v>5</v>
      </c>
      <c r="O219" s="40">
        <f t="shared" si="235"/>
        <v>5</v>
      </c>
      <c r="P219" s="40">
        <f t="shared" si="235"/>
        <v>3</v>
      </c>
      <c r="Q219" s="40"/>
      <c r="R219" s="40"/>
      <c r="S219" s="40">
        <f t="shared" ref="S219:AA219" si="236">S161</f>
        <v>5</v>
      </c>
      <c r="T219" s="40">
        <f t="shared" si="236"/>
        <v>5</v>
      </c>
      <c r="U219" s="40">
        <f t="shared" si="236"/>
        <v>6</v>
      </c>
      <c r="V219" s="40">
        <f t="shared" si="236"/>
        <v>4</v>
      </c>
      <c r="W219" s="40">
        <f t="shared" si="236"/>
        <v>5</v>
      </c>
      <c r="X219" s="40">
        <f t="shared" si="236"/>
        <v>4</v>
      </c>
      <c r="Y219" s="40">
        <f t="shared" si="236"/>
        <v>5</v>
      </c>
      <c r="Z219" s="40">
        <f t="shared" si="236"/>
        <v>3</v>
      </c>
      <c r="AA219" s="40">
        <f t="shared" si="236"/>
        <v>5</v>
      </c>
      <c r="AB219" s="1"/>
      <c r="AC219" s="1"/>
      <c r="AD219" s="1"/>
      <c r="AE219" s="1"/>
      <c r="AF219" s="1"/>
    </row>
    <row r="220" ht="14.25" customHeight="1">
      <c r="C220" s="1"/>
      <c r="D220" s="1"/>
      <c r="E220" s="1"/>
      <c r="F220" s="40" t="str">
        <f>F168</f>
        <v>BEN</v>
      </c>
      <c r="G220" s="1"/>
      <c r="H220" s="40">
        <f t="shared" ref="H220:P220" si="237">H169</f>
        <v>6</v>
      </c>
      <c r="I220" s="40">
        <f t="shared" si="237"/>
        <v>4</v>
      </c>
      <c r="J220" s="40">
        <f t="shared" si="237"/>
        <v>3</v>
      </c>
      <c r="K220" s="40">
        <f t="shared" si="237"/>
        <v>5</v>
      </c>
      <c r="L220" s="40">
        <f t="shared" si="237"/>
        <v>5</v>
      </c>
      <c r="M220" s="40">
        <f t="shared" si="237"/>
        <v>5</v>
      </c>
      <c r="N220" s="40">
        <f t="shared" si="237"/>
        <v>5</v>
      </c>
      <c r="O220" s="40">
        <f t="shared" si="237"/>
        <v>5</v>
      </c>
      <c r="P220" s="40">
        <f t="shared" si="237"/>
        <v>2</v>
      </c>
      <c r="Q220" s="40"/>
      <c r="R220" s="40"/>
      <c r="S220" s="40">
        <f t="shared" ref="S220:AA220" si="238">S169</f>
        <v>5</v>
      </c>
      <c r="T220" s="40">
        <f t="shared" si="238"/>
        <v>3</v>
      </c>
      <c r="U220" s="40">
        <f t="shared" si="238"/>
        <v>5</v>
      </c>
      <c r="V220" s="40">
        <f t="shared" si="238"/>
        <v>4</v>
      </c>
      <c r="W220" s="40">
        <f t="shared" si="238"/>
        <v>6</v>
      </c>
      <c r="X220" s="40">
        <f t="shared" si="238"/>
        <v>3</v>
      </c>
      <c r="Y220" s="40">
        <f t="shared" si="238"/>
        <v>5</v>
      </c>
      <c r="Z220" s="40">
        <f t="shared" si="238"/>
        <v>4</v>
      </c>
      <c r="AA220" s="40">
        <f t="shared" si="238"/>
        <v>4</v>
      </c>
      <c r="AB220" s="1"/>
      <c r="AC220" s="1"/>
      <c r="AD220" s="1"/>
      <c r="AE220" s="1"/>
      <c r="AF220" s="1"/>
    </row>
    <row r="221" ht="14.25" customHeight="1">
      <c r="C221" s="1"/>
      <c r="D221" s="1"/>
      <c r="E221" s="1"/>
      <c r="F221" s="40" t="str">
        <f>F185</f>
        <v>SCOTT</v>
      </c>
      <c r="G221" s="1"/>
      <c r="H221" s="40">
        <f t="shared" ref="H221:P221" si="239">H186</f>
        <v>6</v>
      </c>
      <c r="I221" s="40">
        <f t="shared" si="239"/>
        <v>6</v>
      </c>
      <c r="J221" s="40">
        <f t="shared" si="239"/>
        <v>4</v>
      </c>
      <c r="K221" s="40">
        <f t="shared" si="239"/>
        <v>4</v>
      </c>
      <c r="L221" s="40">
        <f t="shared" si="239"/>
        <v>5</v>
      </c>
      <c r="M221" s="40">
        <f t="shared" si="239"/>
        <v>4</v>
      </c>
      <c r="N221" s="40">
        <f t="shared" si="239"/>
        <v>4</v>
      </c>
      <c r="O221" s="40">
        <f t="shared" si="239"/>
        <v>5</v>
      </c>
      <c r="P221" s="40">
        <f t="shared" si="239"/>
        <v>5</v>
      </c>
      <c r="Q221" s="40"/>
      <c r="R221" s="40"/>
      <c r="S221" s="40">
        <f t="shared" ref="S221:AA221" si="240">S186</f>
        <v>5</v>
      </c>
      <c r="T221" s="40">
        <f t="shared" si="240"/>
        <v>4</v>
      </c>
      <c r="U221" s="40">
        <f t="shared" si="240"/>
        <v>5</v>
      </c>
      <c r="V221" s="40">
        <f t="shared" si="240"/>
        <v>3</v>
      </c>
      <c r="W221" s="40">
        <f t="shared" si="240"/>
        <v>6</v>
      </c>
      <c r="X221" s="40">
        <f t="shared" si="240"/>
        <v>5</v>
      </c>
      <c r="Y221" s="40">
        <f t="shared" si="240"/>
        <v>4</v>
      </c>
      <c r="Z221" s="40">
        <f t="shared" si="240"/>
        <v>3</v>
      </c>
      <c r="AA221" s="40">
        <f t="shared" si="240"/>
        <v>4</v>
      </c>
      <c r="AB221" s="1"/>
      <c r="AC221" s="1"/>
      <c r="AD221" s="1"/>
      <c r="AE221" s="1"/>
      <c r="AF221" s="1"/>
    </row>
    <row r="222" ht="14.25" customHeight="1">
      <c r="C222" s="1"/>
      <c r="D222" s="1"/>
      <c r="E222" s="1"/>
      <c r="F222" s="40" t="str">
        <f>F193</f>
        <v>ZACH</v>
      </c>
      <c r="G222" s="1"/>
      <c r="H222" s="40">
        <f t="shared" ref="H222:P222" si="241">H194</f>
        <v>6</v>
      </c>
      <c r="I222" s="40">
        <f t="shared" si="241"/>
        <v>6</v>
      </c>
      <c r="J222" s="40">
        <f t="shared" si="241"/>
        <v>3</v>
      </c>
      <c r="K222" s="40">
        <f t="shared" si="241"/>
        <v>7</v>
      </c>
      <c r="L222" s="40">
        <f t="shared" si="241"/>
        <v>6</v>
      </c>
      <c r="M222" s="40">
        <f t="shared" si="241"/>
        <v>5</v>
      </c>
      <c r="N222" s="40">
        <f t="shared" si="241"/>
        <v>4</v>
      </c>
      <c r="O222" s="40">
        <f t="shared" si="241"/>
        <v>4</v>
      </c>
      <c r="P222" s="40">
        <f t="shared" si="241"/>
        <v>3</v>
      </c>
      <c r="Q222" s="40"/>
      <c r="R222" s="40"/>
      <c r="S222" s="40">
        <f t="shared" ref="S222:AA222" si="242">S194</f>
        <v>7</v>
      </c>
      <c r="T222" s="40">
        <f t="shared" si="242"/>
        <v>6</v>
      </c>
      <c r="U222" s="40">
        <f t="shared" si="242"/>
        <v>5</v>
      </c>
      <c r="V222" s="40">
        <f t="shared" si="242"/>
        <v>4</v>
      </c>
      <c r="W222" s="40">
        <f t="shared" si="242"/>
        <v>6</v>
      </c>
      <c r="X222" s="40">
        <f t="shared" si="242"/>
        <v>5</v>
      </c>
      <c r="Y222" s="40">
        <f t="shared" si="242"/>
        <v>5</v>
      </c>
      <c r="Z222" s="40">
        <f t="shared" si="242"/>
        <v>5</v>
      </c>
      <c r="AA222" s="40">
        <f t="shared" si="242"/>
        <v>5</v>
      </c>
      <c r="AB222" s="1"/>
      <c r="AC222" s="1"/>
      <c r="AD222" s="1"/>
      <c r="AE222" s="1"/>
      <c r="AF222" s="1"/>
    </row>
    <row r="223" ht="14.25" customHeight="1">
      <c r="C223" s="1"/>
      <c r="D223" s="1"/>
      <c r="E223" s="1"/>
      <c r="F223" s="1"/>
      <c r="G223" s="1"/>
      <c r="H223" s="40">
        <v>24.0</v>
      </c>
      <c r="I223" s="40">
        <f t="shared" ref="I223:P223" si="243">H223-1</f>
        <v>23</v>
      </c>
      <c r="J223" s="40">
        <f t="shared" si="243"/>
        <v>22</v>
      </c>
      <c r="K223" s="40">
        <f t="shared" si="243"/>
        <v>21</v>
      </c>
      <c r="L223" s="40">
        <f t="shared" si="243"/>
        <v>20</v>
      </c>
      <c r="M223" s="40">
        <f t="shared" si="243"/>
        <v>19</v>
      </c>
      <c r="N223" s="40">
        <f t="shared" si="243"/>
        <v>18</v>
      </c>
      <c r="O223" s="40">
        <f t="shared" si="243"/>
        <v>17</v>
      </c>
      <c r="P223" s="40">
        <f t="shared" si="243"/>
        <v>16</v>
      </c>
      <c r="Q223" s="40"/>
      <c r="R223" s="40"/>
      <c r="S223" s="40">
        <f>P223-3</f>
        <v>13</v>
      </c>
      <c r="T223" s="40">
        <f t="shared" ref="T223:AA223" si="244">S223-1</f>
        <v>12</v>
      </c>
      <c r="U223" s="40">
        <f t="shared" si="244"/>
        <v>11</v>
      </c>
      <c r="V223" s="40">
        <f t="shared" si="244"/>
        <v>10</v>
      </c>
      <c r="W223" s="40">
        <f t="shared" si="244"/>
        <v>9</v>
      </c>
      <c r="X223" s="40">
        <f t="shared" si="244"/>
        <v>8</v>
      </c>
      <c r="Y223" s="40">
        <f t="shared" si="244"/>
        <v>7</v>
      </c>
      <c r="Z223" s="40">
        <f t="shared" si="244"/>
        <v>6</v>
      </c>
      <c r="AA223" s="40">
        <f t="shared" si="244"/>
        <v>5</v>
      </c>
      <c r="AB223" s="1"/>
      <c r="AC223" s="1"/>
      <c r="AD223" s="1"/>
      <c r="AE223" s="1"/>
      <c r="AF223" s="1"/>
    </row>
    <row r="224" ht="14.25" customHeight="1">
      <c r="C224" s="1"/>
      <c r="D224" s="1"/>
      <c r="E224" s="1"/>
      <c r="F224" s="1"/>
      <c r="G224" s="1"/>
      <c r="H224" s="42">
        <v>3.0</v>
      </c>
      <c r="I224" s="42">
        <f t="shared" ref="I224:P224" si="245">H224+1</f>
        <v>4</v>
      </c>
      <c r="J224" s="42">
        <f t="shared" si="245"/>
        <v>5</v>
      </c>
      <c r="K224" s="42">
        <f t="shared" si="245"/>
        <v>6</v>
      </c>
      <c r="L224" s="42">
        <f t="shared" si="245"/>
        <v>7</v>
      </c>
      <c r="M224" s="42">
        <f t="shared" si="245"/>
        <v>8</v>
      </c>
      <c r="N224" s="42">
        <f t="shared" si="245"/>
        <v>9</v>
      </c>
      <c r="O224" s="42">
        <f t="shared" si="245"/>
        <v>10</v>
      </c>
      <c r="P224" s="42">
        <f t="shared" si="245"/>
        <v>11</v>
      </c>
      <c r="Q224" s="42"/>
      <c r="R224" s="42"/>
      <c r="S224" s="42">
        <f>P224+3</f>
        <v>14</v>
      </c>
      <c r="T224" s="42">
        <f t="shared" ref="T224:AA224" si="246">S224+1</f>
        <v>15</v>
      </c>
      <c r="U224" s="42">
        <f t="shared" si="246"/>
        <v>16</v>
      </c>
      <c r="V224" s="42">
        <f t="shared" si="246"/>
        <v>17</v>
      </c>
      <c r="W224" s="42">
        <f t="shared" si="246"/>
        <v>18</v>
      </c>
      <c r="X224" s="42">
        <f t="shared" si="246"/>
        <v>19</v>
      </c>
      <c r="Y224" s="42">
        <f t="shared" si="246"/>
        <v>20</v>
      </c>
      <c r="Z224" s="42">
        <f t="shared" si="246"/>
        <v>21</v>
      </c>
      <c r="AA224" s="42">
        <f t="shared" si="246"/>
        <v>22</v>
      </c>
      <c r="AB224" s="1"/>
      <c r="AC224" s="1"/>
      <c r="AD224" s="1"/>
      <c r="AE224" s="1"/>
      <c r="AF224" s="1"/>
    </row>
    <row r="225" ht="27.75" customHeight="1">
      <c r="C225" s="1"/>
      <c r="D225" s="1"/>
      <c r="E225" s="1"/>
      <c r="F225" s="66" t="s">
        <v>145</v>
      </c>
      <c r="G225" s="66" t="s">
        <v>113</v>
      </c>
      <c r="H225" s="66">
        <f t="shared" ref="H225:P225" si="247">H7</f>
        <v>5</v>
      </c>
      <c r="I225" s="66">
        <f t="shared" si="247"/>
        <v>4</v>
      </c>
      <c r="J225" s="66">
        <f t="shared" si="247"/>
        <v>3</v>
      </c>
      <c r="K225" s="66">
        <f t="shared" si="247"/>
        <v>4</v>
      </c>
      <c r="L225" s="66">
        <f t="shared" si="247"/>
        <v>5</v>
      </c>
      <c r="M225" s="66">
        <f t="shared" si="247"/>
        <v>4</v>
      </c>
      <c r="N225" s="66">
        <f t="shared" si="247"/>
        <v>4</v>
      </c>
      <c r="O225" s="66">
        <f t="shared" si="247"/>
        <v>4</v>
      </c>
      <c r="P225" s="66">
        <f t="shared" si="247"/>
        <v>3</v>
      </c>
      <c r="Q225" s="10"/>
      <c r="R225" s="10"/>
      <c r="S225" s="66">
        <f t="shared" ref="S225:AA225" si="248">S7</f>
        <v>5</v>
      </c>
      <c r="T225" s="66">
        <f t="shared" si="248"/>
        <v>4</v>
      </c>
      <c r="U225" s="66">
        <f t="shared" si="248"/>
        <v>4</v>
      </c>
      <c r="V225" s="66">
        <f t="shared" si="248"/>
        <v>3</v>
      </c>
      <c r="W225" s="66">
        <f t="shared" si="248"/>
        <v>5</v>
      </c>
      <c r="X225" s="66">
        <f t="shared" si="248"/>
        <v>4</v>
      </c>
      <c r="Y225" s="66">
        <f t="shared" si="248"/>
        <v>4</v>
      </c>
      <c r="Z225" s="66">
        <f t="shared" si="248"/>
        <v>3</v>
      </c>
      <c r="AA225" s="66">
        <f t="shared" si="248"/>
        <v>4</v>
      </c>
      <c r="AB225" s="1"/>
      <c r="AC225" s="1"/>
      <c r="AD225" s="1"/>
      <c r="AE225" s="1"/>
      <c r="AF225" s="1"/>
    </row>
    <row r="226" ht="27.75" customHeight="1">
      <c r="C226" s="1"/>
      <c r="D226" s="1"/>
      <c r="E226" s="1"/>
      <c r="F226" s="66" t="s">
        <v>115</v>
      </c>
      <c r="G226" s="166" t="s">
        <v>191</v>
      </c>
      <c r="H226" s="66">
        <v>1.0</v>
      </c>
      <c r="I226" s="66">
        <v>2.0</v>
      </c>
      <c r="J226" s="66">
        <v>3.0</v>
      </c>
      <c r="K226" s="66">
        <v>4.0</v>
      </c>
      <c r="L226" s="66">
        <v>5.0</v>
      </c>
      <c r="M226" s="66">
        <v>6.0</v>
      </c>
      <c r="N226" s="66">
        <v>7.0</v>
      </c>
      <c r="O226" s="66">
        <v>8.0</v>
      </c>
      <c r="P226" s="66">
        <v>9.0</v>
      </c>
      <c r="Q226" s="10"/>
      <c r="R226" s="10"/>
      <c r="S226" s="66">
        <v>10.0</v>
      </c>
      <c r="T226" s="66">
        <v>11.0</v>
      </c>
      <c r="U226" s="66">
        <v>12.0</v>
      </c>
      <c r="V226" s="66">
        <v>13.0</v>
      </c>
      <c r="W226" s="66">
        <v>14.0</v>
      </c>
      <c r="X226" s="66">
        <v>15.0</v>
      </c>
      <c r="Y226" s="66">
        <v>16.0</v>
      </c>
      <c r="Z226" s="66">
        <v>17.0</v>
      </c>
      <c r="AA226" s="66">
        <v>18.0</v>
      </c>
      <c r="AB226" s="39"/>
      <c r="AC226" s="39"/>
      <c r="AD226" s="39"/>
      <c r="AE226" s="66" t="s">
        <v>148</v>
      </c>
      <c r="AF226" s="167">
        <f>COUNTIF(G227:G242,"Y")*SKINS</f>
        <v>280</v>
      </c>
    </row>
    <row r="227" ht="27.75" customHeight="1">
      <c r="C227" s="1"/>
      <c r="D227" s="11" t="s">
        <v>17</v>
      </c>
      <c r="E227" s="1"/>
      <c r="F227" s="168" t="str">
        <f>HANDICAPS!B8</f>
        <v>DEREK</v>
      </c>
      <c r="G227" s="75" t="s">
        <v>17</v>
      </c>
      <c r="H227" s="169">
        <f t="shared" ref="H227:P227" si="249">IFERROR(IF(VLOOKUP($F227,$F$207:$AA$222,H$224,FALSE)=0,"",VLOOKUP($F227,$F$207:$AA$222,H$224,FALSE)-IF(VLOOKUP($F227,$F$10:$AA$200,H$224,FALSE)="**",2,IF(VLOOKUP($F227,$F$10:$AA$200,H$224,FALSE)="*",1,0))),"")</f>
        <v>7</v>
      </c>
      <c r="I227" s="169">
        <f t="shared" si="249"/>
        <v>4</v>
      </c>
      <c r="J227" s="169">
        <f t="shared" si="249"/>
        <v>4</v>
      </c>
      <c r="K227" s="169">
        <f t="shared" si="249"/>
        <v>5</v>
      </c>
      <c r="L227" s="169">
        <f t="shared" si="249"/>
        <v>5</v>
      </c>
      <c r="M227" s="169">
        <f t="shared" si="249"/>
        <v>4</v>
      </c>
      <c r="N227" s="169">
        <f t="shared" si="249"/>
        <v>5</v>
      </c>
      <c r="O227" s="169">
        <f t="shared" si="249"/>
        <v>4</v>
      </c>
      <c r="P227" s="169">
        <f t="shared" si="249"/>
        <v>3</v>
      </c>
      <c r="Q227" s="51" t="str">
        <f t="shared" ref="Q227:R227" si="250">IFERROR(IF(VLOOKUP($F227,$F$207:$AA$222,Q$225,FALSE)=0,"",VLOOKUP($F227,$F$207:$AA$222,Q$225,FALSE)-IF(VLOOKUP($F227,$F$10:$AA$200,Q$225,FALSE)="**",2,IF(VLOOKUP($F227,$F$10:$AA$200,Q$225,FALSE)="*",1,0))),"")</f>
        <v/>
      </c>
      <c r="R227" s="51" t="str">
        <f t="shared" si="250"/>
        <v/>
      </c>
      <c r="S227" s="169">
        <f t="shared" ref="S227:AA227" si="251">IFERROR(IF(VLOOKUP($F227,$F$207:$AA$222,S$224,FALSE)=0,"",VLOOKUP($F227,$F$207:$AA$222,S$224,FALSE)-IF(VLOOKUP($F227,$F$10:$AA$200,S$224,FALSE)="**",2,IF(VLOOKUP($F227,$F$10:$AA$200,S$224,FALSE)="*",1,0))),"")</f>
        <v>5</v>
      </c>
      <c r="T227" s="169">
        <f t="shared" si="251"/>
        <v>4</v>
      </c>
      <c r="U227" s="169">
        <f t="shared" si="251"/>
        <v>4</v>
      </c>
      <c r="V227" s="169">
        <f t="shared" si="251"/>
        <v>3</v>
      </c>
      <c r="W227" s="169">
        <f t="shared" si="251"/>
        <v>5</v>
      </c>
      <c r="X227" s="169">
        <f t="shared" si="251"/>
        <v>6</v>
      </c>
      <c r="Y227" s="169">
        <f t="shared" si="251"/>
        <v>4</v>
      </c>
      <c r="Z227" s="169">
        <f t="shared" si="251"/>
        <v>4</v>
      </c>
      <c r="AA227" s="169">
        <f t="shared" si="251"/>
        <v>5</v>
      </c>
      <c r="AB227" s="39"/>
      <c r="AC227" s="39"/>
      <c r="AD227" s="1"/>
      <c r="AE227" s="75" t="str">
        <f t="shared" ref="AE227:AE242" si="255">F227</f>
        <v>DEREK</v>
      </c>
      <c r="AF227" s="275">
        <f t="shared" ref="AF227:AF242" si="256">IFERROR(($AF$226/$AB$246)*COUNTIF($H$247:$AA$247,AE227),0)</f>
        <v>0</v>
      </c>
    </row>
    <row r="228" ht="27.75" customHeight="1">
      <c r="C228" s="1"/>
      <c r="D228" s="11" t="s">
        <v>18</v>
      </c>
      <c r="E228" s="1"/>
      <c r="F228" s="168" t="str">
        <f>HANDICAPS!B9</f>
        <v>SCOTT</v>
      </c>
      <c r="G228" s="75" t="s">
        <v>17</v>
      </c>
      <c r="H228" s="169">
        <f t="shared" ref="H228:P228" si="252">IFERROR(IF(VLOOKUP($F228,$F$207:$AA$222,H$224,FALSE)=0,"",VLOOKUP($F228,$F$207:$AA$222,H$224,FALSE)-IF(VLOOKUP($F228,$F$10:$AA$200,H$224,FALSE)="**",2,IF(VLOOKUP($F228,$F$10:$AA$200,H$224,FALSE)="*",1,0))),"")</f>
        <v>6</v>
      </c>
      <c r="I228" s="169">
        <f t="shared" si="252"/>
        <v>6</v>
      </c>
      <c r="J228" s="169">
        <f t="shared" si="252"/>
        <v>4</v>
      </c>
      <c r="K228" s="169">
        <f t="shared" si="252"/>
        <v>4</v>
      </c>
      <c r="L228" s="169">
        <f t="shared" si="252"/>
        <v>4</v>
      </c>
      <c r="M228" s="169">
        <f t="shared" si="252"/>
        <v>4</v>
      </c>
      <c r="N228" s="169">
        <f t="shared" si="252"/>
        <v>4</v>
      </c>
      <c r="O228" s="169">
        <f t="shared" si="252"/>
        <v>5</v>
      </c>
      <c r="P228" s="169">
        <f t="shared" si="252"/>
        <v>5</v>
      </c>
      <c r="Q228" s="51" t="str">
        <f t="shared" ref="Q228:R228" si="253">IFERROR(IF(VLOOKUP($F228,$F$207:$AA$222,Q$225,FALSE)=0,"",VLOOKUP($F228,$F$207:$AA$222,Q$225,FALSE)-IF(VLOOKUP($F228,$F$10:$AA$200,Q$225,FALSE)="**",2,IF(VLOOKUP($F228,$F$10:$AA$200,Q$225,FALSE)="*",1,0))),"")</f>
        <v/>
      </c>
      <c r="R228" s="51" t="str">
        <f t="shared" si="253"/>
        <v/>
      </c>
      <c r="S228" s="169">
        <f t="shared" ref="S228:AA228" si="254">IFERROR(IF(VLOOKUP($F228,$F$207:$AA$222,S$224,FALSE)=0,"",VLOOKUP($F228,$F$207:$AA$222,S$224,FALSE)-IF(VLOOKUP($F228,$F$10:$AA$200,S$224,FALSE)="**",2,IF(VLOOKUP($F228,$F$10:$AA$200,S$224,FALSE)="*",1,0))),"")</f>
        <v>5</v>
      </c>
      <c r="T228" s="169">
        <f t="shared" si="254"/>
        <v>4</v>
      </c>
      <c r="U228" s="169">
        <f t="shared" si="254"/>
        <v>5</v>
      </c>
      <c r="V228" s="169">
        <f t="shared" si="254"/>
        <v>3</v>
      </c>
      <c r="W228" s="169">
        <f t="shared" si="254"/>
        <v>6</v>
      </c>
      <c r="X228" s="169">
        <f t="shared" si="254"/>
        <v>5</v>
      </c>
      <c r="Y228" s="169">
        <f t="shared" si="254"/>
        <v>4</v>
      </c>
      <c r="Z228" s="169">
        <f t="shared" si="254"/>
        <v>3</v>
      </c>
      <c r="AA228" s="169">
        <f t="shared" si="254"/>
        <v>4</v>
      </c>
      <c r="AB228" s="39"/>
      <c r="AC228" s="39"/>
      <c r="AD228" s="1"/>
      <c r="AE228" s="171" t="str">
        <f t="shared" si="255"/>
        <v>SCOTT</v>
      </c>
      <c r="AF228" s="172">
        <f t="shared" si="256"/>
        <v>0</v>
      </c>
    </row>
    <row r="229" ht="27.75" customHeight="1">
      <c r="C229" s="1"/>
      <c r="D229" s="1"/>
      <c r="E229" s="1"/>
      <c r="F229" s="168" t="str">
        <f>HANDICAPS!B10</f>
        <v>WAYS</v>
      </c>
      <c r="G229" s="75" t="s">
        <v>17</v>
      </c>
      <c r="H229" s="169">
        <f t="shared" ref="H229:P229" si="257">IFERROR(IF(VLOOKUP($F229,$F$207:$AA$222,H$224,FALSE)=0,"",VLOOKUP($F229,$F$207:$AA$222,H$224,FALSE)-IF(VLOOKUP($F229,$F$10:$AA$200,H$224,FALSE)="**",2,IF(VLOOKUP($F229,$F$10:$AA$200,H$224,FALSE)="*",1,0))),"")</f>
        <v>7</v>
      </c>
      <c r="I229" s="169">
        <f t="shared" si="257"/>
        <v>4</v>
      </c>
      <c r="J229" s="169">
        <f t="shared" si="257"/>
        <v>3</v>
      </c>
      <c r="K229" s="169">
        <f t="shared" si="257"/>
        <v>3</v>
      </c>
      <c r="L229" s="169">
        <f t="shared" si="257"/>
        <v>4</v>
      </c>
      <c r="M229" s="169">
        <f t="shared" si="257"/>
        <v>5</v>
      </c>
      <c r="N229" s="169">
        <f t="shared" si="257"/>
        <v>3</v>
      </c>
      <c r="O229" s="169">
        <f t="shared" si="257"/>
        <v>5</v>
      </c>
      <c r="P229" s="169">
        <f t="shared" si="257"/>
        <v>3</v>
      </c>
      <c r="Q229" s="51" t="str">
        <f t="shared" ref="Q229:R229" si="258">IFERROR(IF(VLOOKUP($F229,$F$207:$AA$222,Q$225,FALSE)=0,"",VLOOKUP($F229,$F$207:$AA$222,Q$225,FALSE)-IF(VLOOKUP($F229,$F$10:$AA$200,Q$225,FALSE)="**",2,IF(VLOOKUP($F229,$F$10:$AA$200,Q$225,FALSE)="*",1,0))),"")</f>
        <v/>
      </c>
      <c r="R229" s="51" t="str">
        <f t="shared" si="258"/>
        <v/>
      </c>
      <c r="S229" s="169">
        <f t="shared" ref="S229:AA229" si="259">IFERROR(IF(VLOOKUP($F229,$F$207:$AA$222,S$224,FALSE)=0,"",VLOOKUP($F229,$F$207:$AA$222,S$224,FALSE)-IF(VLOOKUP($F229,$F$10:$AA$200,S$224,FALSE)="**",2,IF(VLOOKUP($F229,$F$10:$AA$200,S$224,FALSE)="*",1,0))),"")</f>
        <v>6</v>
      </c>
      <c r="T229" s="169">
        <f t="shared" si="259"/>
        <v>5</v>
      </c>
      <c r="U229" s="169">
        <f t="shared" si="259"/>
        <v>3</v>
      </c>
      <c r="V229" s="169">
        <f t="shared" si="259"/>
        <v>2</v>
      </c>
      <c r="W229" s="169">
        <f t="shared" si="259"/>
        <v>6</v>
      </c>
      <c r="X229" s="169">
        <f t="shared" si="259"/>
        <v>5</v>
      </c>
      <c r="Y229" s="169">
        <f t="shared" si="259"/>
        <v>4</v>
      </c>
      <c r="Z229" s="169">
        <f t="shared" si="259"/>
        <v>3</v>
      </c>
      <c r="AA229" s="169">
        <f t="shared" si="259"/>
        <v>3</v>
      </c>
      <c r="AB229" s="39"/>
      <c r="AC229" s="39"/>
      <c r="AD229" s="1"/>
      <c r="AE229" s="173" t="str">
        <f t="shared" si="255"/>
        <v>WAYS</v>
      </c>
      <c r="AF229" s="170">
        <f t="shared" si="256"/>
        <v>31.11111111</v>
      </c>
    </row>
    <row r="230" ht="27.75" customHeight="1">
      <c r="C230" s="1"/>
      <c r="D230" s="1"/>
      <c r="E230" s="1"/>
      <c r="F230" s="168" t="str">
        <f>HANDICAPS!B11</f>
        <v>BEN</v>
      </c>
      <c r="G230" s="75" t="s">
        <v>17</v>
      </c>
      <c r="H230" s="169">
        <f t="shared" ref="H230:P230" si="260">IFERROR(IF(VLOOKUP($F230,$F$207:$AA$222,H$224,FALSE)=0,"",VLOOKUP($F230,$F$207:$AA$222,H$224,FALSE)-IF(VLOOKUP($F230,$F$10:$AA$200,H$224,FALSE)="**",2,IF(VLOOKUP($F230,$F$10:$AA$200,H$224,FALSE)="*",1,0))),"")</f>
        <v>6</v>
      </c>
      <c r="I230" s="169">
        <f t="shared" si="260"/>
        <v>3</v>
      </c>
      <c r="J230" s="169">
        <f t="shared" si="260"/>
        <v>3</v>
      </c>
      <c r="K230" s="169">
        <f t="shared" si="260"/>
        <v>5</v>
      </c>
      <c r="L230" s="169">
        <f t="shared" si="260"/>
        <v>4</v>
      </c>
      <c r="M230" s="169">
        <f t="shared" si="260"/>
        <v>5</v>
      </c>
      <c r="N230" s="169">
        <f t="shared" si="260"/>
        <v>4</v>
      </c>
      <c r="O230" s="169">
        <f t="shared" si="260"/>
        <v>5</v>
      </c>
      <c r="P230" s="169">
        <f t="shared" si="260"/>
        <v>2</v>
      </c>
      <c r="Q230" s="51" t="str">
        <f t="shared" ref="Q230:R230" si="261">IFERROR(IF(VLOOKUP($F230,$F$207:$AA$222,Q$225,FALSE)=0,"",VLOOKUP($F230,$F$207:$AA$222,Q$225,FALSE)-IF(VLOOKUP($F230,$F$10:$AA$200,Q$225,FALSE)="**",2,IF(VLOOKUP($F230,$F$10:$AA$200,Q$225,FALSE)="*",1,0))),"")</f>
        <v/>
      </c>
      <c r="R230" s="51" t="str">
        <f t="shared" si="261"/>
        <v/>
      </c>
      <c r="S230" s="169">
        <f t="shared" ref="S230:AA230" si="262">IFERROR(IF(VLOOKUP($F230,$F$207:$AA$222,S$224,FALSE)=0,"",VLOOKUP($F230,$F$207:$AA$222,S$224,FALSE)-IF(VLOOKUP($F230,$F$10:$AA$200,S$224,FALSE)="**",2,IF(VLOOKUP($F230,$F$10:$AA$200,S$224,FALSE)="*",1,0))),"")</f>
        <v>5</v>
      </c>
      <c r="T230" s="169">
        <f t="shared" si="262"/>
        <v>3</v>
      </c>
      <c r="U230" s="169">
        <f t="shared" si="262"/>
        <v>4</v>
      </c>
      <c r="V230" s="169">
        <f t="shared" si="262"/>
        <v>3</v>
      </c>
      <c r="W230" s="169">
        <f t="shared" si="262"/>
        <v>6</v>
      </c>
      <c r="X230" s="169">
        <f t="shared" si="262"/>
        <v>3</v>
      </c>
      <c r="Y230" s="169">
        <f t="shared" si="262"/>
        <v>5</v>
      </c>
      <c r="Z230" s="169">
        <f t="shared" si="262"/>
        <v>4</v>
      </c>
      <c r="AA230" s="169">
        <f t="shared" si="262"/>
        <v>3</v>
      </c>
      <c r="AB230" s="39"/>
      <c r="AC230" s="39"/>
      <c r="AD230" s="1"/>
      <c r="AE230" s="173" t="str">
        <f t="shared" si="255"/>
        <v>BEN</v>
      </c>
      <c r="AF230" s="170">
        <f t="shared" si="256"/>
        <v>31.11111111</v>
      </c>
    </row>
    <row r="231" ht="27.75" customHeight="1">
      <c r="C231" s="1"/>
      <c r="D231" s="1"/>
      <c r="E231" s="1"/>
      <c r="F231" s="168" t="str">
        <f>HANDICAPS!B12</f>
        <v>DANNY</v>
      </c>
      <c r="G231" s="75" t="s">
        <v>17</v>
      </c>
      <c r="H231" s="169">
        <f t="shared" ref="H231:P231" si="263">IFERROR(IF(VLOOKUP($F231,$F$207:$AA$222,H$224,FALSE)=0,"",VLOOKUP($F231,$F$207:$AA$222,H$224,FALSE)-IF(VLOOKUP($F231,$F$10:$AA$200,H$224,FALSE)="**",2,IF(VLOOKUP($F231,$F$10:$AA$200,H$224,FALSE)="*",1,0))),"")</f>
        <v>6</v>
      </c>
      <c r="I231" s="169">
        <f t="shared" si="263"/>
        <v>3</v>
      </c>
      <c r="J231" s="169">
        <f t="shared" si="263"/>
        <v>4</v>
      </c>
      <c r="K231" s="169">
        <f t="shared" si="263"/>
        <v>6</v>
      </c>
      <c r="L231" s="169">
        <f t="shared" si="263"/>
        <v>6</v>
      </c>
      <c r="M231" s="169">
        <f t="shared" si="263"/>
        <v>6</v>
      </c>
      <c r="N231" s="169">
        <f t="shared" si="263"/>
        <v>3</v>
      </c>
      <c r="O231" s="169">
        <f t="shared" si="263"/>
        <v>5</v>
      </c>
      <c r="P231" s="169">
        <f t="shared" si="263"/>
        <v>3</v>
      </c>
      <c r="Q231" s="51" t="str">
        <f t="shared" ref="Q231:R231" si="264">IFERROR(IF(VLOOKUP($F231,$F$207:$AA$222,Q$225,FALSE)=0,"",VLOOKUP($F231,$F$207:$AA$222,Q$225,FALSE)-IF(VLOOKUP($F231,$F$10:$AA$200,Q$225,FALSE)="**",2,IF(VLOOKUP($F231,$F$10:$AA$200,Q$225,FALSE)="*",1,0))),"")</f>
        <v/>
      </c>
      <c r="R231" s="51" t="str">
        <f t="shared" si="264"/>
        <v/>
      </c>
      <c r="S231" s="169">
        <f t="shared" ref="S231:AA231" si="265">IFERROR(IF(VLOOKUP($F231,$F$207:$AA$222,S$224,FALSE)=0,"",VLOOKUP($F231,$F$207:$AA$222,S$224,FALSE)-IF(VLOOKUP($F231,$F$10:$AA$200,S$224,FALSE)="**",2,IF(VLOOKUP($F231,$F$10:$AA$200,S$224,FALSE)="*",1,0))),"")</f>
        <v>6</v>
      </c>
      <c r="T231" s="169">
        <f t="shared" si="265"/>
        <v>5</v>
      </c>
      <c r="U231" s="169">
        <f t="shared" si="265"/>
        <v>3</v>
      </c>
      <c r="V231" s="169">
        <f t="shared" si="265"/>
        <v>3</v>
      </c>
      <c r="W231" s="169">
        <f t="shared" si="265"/>
        <v>7</v>
      </c>
      <c r="X231" s="169">
        <f t="shared" si="265"/>
        <v>4</v>
      </c>
      <c r="Y231" s="169">
        <f t="shared" si="265"/>
        <v>4</v>
      </c>
      <c r="Z231" s="169">
        <f t="shared" si="265"/>
        <v>4</v>
      </c>
      <c r="AA231" s="169">
        <f t="shared" si="265"/>
        <v>5</v>
      </c>
      <c r="AB231" s="39"/>
      <c r="AC231" s="39"/>
      <c r="AD231" s="1"/>
      <c r="AE231" s="173" t="str">
        <f t="shared" si="255"/>
        <v>DANNY</v>
      </c>
      <c r="AF231" s="170">
        <f t="shared" si="256"/>
        <v>0</v>
      </c>
    </row>
    <row r="232" ht="27.75" customHeight="1">
      <c r="C232" s="1"/>
      <c r="D232" s="1"/>
      <c r="E232" s="1"/>
      <c r="F232" s="168" t="str">
        <f>HANDICAPS!B13</f>
        <v>ZACH</v>
      </c>
      <c r="G232" s="75" t="s">
        <v>17</v>
      </c>
      <c r="H232" s="169">
        <f t="shared" ref="H232:P232" si="266">IFERROR(IF(VLOOKUP($F232,$F$207:$AA$222,H$224,FALSE)=0,"",VLOOKUP($F232,$F$207:$AA$222,H$224,FALSE)-IF(VLOOKUP($F232,$F$10:$AA$200,H$224,FALSE)="**",2,IF(VLOOKUP($F232,$F$10:$AA$200,H$224,FALSE)="*",1,0))),"")</f>
        <v>6</v>
      </c>
      <c r="I232" s="169">
        <f t="shared" si="266"/>
        <v>5</v>
      </c>
      <c r="J232" s="169">
        <f t="shared" si="266"/>
        <v>3</v>
      </c>
      <c r="K232" s="169">
        <f t="shared" si="266"/>
        <v>6</v>
      </c>
      <c r="L232" s="169">
        <f t="shared" si="266"/>
        <v>5</v>
      </c>
      <c r="M232" s="169">
        <f t="shared" si="266"/>
        <v>5</v>
      </c>
      <c r="N232" s="169">
        <f t="shared" si="266"/>
        <v>3</v>
      </c>
      <c r="O232" s="169">
        <f t="shared" si="266"/>
        <v>4</v>
      </c>
      <c r="P232" s="169">
        <f t="shared" si="266"/>
        <v>3</v>
      </c>
      <c r="Q232" s="51" t="str">
        <f t="shared" ref="Q232:R232" si="267">IFERROR(IF(VLOOKUP($F232,$F$207:$AA$222,Q$225,FALSE)=0,"",VLOOKUP($F232,$F$207:$AA$222,Q$225,FALSE)-IF(VLOOKUP($F232,$F$10:$AA$200,Q$225,FALSE)="**",2,IF(VLOOKUP($F232,$F$10:$AA$200,Q$225,FALSE)="*",1,0))),"")</f>
        <v/>
      </c>
      <c r="R232" s="51" t="str">
        <f t="shared" si="267"/>
        <v/>
      </c>
      <c r="S232" s="169">
        <f t="shared" ref="S232:AA232" si="268">IFERROR(IF(VLOOKUP($F232,$F$207:$AA$222,S$224,FALSE)=0,"",VLOOKUP($F232,$F$207:$AA$222,S$224,FALSE)-IF(VLOOKUP($F232,$F$10:$AA$200,S$224,FALSE)="**",2,IF(VLOOKUP($F232,$F$10:$AA$200,S$224,FALSE)="*",1,0))),"")</f>
        <v>7</v>
      </c>
      <c r="T232" s="169">
        <f t="shared" si="268"/>
        <v>6</v>
      </c>
      <c r="U232" s="169">
        <f t="shared" si="268"/>
        <v>4</v>
      </c>
      <c r="V232" s="169">
        <f t="shared" si="268"/>
        <v>3</v>
      </c>
      <c r="W232" s="169">
        <f t="shared" si="268"/>
        <v>6</v>
      </c>
      <c r="X232" s="169">
        <f t="shared" si="268"/>
        <v>5</v>
      </c>
      <c r="Y232" s="169">
        <f t="shared" si="268"/>
        <v>5</v>
      </c>
      <c r="Z232" s="169">
        <f t="shared" si="268"/>
        <v>5</v>
      </c>
      <c r="AA232" s="169">
        <f t="shared" si="268"/>
        <v>4</v>
      </c>
      <c r="AB232" s="39"/>
      <c r="AC232" s="39"/>
      <c r="AD232" s="1"/>
      <c r="AE232" s="173" t="str">
        <f t="shared" si="255"/>
        <v>ZACH</v>
      </c>
      <c r="AF232" s="170">
        <f t="shared" si="256"/>
        <v>0</v>
      </c>
    </row>
    <row r="233" ht="27.75" customHeight="1">
      <c r="C233" s="1"/>
      <c r="D233" s="1"/>
      <c r="E233" s="1"/>
      <c r="F233" s="168" t="str">
        <f>HANDICAPS!B14</f>
        <v>SLICK</v>
      </c>
      <c r="G233" s="75" t="s">
        <v>17</v>
      </c>
      <c r="H233" s="169">
        <f t="shared" ref="H233:P233" si="269">IFERROR(IF(VLOOKUP($F233,$F$207:$AA$222,H$224,FALSE)=0,"",VLOOKUP($F233,$F$207:$AA$222,H$224,FALSE)-IF(VLOOKUP($F233,$F$10:$AA$200,H$224,FALSE)="**",2,IF(VLOOKUP($F233,$F$10:$AA$200,H$224,FALSE)="*",1,0))),"")</f>
        <v>7</v>
      </c>
      <c r="I233" s="169">
        <f t="shared" si="269"/>
        <v>4</v>
      </c>
      <c r="J233" s="169">
        <f t="shared" si="269"/>
        <v>3</v>
      </c>
      <c r="K233" s="169">
        <f t="shared" si="269"/>
        <v>4</v>
      </c>
      <c r="L233" s="169">
        <f t="shared" si="269"/>
        <v>7</v>
      </c>
      <c r="M233" s="169">
        <f t="shared" si="269"/>
        <v>6</v>
      </c>
      <c r="N233" s="169">
        <f t="shared" si="269"/>
        <v>5</v>
      </c>
      <c r="O233" s="169">
        <f t="shared" si="269"/>
        <v>4</v>
      </c>
      <c r="P233" s="169">
        <f t="shared" si="269"/>
        <v>3</v>
      </c>
      <c r="Q233" s="51" t="str">
        <f t="shared" ref="Q233:R233" si="270">IFERROR(IF(VLOOKUP($F233,$F$207:$AA$222,Q$225,FALSE)=0,"",VLOOKUP($F233,$F$207:$AA$222,Q$225,FALSE)-IF(VLOOKUP($F233,$F$10:$AA$200,Q$225,FALSE)="**",2,IF(VLOOKUP($F233,$F$10:$AA$200,Q$225,FALSE)="*",1,0))),"")</f>
        <v/>
      </c>
      <c r="R233" s="51" t="str">
        <f t="shared" si="270"/>
        <v/>
      </c>
      <c r="S233" s="169">
        <f t="shared" ref="S233:AA233" si="271">IFERROR(IF(VLOOKUP($F233,$F$207:$AA$222,S$224,FALSE)=0,"",VLOOKUP($F233,$F$207:$AA$222,S$224,FALSE)-IF(VLOOKUP($F233,$F$10:$AA$200,S$224,FALSE)="**",2,IF(VLOOKUP($F233,$F$10:$AA$200,S$224,FALSE)="*",1,0))),"")</f>
        <v>5</v>
      </c>
      <c r="T233" s="169">
        <f t="shared" si="271"/>
        <v>4</v>
      </c>
      <c r="U233" s="169">
        <f t="shared" si="271"/>
        <v>6</v>
      </c>
      <c r="V233" s="169">
        <f t="shared" si="271"/>
        <v>3</v>
      </c>
      <c r="W233" s="169">
        <f t="shared" si="271"/>
        <v>6</v>
      </c>
      <c r="X233" s="169">
        <f t="shared" si="271"/>
        <v>5</v>
      </c>
      <c r="Y233" s="169">
        <f t="shared" si="271"/>
        <v>5</v>
      </c>
      <c r="Z233" s="169">
        <f t="shared" si="271"/>
        <v>2</v>
      </c>
      <c r="AA233" s="169">
        <f t="shared" si="271"/>
        <v>4</v>
      </c>
      <c r="AB233" s="39"/>
      <c r="AC233" s="39"/>
      <c r="AD233" s="1"/>
      <c r="AE233" s="173" t="str">
        <f t="shared" si="255"/>
        <v>SLICK</v>
      </c>
      <c r="AF233" s="170">
        <f t="shared" si="256"/>
        <v>31.11111111</v>
      </c>
    </row>
    <row r="234" ht="27.75" customHeight="1">
      <c r="C234" s="1"/>
      <c r="D234" s="1"/>
      <c r="E234" s="1"/>
      <c r="F234" s="168" t="str">
        <f>HANDICAPS!B15</f>
        <v>PAXTON</v>
      </c>
      <c r="G234" s="75" t="s">
        <v>17</v>
      </c>
      <c r="H234" s="169">
        <f t="shared" ref="H234:P234" si="272">IFERROR(IF(VLOOKUP($F234,$F$207:$AA$222,H$224,FALSE)=0,"",VLOOKUP($F234,$F$207:$AA$222,H$224,FALSE)-IF(VLOOKUP($F234,$F$10:$AA$200,H$224,FALSE)="**",2,IF(VLOOKUP($F234,$F$10:$AA$200,H$224,FALSE)="*",1,0))),"")</f>
        <v>6</v>
      </c>
      <c r="I234" s="169">
        <f t="shared" si="272"/>
        <v>5</v>
      </c>
      <c r="J234" s="169">
        <f t="shared" si="272"/>
        <v>4</v>
      </c>
      <c r="K234" s="169">
        <f t="shared" si="272"/>
        <v>6</v>
      </c>
      <c r="L234" s="169">
        <f t="shared" si="272"/>
        <v>6</v>
      </c>
      <c r="M234" s="169">
        <f t="shared" si="272"/>
        <v>5</v>
      </c>
      <c r="N234" s="169">
        <f t="shared" si="272"/>
        <v>4</v>
      </c>
      <c r="O234" s="169">
        <f t="shared" si="272"/>
        <v>4</v>
      </c>
      <c r="P234" s="169">
        <f t="shared" si="272"/>
        <v>3</v>
      </c>
      <c r="Q234" s="51" t="str">
        <f t="shared" ref="Q234:R234" si="273">IFERROR(IF(VLOOKUP($F234,$F$207:$AA$222,Q$225,FALSE)=0,"",VLOOKUP($F234,$F$207:$AA$222,Q$225,FALSE)-IF(VLOOKUP($F234,$F$10:$AA$200,Q$225,FALSE)="**",2,IF(VLOOKUP($F234,$F$10:$AA$200,Q$225,FALSE)="*",1,0))),"")</f>
        <v/>
      </c>
      <c r="R234" s="51" t="str">
        <f t="shared" si="273"/>
        <v/>
      </c>
      <c r="S234" s="169">
        <f t="shared" ref="S234:AA234" si="274">IFERROR(IF(VLOOKUP($F234,$F$207:$AA$222,S$224,FALSE)=0,"",VLOOKUP($F234,$F$207:$AA$222,S$224,FALSE)-IF(VLOOKUP($F234,$F$10:$AA$200,S$224,FALSE)="**",2,IF(VLOOKUP($F234,$F$10:$AA$200,S$224,FALSE)="*",1,0))),"")</f>
        <v>4</v>
      </c>
      <c r="T234" s="169">
        <f t="shared" si="274"/>
        <v>4</v>
      </c>
      <c r="U234" s="169">
        <f t="shared" si="274"/>
        <v>5</v>
      </c>
      <c r="V234" s="169">
        <f t="shared" si="274"/>
        <v>3</v>
      </c>
      <c r="W234" s="169">
        <f t="shared" si="274"/>
        <v>5</v>
      </c>
      <c r="X234" s="169">
        <f t="shared" si="274"/>
        <v>4</v>
      </c>
      <c r="Y234" s="169">
        <f t="shared" si="274"/>
        <v>5</v>
      </c>
      <c r="Z234" s="169">
        <f t="shared" si="274"/>
        <v>3</v>
      </c>
      <c r="AA234" s="169">
        <f t="shared" si="274"/>
        <v>4</v>
      </c>
      <c r="AB234" s="39"/>
      <c r="AC234" s="39"/>
      <c r="AD234" s="1"/>
      <c r="AE234" s="173" t="str">
        <f t="shared" si="255"/>
        <v>PAXTON</v>
      </c>
      <c r="AF234" s="170">
        <f t="shared" si="256"/>
        <v>31.11111111</v>
      </c>
    </row>
    <row r="235" ht="27.75" customHeight="1">
      <c r="C235" s="1"/>
      <c r="D235" s="1"/>
      <c r="E235" s="1"/>
      <c r="F235" s="168" t="str">
        <f>HANDICAPS!B16</f>
        <v>DYLAN</v>
      </c>
      <c r="G235" s="75" t="s">
        <v>17</v>
      </c>
      <c r="H235" s="169">
        <f t="shared" ref="H235:P235" si="275">IFERROR(IF(VLOOKUP($F235,$F$207:$AA$222,H$224,FALSE)=0,"",VLOOKUP($F235,$F$207:$AA$222,H$224,FALSE)-IF(VLOOKUP($F235,$F$10:$AA$200,H$224,FALSE)="**",2,IF(VLOOKUP($F235,$F$10:$AA$200,H$224,FALSE)="*",1,0))),"")</f>
        <v>5</v>
      </c>
      <c r="I235" s="169">
        <f t="shared" si="275"/>
        <v>4</v>
      </c>
      <c r="J235" s="169">
        <f t="shared" si="275"/>
        <v>3</v>
      </c>
      <c r="K235" s="169">
        <f t="shared" si="275"/>
        <v>3</v>
      </c>
      <c r="L235" s="169">
        <f t="shared" si="275"/>
        <v>5</v>
      </c>
      <c r="M235" s="169">
        <f t="shared" si="275"/>
        <v>6</v>
      </c>
      <c r="N235" s="169">
        <f t="shared" si="275"/>
        <v>4</v>
      </c>
      <c r="O235" s="169">
        <f t="shared" si="275"/>
        <v>3</v>
      </c>
      <c r="P235" s="169">
        <f t="shared" si="275"/>
        <v>4</v>
      </c>
      <c r="Q235" s="51" t="str">
        <f t="shared" ref="Q235:R235" si="276">IFERROR(IF(VLOOKUP($F235,$F$207:$AA$222,Q$225,FALSE)=0,"",VLOOKUP($F235,$F$207:$AA$222,Q$225,FALSE)-IF(VLOOKUP($F235,$F$10:$AA$200,Q$225,FALSE)="**",2,IF(VLOOKUP($F235,$F$10:$AA$200,Q$225,FALSE)="*",1,0))),"")</f>
        <v/>
      </c>
      <c r="R235" s="51" t="str">
        <f t="shared" si="276"/>
        <v/>
      </c>
      <c r="S235" s="169">
        <f t="shared" ref="S235:AA235" si="277">IFERROR(IF(VLOOKUP($F235,$F$207:$AA$222,S$224,FALSE)=0,"",VLOOKUP($F235,$F$207:$AA$222,S$224,FALSE)-IF(VLOOKUP($F235,$F$10:$AA$200,S$224,FALSE)="**",2,IF(VLOOKUP($F235,$F$10:$AA$200,S$224,FALSE)="*",1,0))),"")</f>
        <v>6</v>
      </c>
      <c r="T235" s="169">
        <f t="shared" si="277"/>
        <v>3</v>
      </c>
      <c r="U235" s="169">
        <f t="shared" si="277"/>
        <v>5</v>
      </c>
      <c r="V235" s="169">
        <f t="shared" si="277"/>
        <v>3</v>
      </c>
      <c r="W235" s="169">
        <f t="shared" si="277"/>
        <v>7</v>
      </c>
      <c r="X235" s="169">
        <f t="shared" si="277"/>
        <v>6</v>
      </c>
      <c r="Y235" s="169">
        <f t="shared" si="277"/>
        <v>4</v>
      </c>
      <c r="Z235" s="169">
        <f t="shared" si="277"/>
        <v>3</v>
      </c>
      <c r="AA235" s="169">
        <f t="shared" si="277"/>
        <v>5</v>
      </c>
      <c r="AB235" s="39"/>
      <c r="AC235" s="39"/>
      <c r="AD235" s="1"/>
      <c r="AE235" s="173" t="str">
        <f t="shared" si="255"/>
        <v>DYLAN</v>
      </c>
      <c r="AF235" s="170">
        <f t="shared" si="256"/>
        <v>0</v>
      </c>
    </row>
    <row r="236" ht="27.75" customHeight="1">
      <c r="C236" s="1"/>
      <c r="D236" s="1"/>
      <c r="E236" s="1"/>
      <c r="F236" s="168" t="str">
        <f>HANDICAPS!B17</f>
        <v>TOM</v>
      </c>
      <c r="G236" s="75" t="s">
        <v>17</v>
      </c>
      <c r="H236" s="169">
        <f t="shared" ref="H236:P236" si="278">IFERROR(IF(VLOOKUP($F236,$F$207:$AA$222,H$224,FALSE)=0,"",VLOOKUP($F236,$F$207:$AA$222,H$224,FALSE)-IF(VLOOKUP($F236,$F$10:$AA$200,H$224,FALSE)="**",2,IF(VLOOKUP($F236,$F$10:$AA$200,H$224,FALSE)="*",1,0))),"")</f>
        <v>8</v>
      </c>
      <c r="I236" s="169">
        <f t="shared" si="278"/>
        <v>7</v>
      </c>
      <c r="J236" s="169">
        <f t="shared" si="278"/>
        <v>3</v>
      </c>
      <c r="K236" s="169">
        <f t="shared" si="278"/>
        <v>3</v>
      </c>
      <c r="L236" s="169">
        <f t="shared" si="278"/>
        <v>6</v>
      </c>
      <c r="M236" s="169">
        <f t="shared" si="278"/>
        <v>5</v>
      </c>
      <c r="N236" s="169">
        <f t="shared" si="278"/>
        <v>3</v>
      </c>
      <c r="O236" s="169">
        <f t="shared" si="278"/>
        <v>6</v>
      </c>
      <c r="P236" s="169">
        <f t="shared" si="278"/>
        <v>2</v>
      </c>
      <c r="Q236" s="51" t="str">
        <f t="shared" ref="Q236:R236" si="279">IFERROR(IF(VLOOKUP($F236,$F$207:$AA$222,Q$225,FALSE)=0,"",VLOOKUP($F236,$F$207:$AA$222,Q$225,FALSE)-IF(VLOOKUP($F236,$F$10:$AA$200,Q$225,FALSE)="**",2,IF(VLOOKUP($F236,$F$10:$AA$200,Q$225,FALSE)="*",1,0))),"")</f>
        <v/>
      </c>
      <c r="R236" s="51" t="str">
        <f t="shared" si="279"/>
        <v/>
      </c>
      <c r="S236" s="169">
        <f t="shared" ref="S236:AA236" si="280">IFERROR(IF(VLOOKUP($F236,$F$207:$AA$222,S$224,FALSE)=0,"",VLOOKUP($F236,$F$207:$AA$222,S$224,FALSE)-IF(VLOOKUP($F236,$F$10:$AA$200,S$224,FALSE)="**",2,IF(VLOOKUP($F236,$F$10:$AA$200,S$224,FALSE)="*",1,0))),"")</f>
        <v>7</v>
      </c>
      <c r="T236" s="169">
        <f t="shared" si="280"/>
        <v>4</v>
      </c>
      <c r="U236" s="169">
        <f t="shared" si="280"/>
        <v>3</v>
      </c>
      <c r="V236" s="169">
        <f t="shared" si="280"/>
        <v>3</v>
      </c>
      <c r="W236" s="169">
        <f t="shared" si="280"/>
        <v>5</v>
      </c>
      <c r="X236" s="169">
        <f t="shared" si="280"/>
        <v>4</v>
      </c>
      <c r="Y236" s="169">
        <f t="shared" si="280"/>
        <v>4</v>
      </c>
      <c r="Z236" s="169">
        <f t="shared" si="280"/>
        <v>3</v>
      </c>
      <c r="AA236" s="169">
        <f t="shared" si="280"/>
        <v>4</v>
      </c>
      <c r="AB236" s="39"/>
      <c r="AC236" s="39"/>
      <c r="AD236" s="1"/>
      <c r="AE236" s="173" t="str">
        <f t="shared" si="255"/>
        <v>TOM</v>
      </c>
      <c r="AF236" s="170">
        <f t="shared" si="256"/>
        <v>0</v>
      </c>
    </row>
    <row r="237" ht="27.75" customHeight="1">
      <c r="C237" s="1"/>
      <c r="D237" s="1"/>
      <c r="E237" s="1"/>
      <c r="F237" s="168" t="str">
        <f>HANDICAPS!B18</f>
        <v>ERIC</v>
      </c>
      <c r="G237" s="174" t="s">
        <v>18</v>
      </c>
      <c r="H237" s="169"/>
      <c r="I237" s="169"/>
      <c r="J237" s="169"/>
      <c r="K237" s="169"/>
      <c r="L237" s="169"/>
      <c r="M237" s="169"/>
      <c r="N237" s="169"/>
      <c r="O237" s="169"/>
      <c r="P237" s="169"/>
      <c r="Q237" s="51"/>
      <c r="R237" s="51"/>
      <c r="S237" s="169"/>
      <c r="T237" s="169"/>
      <c r="U237" s="169"/>
      <c r="V237" s="169"/>
      <c r="W237" s="169"/>
      <c r="X237" s="169"/>
      <c r="Y237" s="169"/>
      <c r="Z237" s="169"/>
      <c r="AA237" s="169"/>
      <c r="AB237" s="39"/>
      <c r="AC237" s="39"/>
      <c r="AD237" s="1"/>
      <c r="AE237" s="173" t="str">
        <f t="shared" si="255"/>
        <v>ERIC</v>
      </c>
      <c r="AF237" s="170">
        <f t="shared" si="256"/>
        <v>0</v>
      </c>
    </row>
    <row r="238" ht="27.75" customHeight="1">
      <c r="C238" s="1"/>
      <c r="D238" s="1"/>
      <c r="E238" s="1"/>
      <c r="F238" s="168" t="str">
        <f>HANDICAPS!B19</f>
        <v>MAX</v>
      </c>
      <c r="G238" s="75" t="s">
        <v>17</v>
      </c>
      <c r="H238" s="169">
        <f t="shared" ref="H238:P238" si="281">IFERROR(IF(VLOOKUP($F238,$F$207:$AA$222,H$224,FALSE)=0,"",VLOOKUP($F238,$F$207:$AA$222,H$224,FALSE)-IF(VLOOKUP($F238,$F$10:$AA$200,H$224,FALSE)="**",2,IF(VLOOKUP($F238,$F$10:$AA$200,H$224,FALSE)="*",1,0))),"")</f>
        <v>5</v>
      </c>
      <c r="I238" s="169">
        <f t="shared" si="281"/>
        <v>5</v>
      </c>
      <c r="J238" s="169">
        <f t="shared" si="281"/>
        <v>2</v>
      </c>
      <c r="K238" s="169">
        <f t="shared" si="281"/>
        <v>2</v>
      </c>
      <c r="L238" s="169">
        <f t="shared" si="281"/>
        <v>6</v>
      </c>
      <c r="M238" s="169">
        <f t="shared" si="281"/>
        <v>7</v>
      </c>
      <c r="N238" s="169">
        <f t="shared" si="281"/>
        <v>5</v>
      </c>
      <c r="O238" s="169">
        <f t="shared" si="281"/>
        <v>3</v>
      </c>
      <c r="P238" s="169">
        <f t="shared" si="281"/>
        <v>3</v>
      </c>
      <c r="Q238" s="51" t="str">
        <f t="shared" ref="Q238:R238" si="282">IFERROR(IF(VLOOKUP($F238,$F$207:$AA$222,Q$225,FALSE)=0,"",VLOOKUP($F238,$F$207:$AA$222,Q$225,FALSE)-IF(VLOOKUP($F238,$F$10:$AA$200,Q$225,FALSE)="**",2,IF(VLOOKUP($F238,$F$10:$AA$200,Q$225,FALSE)="*",1,0))),"")</f>
        <v/>
      </c>
      <c r="R238" s="51" t="str">
        <f t="shared" si="282"/>
        <v/>
      </c>
      <c r="S238" s="169">
        <f t="shared" ref="S238:AA238" si="283">IFERROR(IF(VLOOKUP($F238,$F$207:$AA$222,S$224,FALSE)=0,"",VLOOKUP($F238,$F$207:$AA$222,S$224,FALSE)-IF(VLOOKUP($F238,$F$10:$AA$200,S$224,FALSE)="**",2,IF(VLOOKUP($F238,$F$10:$AA$200,S$224,FALSE)="*",1,0))),"")</f>
        <v>5</v>
      </c>
      <c r="T238" s="169">
        <f t="shared" si="283"/>
        <v>6</v>
      </c>
      <c r="U238" s="169">
        <f t="shared" si="283"/>
        <v>6</v>
      </c>
      <c r="V238" s="169">
        <f t="shared" si="283"/>
        <v>4</v>
      </c>
      <c r="W238" s="169">
        <f t="shared" si="283"/>
        <v>6</v>
      </c>
      <c r="X238" s="169">
        <f t="shared" si="283"/>
        <v>5</v>
      </c>
      <c r="Y238" s="169">
        <f t="shared" si="283"/>
        <v>5</v>
      </c>
      <c r="Z238" s="169">
        <f t="shared" si="283"/>
        <v>3</v>
      </c>
      <c r="AA238" s="169">
        <f t="shared" si="283"/>
        <v>3</v>
      </c>
      <c r="AB238" s="39"/>
      <c r="AC238" s="39"/>
      <c r="AD238" s="1"/>
      <c r="AE238" s="173" t="str">
        <f t="shared" si="255"/>
        <v>MAX</v>
      </c>
      <c r="AF238" s="170">
        <f t="shared" si="256"/>
        <v>62.22222222</v>
      </c>
    </row>
    <row r="239" ht="27.75" customHeight="1">
      <c r="C239" s="1"/>
      <c r="D239" s="1"/>
      <c r="E239" s="1"/>
      <c r="F239" s="168" t="str">
        <f>HANDICAPS!B20</f>
        <v>KIP</v>
      </c>
      <c r="G239" s="75" t="s">
        <v>17</v>
      </c>
      <c r="H239" s="169">
        <f t="shared" ref="H239:P239" si="284">IFERROR(IF(VLOOKUP($F239,$F$207:$AA$222,H$224,FALSE)=0,"",VLOOKUP($F239,$F$207:$AA$222,H$224,FALSE)-IF(VLOOKUP($F239,$F$10:$AA$200,H$224,FALSE)="**",2,IF(VLOOKUP($F239,$F$10:$AA$200,H$224,FALSE)="*",1,0))),"")</f>
        <v>7</v>
      </c>
      <c r="I239" s="169">
        <f t="shared" si="284"/>
        <v>4</v>
      </c>
      <c r="J239" s="169">
        <f t="shared" si="284"/>
        <v>3</v>
      </c>
      <c r="K239" s="169">
        <f t="shared" si="284"/>
        <v>7</v>
      </c>
      <c r="L239" s="169">
        <f t="shared" si="284"/>
        <v>7</v>
      </c>
      <c r="M239" s="169">
        <f t="shared" si="284"/>
        <v>5</v>
      </c>
      <c r="N239" s="169">
        <f t="shared" si="284"/>
        <v>5</v>
      </c>
      <c r="O239" s="169">
        <f t="shared" si="284"/>
        <v>6</v>
      </c>
      <c r="P239" s="169">
        <f t="shared" si="284"/>
        <v>3</v>
      </c>
      <c r="Q239" s="51" t="str">
        <f t="shared" ref="Q239:R239" si="285">IFERROR(IF(VLOOKUP($F239,$F$207:$AA$222,Q$225,FALSE)=0,"",VLOOKUP($F239,$F$207:$AA$222,Q$225,FALSE)-IF(VLOOKUP($F239,$F$10:$AA$200,Q$225,FALSE)="**",2,IF(VLOOKUP($F239,$F$10:$AA$200,Q$225,FALSE)="*",1,0))),"")</f>
        <v/>
      </c>
      <c r="R239" s="51" t="str">
        <f t="shared" si="285"/>
        <v/>
      </c>
      <c r="S239" s="169">
        <f t="shared" ref="S239:AA239" si="286">IFERROR(IF(VLOOKUP($F239,$F$207:$AA$222,S$224,FALSE)=0,"",VLOOKUP($F239,$F$207:$AA$222,S$224,FALSE)-IF(VLOOKUP($F239,$F$10:$AA$200,S$224,FALSE)="**",2,IF(VLOOKUP($F239,$F$10:$AA$200,S$224,FALSE)="*",1,0))),"")</f>
        <v>5</v>
      </c>
      <c r="T239" s="169">
        <f t="shared" si="286"/>
        <v>4</v>
      </c>
      <c r="U239" s="169">
        <f t="shared" si="286"/>
        <v>4</v>
      </c>
      <c r="V239" s="169">
        <f t="shared" si="286"/>
        <v>3</v>
      </c>
      <c r="W239" s="169">
        <f t="shared" si="286"/>
        <v>5</v>
      </c>
      <c r="X239" s="169">
        <f t="shared" si="286"/>
        <v>6</v>
      </c>
      <c r="Y239" s="169">
        <f t="shared" si="286"/>
        <v>3</v>
      </c>
      <c r="Z239" s="169">
        <f t="shared" si="286"/>
        <v>4</v>
      </c>
      <c r="AA239" s="169">
        <f t="shared" si="286"/>
        <v>5</v>
      </c>
      <c r="AB239" s="39"/>
      <c r="AC239" s="39"/>
      <c r="AD239" s="1"/>
      <c r="AE239" s="173" t="str">
        <f t="shared" si="255"/>
        <v>KIP</v>
      </c>
      <c r="AF239" s="170">
        <f t="shared" si="256"/>
        <v>31.11111111</v>
      </c>
    </row>
    <row r="240" ht="27.75" customHeight="1">
      <c r="C240" s="1"/>
      <c r="D240" s="1"/>
      <c r="E240" s="1"/>
      <c r="F240" s="168" t="str">
        <f>HANDICAPS!B21</f>
        <v>SHEPP</v>
      </c>
      <c r="G240" s="75" t="s">
        <v>17</v>
      </c>
      <c r="H240" s="169">
        <f t="shared" ref="H240:P240" si="287">IFERROR(IF(VLOOKUP($F240,$F$207:$AA$222,H$224,FALSE)=0,"",VLOOKUP($F240,$F$207:$AA$222,H$224,FALSE)-IF(VLOOKUP($F240,$F$10:$AA$200,H$224,FALSE)="**",2,IF(VLOOKUP($F240,$F$10:$AA$200,H$224,FALSE)="*",1,0))),"")</f>
        <v>6</v>
      </c>
      <c r="I240" s="169">
        <f t="shared" si="287"/>
        <v>6</v>
      </c>
      <c r="J240" s="169">
        <f t="shared" si="287"/>
        <v>3</v>
      </c>
      <c r="K240" s="169">
        <f t="shared" si="287"/>
        <v>5</v>
      </c>
      <c r="L240" s="169">
        <f t="shared" si="287"/>
        <v>7</v>
      </c>
      <c r="M240" s="169">
        <f t="shared" si="287"/>
        <v>4</v>
      </c>
      <c r="N240" s="169">
        <f t="shared" si="287"/>
        <v>7</v>
      </c>
      <c r="O240" s="169">
        <f t="shared" si="287"/>
        <v>6</v>
      </c>
      <c r="P240" s="169">
        <f t="shared" si="287"/>
        <v>5</v>
      </c>
      <c r="Q240" s="51" t="str">
        <f t="shared" ref="Q240:R240" si="288">IFERROR(IF(VLOOKUP($F240,$F$207:$AA$222,Q$225,FALSE)=0,"",VLOOKUP($F240,$F$207:$AA$222,Q$225,FALSE)-IF(VLOOKUP($F240,$F$10:$AA$200,Q$225,FALSE)="**",2,IF(VLOOKUP($F240,$F$10:$AA$200,Q$225,FALSE)="*",1,0))),"")</f>
        <v/>
      </c>
      <c r="R240" s="51" t="str">
        <f t="shared" si="288"/>
        <v/>
      </c>
      <c r="S240" s="169">
        <f t="shared" ref="S240:AA240" si="289">IFERROR(IF(VLOOKUP($F240,$F$207:$AA$222,S$224,FALSE)=0,"",VLOOKUP($F240,$F$207:$AA$222,S$224,FALSE)-IF(VLOOKUP($F240,$F$10:$AA$200,S$224,FALSE)="**",2,IF(VLOOKUP($F240,$F$10:$AA$200,S$224,FALSE)="*",1,0))),"")</f>
        <v>7</v>
      </c>
      <c r="T240" s="169">
        <f t="shared" si="289"/>
        <v>6</v>
      </c>
      <c r="U240" s="169">
        <f t="shared" si="289"/>
        <v>6</v>
      </c>
      <c r="V240" s="169">
        <f t="shared" si="289"/>
        <v>4</v>
      </c>
      <c r="W240" s="169">
        <f t="shared" si="289"/>
        <v>6</v>
      </c>
      <c r="X240" s="169">
        <f t="shared" si="289"/>
        <v>7</v>
      </c>
      <c r="Y240" s="169">
        <f t="shared" si="289"/>
        <v>5</v>
      </c>
      <c r="Z240" s="169">
        <f t="shared" si="289"/>
        <v>3</v>
      </c>
      <c r="AA240" s="169">
        <f t="shared" si="289"/>
        <v>6</v>
      </c>
      <c r="AB240" s="39"/>
      <c r="AC240" s="39"/>
      <c r="AD240" s="1"/>
      <c r="AE240" s="173" t="str">
        <f t="shared" si="255"/>
        <v>SHEPP</v>
      </c>
      <c r="AF240" s="170">
        <f t="shared" si="256"/>
        <v>0</v>
      </c>
    </row>
    <row r="241" ht="27.75" customHeight="1">
      <c r="C241" s="1"/>
      <c r="D241" s="1"/>
      <c r="E241" s="1"/>
      <c r="F241" s="168" t="str">
        <f>HANDICAPS!B22</f>
        <v>SKYLAR</v>
      </c>
      <c r="G241" s="174" t="s">
        <v>18</v>
      </c>
      <c r="H241" s="169"/>
      <c r="I241" s="169"/>
      <c r="J241" s="169"/>
      <c r="K241" s="169"/>
      <c r="L241" s="169"/>
      <c r="M241" s="169"/>
      <c r="N241" s="169"/>
      <c r="O241" s="169"/>
      <c r="P241" s="169"/>
      <c r="Q241" s="51"/>
      <c r="R241" s="51"/>
      <c r="S241" s="169"/>
      <c r="T241" s="169"/>
      <c r="U241" s="169"/>
      <c r="V241" s="169"/>
      <c r="W241" s="169"/>
      <c r="X241" s="169"/>
      <c r="Y241" s="169"/>
      <c r="Z241" s="169"/>
      <c r="AA241" s="169"/>
      <c r="AB241" s="39"/>
      <c r="AC241" s="39"/>
      <c r="AD241" s="1"/>
      <c r="AE241" s="173" t="str">
        <f t="shared" si="255"/>
        <v>SKYLAR</v>
      </c>
      <c r="AF241" s="170">
        <f t="shared" si="256"/>
        <v>0</v>
      </c>
    </row>
    <row r="242" ht="27.75" customHeight="1">
      <c r="C242" s="1"/>
      <c r="D242" s="1"/>
      <c r="E242" s="1"/>
      <c r="F242" s="168" t="str">
        <f>HANDICAPS!B23</f>
        <v>RYAN</v>
      </c>
      <c r="G242" s="75" t="s">
        <v>17</v>
      </c>
      <c r="H242" s="169">
        <f t="shared" ref="H242:P242" si="290">IFERROR(IF(VLOOKUP($F242,$F$207:$AA$222,H$224,FALSE)=0,"",VLOOKUP($F242,$F$207:$AA$222,H$224,FALSE)-IF(VLOOKUP($F242,$F$10:$AA$200,H$224,FALSE)="**",2,IF(VLOOKUP($F242,$F$10:$AA$200,H$224,FALSE)="*",1,0))),"")</f>
        <v>4</v>
      </c>
      <c r="I242" s="169">
        <f t="shared" si="290"/>
        <v>5</v>
      </c>
      <c r="J242" s="169">
        <f t="shared" si="290"/>
        <v>3</v>
      </c>
      <c r="K242" s="169">
        <f t="shared" si="290"/>
        <v>5</v>
      </c>
      <c r="L242" s="169">
        <f t="shared" si="290"/>
        <v>6</v>
      </c>
      <c r="M242" s="169">
        <f t="shared" si="290"/>
        <v>4</v>
      </c>
      <c r="N242" s="169">
        <f t="shared" si="290"/>
        <v>4</v>
      </c>
      <c r="O242" s="169">
        <f t="shared" si="290"/>
        <v>6</v>
      </c>
      <c r="P242" s="169">
        <f t="shared" si="290"/>
        <v>3</v>
      </c>
      <c r="Q242" s="51" t="str">
        <f t="shared" ref="Q242:R242" si="291">IFERROR(IF(VLOOKUP($F242,$F$207:$AA$222,Q$225,FALSE)=0,"",VLOOKUP($F242,$F$207:$AA$222,Q$225,FALSE)-IF(VLOOKUP($F242,$F$10:$AA$200,Q$225,FALSE)="**",2,IF(VLOOKUP($F242,$F$10:$AA$200,Q$225,FALSE)="*",1,0))),"")</f>
        <v/>
      </c>
      <c r="R242" s="51" t="str">
        <f t="shared" si="291"/>
        <v/>
      </c>
      <c r="S242" s="169">
        <f t="shared" ref="S242:AA242" si="292">IFERROR(IF(VLOOKUP($F242,$F$207:$AA$222,S$224,FALSE)=0,"",VLOOKUP($F242,$F$207:$AA$222,S$224,FALSE)-IF(VLOOKUP($F242,$F$10:$AA$200,S$224,FALSE)="**",2,IF(VLOOKUP($F242,$F$10:$AA$200,S$224,FALSE)="*",1,0))),"")</f>
        <v>7</v>
      </c>
      <c r="T242" s="169">
        <f t="shared" si="292"/>
        <v>5</v>
      </c>
      <c r="U242" s="169">
        <f t="shared" si="292"/>
        <v>5</v>
      </c>
      <c r="V242" s="169">
        <f t="shared" si="292"/>
        <v>4</v>
      </c>
      <c r="W242" s="169">
        <f t="shared" si="292"/>
        <v>4</v>
      </c>
      <c r="X242" s="169">
        <f t="shared" si="292"/>
        <v>7</v>
      </c>
      <c r="Y242" s="169">
        <f t="shared" si="292"/>
        <v>4</v>
      </c>
      <c r="Z242" s="169">
        <f t="shared" si="292"/>
        <v>3</v>
      </c>
      <c r="AA242" s="169">
        <f t="shared" si="292"/>
        <v>3</v>
      </c>
      <c r="AB242" s="39"/>
      <c r="AC242" s="39"/>
      <c r="AD242" s="1"/>
      <c r="AE242" s="175" t="str">
        <f t="shared" si="255"/>
        <v>RYAN</v>
      </c>
      <c r="AF242" s="176">
        <f t="shared" si="256"/>
        <v>62.22222222</v>
      </c>
    </row>
    <row r="243" ht="6.75" customHeight="1">
      <c r="C243" s="1"/>
      <c r="D243" s="1"/>
      <c r="E243" s="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169" t="str">
        <f t="shared" ref="S243:AA243" si="293">IFERROR(IF(VLOOKUP($F243,$F$207:$AA$222,S$224,FALSE)=0,"",VLOOKUP($F243,$F$207:$AA$222,S$224,FALSE)-IF(VLOOKUP($F243,$F$10:$AA$200,S$224,FALSE)="**",2,IF(VLOOKUP($F243,$F$10:$AA$200,S$224,FALSE)="*",1,0))),"")</f>
        <v/>
      </c>
      <c r="T243" s="169" t="str">
        <f t="shared" si="293"/>
        <v/>
      </c>
      <c r="U243" s="169" t="str">
        <f t="shared" si="293"/>
        <v/>
      </c>
      <c r="V243" s="169" t="str">
        <f t="shared" si="293"/>
        <v/>
      </c>
      <c r="W243" s="169" t="str">
        <f t="shared" si="293"/>
        <v/>
      </c>
      <c r="X243" s="169" t="str">
        <f t="shared" si="293"/>
        <v/>
      </c>
      <c r="Y243" s="169" t="str">
        <f t="shared" si="293"/>
        <v/>
      </c>
      <c r="Z243" s="169" t="str">
        <f t="shared" si="293"/>
        <v/>
      </c>
      <c r="AA243" s="169" t="str">
        <f t="shared" si="293"/>
        <v/>
      </c>
      <c r="AB243" s="39"/>
      <c r="AC243" s="39"/>
      <c r="AD243" s="1"/>
      <c r="AE243" s="1"/>
      <c r="AF243" s="1"/>
    </row>
    <row r="244" ht="27.75" customHeight="1">
      <c r="C244" s="1"/>
      <c r="D244" s="1"/>
      <c r="E244" s="1"/>
      <c r="F244" s="180" t="s">
        <v>149</v>
      </c>
      <c r="G244" s="142"/>
      <c r="H244" s="66">
        <f t="shared" ref="H244:P244" si="294">IFERROR(MINIFS(H$227:H$242,H$227:H$242,"&gt;0"),"0")</f>
        <v>4</v>
      </c>
      <c r="I244" s="66">
        <f t="shared" si="294"/>
        <v>3</v>
      </c>
      <c r="J244" s="66">
        <f t="shared" si="294"/>
        <v>2</v>
      </c>
      <c r="K244" s="66">
        <f t="shared" si="294"/>
        <v>2</v>
      </c>
      <c r="L244" s="66">
        <f t="shared" si="294"/>
        <v>4</v>
      </c>
      <c r="M244" s="66">
        <f t="shared" si="294"/>
        <v>4</v>
      </c>
      <c r="N244" s="66">
        <f t="shared" si="294"/>
        <v>3</v>
      </c>
      <c r="O244" s="66">
        <f t="shared" si="294"/>
        <v>3</v>
      </c>
      <c r="P244" s="66">
        <f t="shared" si="294"/>
        <v>2</v>
      </c>
      <c r="Q244" s="1"/>
      <c r="R244" s="1"/>
      <c r="S244" s="66">
        <f t="shared" ref="S244:AA244" si="295">IFERROR(MINIFS(S$227:S$242,S$227:S$242,"&gt;0"),"0")</f>
        <v>4</v>
      </c>
      <c r="T244" s="66">
        <f t="shared" si="295"/>
        <v>3</v>
      </c>
      <c r="U244" s="66">
        <f t="shared" si="295"/>
        <v>3</v>
      </c>
      <c r="V244" s="66">
        <f t="shared" si="295"/>
        <v>2</v>
      </c>
      <c r="W244" s="66">
        <f t="shared" si="295"/>
        <v>4</v>
      </c>
      <c r="X244" s="66">
        <f t="shared" si="295"/>
        <v>3</v>
      </c>
      <c r="Y244" s="66">
        <f t="shared" si="295"/>
        <v>3</v>
      </c>
      <c r="Z244" s="66">
        <f t="shared" si="295"/>
        <v>2</v>
      </c>
      <c r="AA244" s="66">
        <f t="shared" si="295"/>
        <v>3</v>
      </c>
      <c r="AB244" s="39"/>
      <c r="AC244" s="1"/>
      <c r="AD244" s="1"/>
      <c r="AE244" s="1"/>
      <c r="AF244" s="1"/>
    </row>
    <row r="245" ht="14.25" customHeight="1">
      <c r="C245" s="1"/>
      <c r="D245" s="1"/>
      <c r="E245" s="1"/>
      <c r="F245" s="1" t="s">
        <v>20</v>
      </c>
      <c r="G245" s="1"/>
      <c r="H245" s="40">
        <f t="shared" ref="H245:P245" si="296">COUNTIF(H227:H242,H244)</f>
        <v>1</v>
      </c>
      <c r="I245" s="40">
        <f t="shared" si="296"/>
        <v>2</v>
      </c>
      <c r="J245" s="40">
        <f t="shared" si="296"/>
        <v>1</v>
      </c>
      <c r="K245" s="40">
        <f t="shared" si="296"/>
        <v>1</v>
      </c>
      <c r="L245" s="40">
        <f t="shared" si="296"/>
        <v>3</v>
      </c>
      <c r="M245" s="40">
        <f t="shared" si="296"/>
        <v>4</v>
      </c>
      <c r="N245" s="40">
        <f t="shared" si="296"/>
        <v>4</v>
      </c>
      <c r="O245" s="40">
        <f t="shared" si="296"/>
        <v>2</v>
      </c>
      <c r="P245" s="40">
        <f t="shared" si="296"/>
        <v>2</v>
      </c>
      <c r="Q245" s="40"/>
      <c r="R245" s="40"/>
      <c r="S245" s="40">
        <f t="shared" ref="S245:AA245" si="297">COUNTIF(S227:S242,S244)</f>
        <v>1</v>
      </c>
      <c r="T245" s="40">
        <f t="shared" si="297"/>
        <v>2</v>
      </c>
      <c r="U245" s="40">
        <f t="shared" si="297"/>
        <v>3</v>
      </c>
      <c r="V245" s="40">
        <f t="shared" si="297"/>
        <v>1</v>
      </c>
      <c r="W245" s="40">
        <f t="shared" si="297"/>
        <v>1</v>
      </c>
      <c r="X245" s="40">
        <f t="shared" si="297"/>
        <v>1</v>
      </c>
      <c r="Y245" s="40">
        <f t="shared" si="297"/>
        <v>1</v>
      </c>
      <c r="Z245" s="40">
        <f t="shared" si="297"/>
        <v>1</v>
      </c>
      <c r="AA245" s="40">
        <f t="shared" si="297"/>
        <v>4</v>
      </c>
      <c r="AB245" s="1"/>
      <c r="AC245" s="1"/>
      <c r="AD245" s="1"/>
      <c r="AE245" s="1"/>
      <c r="AF245" s="1"/>
    </row>
    <row r="246" ht="14.25" customHeight="1">
      <c r="C246" s="1"/>
      <c r="D246" s="1"/>
      <c r="E246" s="1"/>
      <c r="F246" s="1" t="s">
        <v>21</v>
      </c>
      <c r="G246" s="1"/>
      <c r="H246" s="40" t="str">
        <f t="shared" ref="H246:P246" si="298">IF(H245=1,"1","")</f>
        <v>1</v>
      </c>
      <c r="I246" s="40" t="str">
        <f t="shared" si="298"/>
        <v/>
      </c>
      <c r="J246" s="40" t="str">
        <f t="shared" si="298"/>
        <v>1</v>
      </c>
      <c r="K246" s="40" t="str">
        <f t="shared" si="298"/>
        <v>1</v>
      </c>
      <c r="L246" s="40" t="str">
        <f t="shared" si="298"/>
        <v/>
      </c>
      <c r="M246" s="40" t="str">
        <f t="shared" si="298"/>
        <v/>
      </c>
      <c r="N246" s="40" t="str">
        <f t="shared" si="298"/>
        <v/>
      </c>
      <c r="O246" s="40" t="str">
        <f t="shared" si="298"/>
        <v/>
      </c>
      <c r="P246" s="40" t="str">
        <f t="shared" si="298"/>
        <v/>
      </c>
      <c r="Q246" s="40"/>
      <c r="R246" s="40"/>
      <c r="S246" s="40" t="str">
        <f t="shared" ref="S246:AA246" si="299">IF(S245=1,"1","")</f>
        <v>1</v>
      </c>
      <c r="T246" s="40" t="str">
        <f t="shared" si="299"/>
        <v/>
      </c>
      <c r="U246" s="40" t="str">
        <f t="shared" si="299"/>
        <v/>
      </c>
      <c r="V246" s="40" t="str">
        <f t="shared" si="299"/>
        <v>1</v>
      </c>
      <c r="W246" s="40" t="str">
        <f t="shared" si="299"/>
        <v>1</v>
      </c>
      <c r="X246" s="40" t="str">
        <f t="shared" si="299"/>
        <v>1</v>
      </c>
      <c r="Y246" s="40" t="str">
        <f t="shared" si="299"/>
        <v>1</v>
      </c>
      <c r="Z246" s="40" t="str">
        <f t="shared" si="299"/>
        <v>1</v>
      </c>
      <c r="AA246" s="40" t="str">
        <f t="shared" si="299"/>
        <v/>
      </c>
      <c r="AB246" s="1">
        <f>COUNTIF($H$246:$AA$246,"1")</f>
        <v>9</v>
      </c>
      <c r="AC246" s="1"/>
      <c r="AD246" s="1"/>
      <c r="AE246" s="1"/>
      <c r="AF246" s="1"/>
    </row>
    <row r="247" ht="14.25" customHeight="1">
      <c r="C247" s="1"/>
      <c r="D247" s="1"/>
      <c r="E247" s="1"/>
      <c r="F247" s="1" t="s">
        <v>22</v>
      </c>
      <c r="G247" s="1"/>
      <c r="H247" s="1" t="str">
        <f t="shared" ref="H247:P247" si="300">IFERROR(IF(H246="1",VLOOKUP(H244,H$227:$AE$242,H$223,FALSE),""),"")</f>
        <v>RYAN</v>
      </c>
      <c r="I247" s="1" t="str">
        <f t="shared" si="300"/>
        <v/>
      </c>
      <c r="J247" s="1" t="str">
        <f t="shared" si="300"/>
        <v>MAX</v>
      </c>
      <c r="K247" s="1" t="str">
        <f t="shared" si="300"/>
        <v>MAX</v>
      </c>
      <c r="L247" s="1" t="str">
        <f t="shared" si="300"/>
        <v/>
      </c>
      <c r="M247" s="1" t="str">
        <f t="shared" si="300"/>
        <v/>
      </c>
      <c r="N247" s="1" t="str">
        <f t="shared" si="300"/>
        <v/>
      </c>
      <c r="O247" s="1" t="str">
        <f t="shared" si="300"/>
        <v/>
      </c>
      <c r="P247" s="1" t="str">
        <f t="shared" si="300"/>
        <v/>
      </c>
      <c r="Q247" s="1"/>
      <c r="R247" s="1"/>
      <c r="S247" s="1" t="str">
        <f t="shared" ref="S247:AA247" si="301">IFERROR(IF(S246="1",VLOOKUP(S244,S$227:$AE$242,S$223,FALSE),""),"")</f>
        <v>PAXTON</v>
      </c>
      <c r="T247" s="1" t="str">
        <f t="shared" si="301"/>
        <v/>
      </c>
      <c r="U247" s="1" t="str">
        <f t="shared" si="301"/>
        <v/>
      </c>
      <c r="V247" s="1" t="str">
        <f t="shared" si="301"/>
        <v>WAYS</v>
      </c>
      <c r="W247" s="1" t="str">
        <f t="shared" si="301"/>
        <v>RYAN</v>
      </c>
      <c r="X247" s="1" t="str">
        <f t="shared" si="301"/>
        <v>BEN</v>
      </c>
      <c r="Y247" s="1" t="str">
        <f t="shared" si="301"/>
        <v>KIP</v>
      </c>
      <c r="Z247" s="1" t="str">
        <f t="shared" si="301"/>
        <v>SLICK</v>
      </c>
      <c r="AA247" s="1" t="str">
        <f t="shared" si="301"/>
        <v/>
      </c>
      <c r="AB247" s="1"/>
      <c r="AC247" s="1"/>
      <c r="AD247" s="1"/>
      <c r="AE247" s="1"/>
      <c r="AF247" s="1"/>
    </row>
    <row r="248" ht="14.2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27.75" customHeight="1">
      <c r="C249" s="1"/>
      <c r="D249" s="1"/>
      <c r="E249" s="1"/>
      <c r="F249" s="66" t="s">
        <v>36</v>
      </c>
      <c r="G249" s="66" t="s">
        <v>113</v>
      </c>
      <c r="H249" s="66">
        <f t="shared" ref="H249:P249" si="302">H7</f>
        <v>5</v>
      </c>
      <c r="I249" s="66">
        <f t="shared" si="302"/>
        <v>4</v>
      </c>
      <c r="J249" s="66">
        <f t="shared" si="302"/>
        <v>3</v>
      </c>
      <c r="K249" s="66">
        <f t="shared" si="302"/>
        <v>4</v>
      </c>
      <c r="L249" s="66">
        <f t="shared" si="302"/>
        <v>5</v>
      </c>
      <c r="M249" s="66">
        <f t="shared" si="302"/>
        <v>4</v>
      </c>
      <c r="N249" s="66">
        <f t="shared" si="302"/>
        <v>4</v>
      </c>
      <c r="O249" s="66">
        <f t="shared" si="302"/>
        <v>4</v>
      </c>
      <c r="P249" s="66">
        <f t="shared" si="302"/>
        <v>3</v>
      </c>
      <c r="Q249" s="10"/>
      <c r="R249" s="10"/>
      <c r="S249" s="66">
        <f t="shared" ref="S249:AA249" si="303">S7</f>
        <v>5</v>
      </c>
      <c r="T249" s="66">
        <f t="shared" si="303"/>
        <v>4</v>
      </c>
      <c r="U249" s="66">
        <f t="shared" si="303"/>
        <v>4</v>
      </c>
      <c r="V249" s="66">
        <f t="shared" si="303"/>
        <v>3</v>
      </c>
      <c r="W249" s="66">
        <f t="shared" si="303"/>
        <v>5</v>
      </c>
      <c r="X249" s="66">
        <f t="shared" si="303"/>
        <v>4</v>
      </c>
      <c r="Y249" s="66">
        <f t="shared" si="303"/>
        <v>4</v>
      </c>
      <c r="Z249" s="66">
        <f t="shared" si="303"/>
        <v>3</v>
      </c>
      <c r="AA249" s="66">
        <f t="shared" si="303"/>
        <v>4</v>
      </c>
      <c r="AB249" s="66"/>
      <c r="AC249" s="39"/>
      <c r="AD249" s="39"/>
      <c r="AE249" s="39"/>
      <c r="AF249" s="39"/>
    </row>
    <row r="250" ht="27.75" customHeight="1">
      <c r="C250" s="1"/>
      <c r="D250" s="1"/>
      <c r="E250" s="1"/>
      <c r="F250" s="66" t="s">
        <v>146</v>
      </c>
      <c r="G250" s="166" t="s">
        <v>137</v>
      </c>
      <c r="H250" s="66">
        <f t="shared" ref="H250:P250" si="304">H226</f>
        <v>1</v>
      </c>
      <c r="I250" s="66">
        <f t="shared" si="304"/>
        <v>2</v>
      </c>
      <c r="J250" s="66">
        <f t="shared" si="304"/>
        <v>3</v>
      </c>
      <c r="K250" s="66">
        <f t="shared" si="304"/>
        <v>4</v>
      </c>
      <c r="L250" s="66">
        <f t="shared" si="304"/>
        <v>5</v>
      </c>
      <c r="M250" s="66">
        <f t="shared" si="304"/>
        <v>6</v>
      </c>
      <c r="N250" s="66">
        <f t="shared" si="304"/>
        <v>7</v>
      </c>
      <c r="O250" s="66">
        <f t="shared" si="304"/>
        <v>8</v>
      </c>
      <c r="P250" s="66">
        <f t="shared" si="304"/>
        <v>9</v>
      </c>
      <c r="Q250" s="10"/>
      <c r="R250" s="10"/>
      <c r="S250" s="66">
        <f t="shared" ref="S250:AA250" si="305">S226</f>
        <v>10</v>
      </c>
      <c r="T250" s="66">
        <f t="shared" si="305"/>
        <v>11</v>
      </c>
      <c r="U250" s="66">
        <f t="shared" si="305"/>
        <v>12</v>
      </c>
      <c r="V250" s="66">
        <f t="shared" si="305"/>
        <v>13</v>
      </c>
      <c r="W250" s="66">
        <f t="shared" si="305"/>
        <v>14</v>
      </c>
      <c r="X250" s="66">
        <f t="shared" si="305"/>
        <v>15</v>
      </c>
      <c r="Y250" s="66">
        <f t="shared" si="305"/>
        <v>16</v>
      </c>
      <c r="Z250" s="66">
        <f t="shared" si="305"/>
        <v>17</v>
      </c>
      <c r="AA250" s="66">
        <f t="shared" si="305"/>
        <v>18</v>
      </c>
      <c r="AB250" s="66" t="s">
        <v>24</v>
      </c>
      <c r="AC250" s="39"/>
      <c r="AD250" s="39"/>
      <c r="AE250" s="39"/>
      <c r="AF250" s="39"/>
    </row>
    <row r="251" ht="27.75" customHeight="1">
      <c r="C251" s="1"/>
      <c r="D251" s="1"/>
      <c r="E251" s="1"/>
      <c r="F251" s="73" t="str">
        <f t="shared" ref="F251:F266" si="308">F227</f>
        <v>DEREK</v>
      </c>
      <c r="G251" s="142"/>
      <c r="H251" s="169">
        <f t="shared" ref="H251:P251" si="306">IFERROR(IF(VLOOKUP($F251,$F$207:$AA$222,H$224,FALSE)=0,"",IF(VLOOKUP($F251,$F$207:$AA$222,H$224,FALSE)&lt;H$249,1,0)),"")</f>
        <v>0</v>
      </c>
      <c r="I251" s="169">
        <f t="shared" si="306"/>
        <v>0</v>
      </c>
      <c r="J251" s="169">
        <f t="shared" si="306"/>
        <v>0</v>
      </c>
      <c r="K251" s="169">
        <f t="shared" si="306"/>
        <v>0</v>
      </c>
      <c r="L251" s="169">
        <f t="shared" si="306"/>
        <v>0</v>
      </c>
      <c r="M251" s="169">
        <f t="shared" si="306"/>
        <v>0</v>
      </c>
      <c r="N251" s="169">
        <f t="shared" si="306"/>
        <v>0</v>
      </c>
      <c r="O251" s="169">
        <f t="shared" si="306"/>
        <v>0</v>
      </c>
      <c r="P251" s="169">
        <f t="shared" si="306"/>
        <v>0</v>
      </c>
      <c r="Q251" s="51"/>
      <c r="R251" s="51"/>
      <c r="S251" s="169">
        <f t="shared" ref="S251:AA251" si="307">IFERROR(IF(VLOOKUP($F251,$F$207:$AA$222,S$224,FALSE)=0,"",IF(VLOOKUP($F251,$F$207:$AA$222,S$224,FALSE)&lt;S$249,1,0)),"")</f>
        <v>0</v>
      </c>
      <c r="T251" s="169">
        <f t="shared" si="307"/>
        <v>0</v>
      </c>
      <c r="U251" s="169">
        <f t="shared" si="307"/>
        <v>0</v>
      </c>
      <c r="V251" s="169">
        <f t="shared" si="307"/>
        <v>0</v>
      </c>
      <c r="W251" s="169">
        <f t="shared" si="307"/>
        <v>0</v>
      </c>
      <c r="X251" s="169">
        <f t="shared" si="307"/>
        <v>0</v>
      </c>
      <c r="Y251" s="169">
        <f t="shared" si="307"/>
        <v>0</v>
      </c>
      <c r="Z251" s="169">
        <f t="shared" si="307"/>
        <v>0</v>
      </c>
      <c r="AA251" s="169">
        <f t="shared" si="307"/>
        <v>0</v>
      </c>
      <c r="AB251" s="75">
        <f t="shared" ref="AB251:AB266" si="311">SUM(H251:AA251)</f>
        <v>0</v>
      </c>
      <c r="AC251" s="39"/>
      <c r="AD251" s="1"/>
      <c r="AE251" s="1"/>
      <c r="AF251" s="1"/>
    </row>
    <row r="252" ht="27.75" customHeight="1">
      <c r="C252" s="1"/>
      <c r="D252" s="1"/>
      <c r="E252" s="1"/>
      <c r="F252" s="73" t="str">
        <f t="shared" si="308"/>
        <v>SCOTT</v>
      </c>
      <c r="G252" s="142"/>
      <c r="H252" s="169">
        <f t="shared" ref="H252:P252" si="309">IFERROR(IF(VLOOKUP($F252,$F$207:$AA$222,H$224,FALSE)=0,"",IF(VLOOKUP($F252,$F$207:$AA$222,H$224,FALSE)&lt;H$249,1,0)),"")</f>
        <v>0</v>
      </c>
      <c r="I252" s="169">
        <f t="shared" si="309"/>
        <v>0</v>
      </c>
      <c r="J252" s="169">
        <f t="shared" si="309"/>
        <v>0</v>
      </c>
      <c r="K252" s="169">
        <f t="shared" si="309"/>
        <v>0</v>
      </c>
      <c r="L252" s="169">
        <f t="shared" si="309"/>
        <v>0</v>
      </c>
      <c r="M252" s="169">
        <f t="shared" si="309"/>
        <v>0</v>
      </c>
      <c r="N252" s="169">
        <f t="shared" si="309"/>
        <v>0</v>
      </c>
      <c r="O252" s="169">
        <f t="shared" si="309"/>
        <v>0</v>
      </c>
      <c r="P252" s="169">
        <f t="shared" si="309"/>
        <v>0</v>
      </c>
      <c r="Q252" s="51"/>
      <c r="R252" s="51"/>
      <c r="S252" s="169">
        <f t="shared" ref="S252:AA252" si="310">IFERROR(IF(VLOOKUP($F252,$F$207:$AA$222,S$224,FALSE)=0,"",IF(VLOOKUP($F252,$F$207:$AA$222,S$224,FALSE)&lt;S$249,1,0)),"")</f>
        <v>0</v>
      </c>
      <c r="T252" s="169">
        <f t="shared" si="310"/>
        <v>0</v>
      </c>
      <c r="U252" s="169">
        <f t="shared" si="310"/>
        <v>0</v>
      </c>
      <c r="V252" s="169">
        <f t="shared" si="310"/>
        <v>0</v>
      </c>
      <c r="W252" s="169">
        <f t="shared" si="310"/>
        <v>0</v>
      </c>
      <c r="X252" s="169">
        <f t="shared" si="310"/>
        <v>0</v>
      </c>
      <c r="Y252" s="169">
        <f t="shared" si="310"/>
        <v>0</v>
      </c>
      <c r="Z252" s="169">
        <f t="shared" si="310"/>
        <v>0</v>
      </c>
      <c r="AA252" s="169">
        <f t="shared" si="310"/>
        <v>0</v>
      </c>
      <c r="AB252" s="75">
        <f t="shared" si="311"/>
        <v>0</v>
      </c>
      <c r="AC252" s="39"/>
      <c r="AD252" s="1"/>
      <c r="AE252" s="1"/>
      <c r="AF252" s="1"/>
    </row>
    <row r="253" ht="27.75" customHeight="1">
      <c r="C253" s="1"/>
      <c r="D253" s="1"/>
      <c r="E253" s="1"/>
      <c r="F253" s="73" t="str">
        <f t="shared" si="308"/>
        <v>WAYS</v>
      </c>
      <c r="G253" s="142"/>
      <c r="H253" s="169">
        <f t="shared" ref="H253:P253" si="312">IFERROR(IF(VLOOKUP($F253,$F$207:$AA$222,H$224,FALSE)=0,"",IF(VLOOKUP($F253,$F$207:$AA$222,H$224,FALSE)&lt;H$249,1,0)),"")</f>
        <v>0</v>
      </c>
      <c r="I253" s="169">
        <f t="shared" si="312"/>
        <v>0</v>
      </c>
      <c r="J253" s="169">
        <f t="shared" si="312"/>
        <v>0</v>
      </c>
      <c r="K253" s="169">
        <f t="shared" si="312"/>
        <v>1</v>
      </c>
      <c r="L253" s="169">
        <f t="shared" si="312"/>
        <v>0</v>
      </c>
      <c r="M253" s="169">
        <f t="shared" si="312"/>
        <v>0</v>
      </c>
      <c r="N253" s="169">
        <f t="shared" si="312"/>
        <v>0</v>
      </c>
      <c r="O253" s="169">
        <f t="shared" si="312"/>
        <v>0</v>
      </c>
      <c r="P253" s="169">
        <f t="shared" si="312"/>
        <v>0</v>
      </c>
      <c r="Q253" s="51"/>
      <c r="R253" s="51"/>
      <c r="S253" s="169">
        <f t="shared" ref="S253:AA253" si="313">IFERROR(IF(VLOOKUP($F253,$F$207:$AA$222,S$224,FALSE)=0,"",IF(VLOOKUP($F253,$F$207:$AA$222,S$224,FALSE)&lt;S$249,1,0)),"")</f>
        <v>0</v>
      </c>
      <c r="T253" s="169">
        <f t="shared" si="313"/>
        <v>0</v>
      </c>
      <c r="U253" s="169">
        <f t="shared" si="313"/>
        <v>0</v>
      </c>
      <c r="V253" s="169">
        <f t="shared" si="313"/>
        <v>0</v>
      </c>
      <c r="W253" s="169">
        <f t="shared" si="313"/>
        <v>0</v>
      </c>
      <c r="X253" s="169">
        <f t="shared" si="313"/>
        <v>0</v>
      </c>
      <c r="Y253" s="169">
        <f t="shared" si="313"/>
        <v>0</v>
      </c>
      <c r="Z253" s="169">
        <f t="shared" si="313"/>
        <v>0</v>
      </c>
      <c r="AA253" s="169">
        <f t="shared" si="313"/>
        <v>0</v>
      </c>
      <c r="AB253" s="75">
        <f t="shared" si="311"/>
        <v>1</v>
      </c>
      <c r="AC253" s="39"/>
      <c r="AD253" s="1"/>
      <c r="AE253" s="1"/>
      <c r="AF253" s="1"/>
    </row>
    <row r="254" ht="27.75" customHeight="1">
      <c r="C254" s="1"/>
      <c r="D254" s="1"/>
      <c r="E254" s="1"/>
      <c r="F254" s="73" t="str">
        <f t="shared" si="308"/>
        <v>BEN</v>
      </c>
      <c r="G254" s="142"/>
      <c r="H254" s="169">
        <f t="shared" ref="H254:P254" si="314">IFERROR(IF(VLOOKUP($F254,$F$207:$AA$222,H$224,FALSE)=0,"",IF(VLOOKUP($F254,$F$207:$AA$222,H$224,FALSE)&lt;H$249,1,0)),"")</f>
        <v>0</v>
      </c>
      <c r="I254" s="169">
        <f t="shared" si="314"/>
        <v>0</v>
      </c>
      <c r="J254" s="169">
        <f t="shared" si="314"/>
        <v>0</v>
      </c>
      <c r="K254" s="169">
        <f t="shared" si="314"/>
        <v>0</v>
      </c>
      <c r="L254" s="169">
        <f t="shared" si="314"/>
        <v>0</v>
      </c>
      <c r="M254" s="169">
        <f t="shared" si="314"/>
        <v>0</v>
      </c>
      <c r="N254" s="169">
        <f t="shared" si="314"/>
        <v>0</v>
      </c>
      <c r="O254" s="169">
        <f t="shared" si="314"/>
        <v>0</v>
      </c>
      <c r="P254" s="169">
        <f t="shared" si="314"/>
        <v>1</v>
      </c>
      <c r="Q254" s="51"/>
      <c r="R254" s="51"/>
      <c r="S254" s="169">
        <f t="shared" ref="S254:AA254" si="315">IFERROR(IF(VLOOKUP($F254,$F$207:$AA$222,S$224,FALSE)=0,"",IF(VLOOKUP($F254,$F$207:$AA$222,S$224,FALSE)&lt;S$249,1,0)),"")</f>
        <v>0</v>
      </c>
      <c r="T254" s="169">
        <f t="shared" si="315"/>
        <v>1</v>
      </c>
      <c r="U254" s="169">
        <f t="shared" si="315"/>
        <v>0</v>
      </c>
      <c r="V254" s="169">
        <f t="shared" si="315"/>
        <v>0</v>
      </c>
      <c r="W254" s="169">
        <f t="shared" si="315"/>
        <v>0</v>
      </c>
      <c r="X254" s="169">
        <f t="shared" si="315"/>
        <v>1</v>
      </c>
      <c r="Y254" s="169">
        <f t="shared" si="315"/>
        <v>0</v>
      </c>
      <c r="Z254" s="169">
        <f t="shared" si="315"/>
        <v>0</v>
      </c>
      <c r="AA254" s="169">
        <f t="shared" si="315"/>
        <v>0</v>
      </c>
      <c r="AB254" s="75">
        <f t="shared" si="311"/>
        <v>3</v>
      </c>
      <c r="AC254" s="39"/>
      <c r="AD254" s="1"/>
      <c r="AE254" s="1"/>
      <c r="AF254" s="1"/>
    </row>
    <row r="255" ht="27.75" customHeight="1">
      <c r="C255" s="1"/>
      <c r="D255" s="1"/>
      <c r="E255" s="1"/>
      <c r="F255" s="73" t="str">
        <f t="shared" si="308"/>
        <v>DANNY</v>
      </c>
      <c r="G255" s="142"/>
      <c r="H255" s="169">
        <f t="shared" ref="H255:P255" si="316">IFERROR(IF(VLOOKUP($F255,$F$207:$AA$222,H$224,FALSE)=0,"",IF(VLOOKUP($F255,$F$207:$AA$222,H$224,FALSE)&lt;H$249,1,0)),"")</f>
        <v>0</v>
      </c>
      <c r="I255" s="169">
        <f t="shared" si="316"/>
        <v>0</v>
      </c>
      <c r="J255" s="169">
        <f t="shared" si="316"/>
        <v>0</v>
      </c>
      <c r="K255" s="169">
        <f t="shared" si="316"/>
        <v>0</v>
      </c>
      <c r="L255" s="169">
        <f t="shared" si="316"/>
        <v>0</v>
      </c>
      <c r="M255" s="169">
        <f t="shared" si="316"/>
        <v>0</v>
      </c>
      <c r="N255" s="169">
        <f t="shared" si="316"/>
        <v>0</v>
      </c>
      <c r="O255" s="169">
        <f t="shared" si="316"/>
        <v>0</v>
      </c>
      <c r="P255" s="169">
        <f t="shared" si="316"/>
        <v>0</v>
      </c>
      <c r="Q255" s="51"/>
      <c r="R255" s="51"/>
      <c r="S255" s="169">
        <f t="shared" ref="S255:AA255" si="317">IFERROR(IF(VLOOKUP($F255,$F$207:$AA$222,S$224,FALSE)=0,"",IF(VLOOKUP($F255,$F$207:$AA$222,S$224,FALSE)&lt;S$249,1,0)),"")</f>
        <v>0</v>
      </c>
      <c r="T255" s="169">
        <f t="shared" si="317"/>
        <v>0</v>
      </c>
      <c r="U255" s="169">
        <f t="shared" si="317"/>
        <v>0</v>
      </c>
      <c r="V255" s="169">
        <f t="shared" si="317"/>
        <v>0</v>
      </c>
      <c r="W255" s="169">
        <f t="shared" si="317"/>
        <v>0</v>
      </c>
      <c r="X255" s="169">
        <f t="shared" si="317"/>
        <v>0</v>
      </c>
      <c r="Y255" s="169">
        <f t="shared" si="317"/>
        <v>0</v>
      </c>
      <c r="Z255" s="169">
        <f t="shared" si="317"/>
        <v>0</v>
      </c>
      <c r="AA255" s="169">
        <f t="shared" si="317"/>
        <v>0</v>
      </c>
      <c r="AB255" s="75">
        <f t="shared" si="311"/>
        <v>0</v>
      </c>
      <c r="AC255" s="39"/>
      <c r="AD255" s="1"/>
      <c r="AE255" s="1"/>
      <c r="AF255" s="1"/>
    </row>
    <row r="256" ht="27.75" customHeight="1">
      <c r="C256" s="1"/>
      <c r="D256" s="1"/>
      <c r="E256" s="1"/>
      <c r="F256" s="73" t="str">
        <f t="shared" si="308"/>
        <v>ZACH</v>
      </c>
      <c r="G256" s="142"/>
      <c r="H256" s="169">
        <f t="shared" ref="H256:P256" si="318">IFERROR(IF(VLOOKUP($F256,$F$207:$AA$222,H$224,FALSE)=0,"",IF(VLOOKUP($F256,$F$207:$AA$222,H$224,FALSE)&lt;H$249,1,0)),"")</f>
        <v>0</v>
      </c>
      <c r="I256" s="169">
        <f t="shared" si="318"/>
        <v>0</v>
      </c>
      <c r="J256" s="169">
        <f t="shared" si="318"/>
        <v>0</v>
      </c>
      <c r="K256" s="169">
        <f t="shared" si="318"/>
        <v>0</v>
      </c>
      <c r="L256" s="169">
        <f t="shared" si="318"/>
        <v>0</v>
      </c>
      <c r="M256" s="169">
        <f t="shared" si="318"/>
        <v>0</v>
      </c>
      <c r="N256" s="169">
        <f t="shared" si="318"/>
        <v>0</v>
      </c>
      <c r="O256" s="169">
        <f t="shared" si="318"/>
        <v>0</v>
      </c>
      <c r="P256" s="169">
        <f t="shared" si="318"/>
        <v>0</v>
      </c>
      <c r="Q256" s="51"/>
      <c r="R256" s="51"/>
      <c r="S256" s="169">
        <f t="shared" ref="S256:AA256" si="319">IFERROR(IF(VLOOKUP($F256,$F$207:$AA$222,S$224,FALSE)=0,"",IF(VLOOKUP($F256,$F$207:$AA$222,S$224,FALSE)&lt;S$249,1,0)),"")</f>
        <v>0</v>
      </c>
      <c r="T256" s="169">
        <f t="shared" si="319"/>
        <v>0</v>
      </c>
      <c r="U256" s="169">
        <f t="shared" si="319"/>
        <v>0</v>
      </c>
      <c r="V256" s="169">
        <f t="shared" si="319"/>
        <v>0</v>
      </c>
      <c r="W256" s="169">
        <f t="shared" si="319"/>
        <v>0</v>
      </c>
      <c r="X256" s="169">
        <f t="shared" si="319"/>
        <v>0</v>
      </c>
      <c r="Y256" s="169">
        <f t="shared" si="319"/>
        <v>0</v>
      </c>
      <c r="Z256" s="169">
        <f t="shared" si="319"/>
        <v>0</v>
      </c>
      <c r="AA256" s="169">
        <f t="shared" si="319"/>
        <v>0</v>
      </c>
      <c r="AB256" s="75">
        <f t="shared" si="311"/>
        <v>0</v>
      </c>
      <c r="AC256" s="39"/>
      <c r="AD256" s="1"/>
      <c r="AE256" s="1"/>
      <c r="AF256" s="1"/>
    </row>
    <row r="257" ht="27.75" customHeight="1">
      <c r="C257" s="1"/>
      <c r="D257" s="1"/>
      <c r="E257" s="1"/>
      <c r="F257" s="73" t="str">
        <f t="shared" si="308"/>
        <v>SLICK</v>
      </c>
      <c r="G257" s="142"/>
      <c r="H257" s="169">
        <f t="shared" ref="H257:P257" si="320">IFERROR(IF(VLOOKUP($F257,$F$207:$AA$222,H$224,FALSE)=0,"",IF(VLOOKUP($F257,$F$207:$AA$222,H$224,FALSE)&lt;H$249,1,0)),"")</f>
        <v>0</v>
      </c>
      <c r="I257" s="169">
        <f t="shared" si="320"/>
        <v>0</v>
      </c>
      <c r="J257" s="169">
        <f t="shared" si="320"/>
        <v>0</v>
      </c>
      <c r="K257" s="169">
        <f t="shared" si="320"/>
        <v>0</v>
      </c>
      <c r="L257" s="169">
        <f t="shared" si="320"/>
        <v>0</v>
      </c>
      <c r="M257" s="169">
        <f t="shared" si="320"/>
        <v>0</v>
      </c>
      <c r="N257" s="169">
        <f t="shared" si="320"/>
        <v>0</v>
      </c>
      <c r="O257" s="169">
        <f t="shared" si="320"/>
        <v>0</v>
      </c>
      <c r="P257" s="169">
        <f t="shared" si="320"/>
        <v>0</v>
      </c>
      <c r="Q257" s="51"/>
      <c r="R257" s="51"/>
      <c r="S257" s="169">
        <f t="shared" ref="S257:AA257" si="321">IFERROR(IF(VLOOKUP($F257,$F$207:$AA$222,S$224,FALSE)=0,"",IF(VLOOKUP($F257,$F$207:$AA$222,S$224,FALSE)&lt;S$249,1,0)),"")</f>
        <v>0</v>
      </c>
      <c r="T257" s="169">
        <f t="shared" si="321"/>
        <v>0</v>
      </c>
      <c r="U257" s="169">
        <f t="shared" si="321"/>
        <v>0</v>
      </c>
      <c r="V257" s="169">
        <f t="shared" si="321"/>
        <v>0</v>
      </c>
      <c r="W257" s="169">
        <f t="shared" si="321"/>
        <v>0</v>
      </c>
      <c r="X257" s="169">
        <f t="shared" si="321"/>
        <v>0</v>
      </c>
      <c r="Y257" s="169">
        <f t="shared" si="321"/>
        <v>0</v>
      </c>
      <c r="Z257" s="169">
        <f t="shared" si="321"/>
        <v>1</v>
      </c>
      <c r="AA257" s="169">
        <f t="shared" si="321"/>
        <v>0</v>
      </c>
      <c r="AB257" s="75">
        <f t="shared" si="311"/>
        <v>1</v>
      </c>
      <c r="AC257" s="39"/>
      <c r="AD257" s="1"/>
      <c r="AE257" s="1"/>
      <c r="AF257" s="1"/>
    </row>
    <row r="258" ht="27.75" customHeight="1">
      <c r="C258" s="1"/>
      <c r="D258" s="1"/>
      <c r="E258" s="1"/>
      <c r="F258" s="73" t="str">
        <f t="shared" si="308"/>
        <v>PAXTON</v>
      </c>
      <c r="G258" s="142"/>
      <c r="H258" s="169">
        <f t="shared" ref="H258:P258" si="322">IFERROR(IF(VLOOKUP($F258,$F$207:$AA$222,H$224,FALSE)=0,"",IF(VLOOKUP($F258,$F$207:$AA$222,H$224,FALSE)&lt;H$249,1,0)),"")</f>
        <v>0</v>
      </c>
      <c r="I258" s="169">
        <f t="shared" si="322"/>
        <v>0</v>
      </c>
      <c r="J258" s="169">
        <f t="shared" si="322"/>
        <v>0</v>
      </c>
      <c r="K258" s="169">
        <f t="shared" si="322"/>
        <v>0</v>
      </c>
      <c r="L258" s="169">
        <f t="shared" si="322"/>
        <v>0</v>
      </c>
      <c r="M258" s="169">
        <f t="shared" si="322"/>
        <v>0</v>
      </c>
      <c r="N258" s="169">
        <f t="shared" si="322"/>
        <v>0</v>
      </c>
      <c r="O258" s="169">
        <f t="shared" si="322"/>
        <v>0</v>
      </c>
      <c r="P258" s="169">
        <f t="shared" si="322"/>
        <v>0</v>
      </c>
      <c r="Q258" s="51"/>
      <c r="R258" s="51"/>
      <c r="S258" s="169">
        <f t="shared" ref="S258:AA258" si="323">IFERROR(IF(VLOOKUP($F258,$F$207:$AA$222,S$224,FALSE)=0,"",IF(VLOOKUP($F258,$F$207:$AA$222,S$224,FALSE)&lt;S$249,1,0)),"")</f>
        <v>0</v>
      </c>
      <c r="T258" s="169">
        <f t="shared" si="323"/>
        <v>0</v>
      </c>
      <c r="U258" s="169">
        <f t="shared" si="323"/>
        <v>0</v>
      </c>
      <c r="V258" s="169">
        <f t="shared" si="323"/>
        <v>0</v>
      </c>
      <c r="W258" s="169">
        <f t="shared" si="323"/>
        <v>0</v>
      </c>
      <c r="X258" s="169">
        <f t="shared" si="323"/>
        <v>0</v>
      </c>
      <c r="Y258" s="169">
        <f t="shared" si="323"/>
        <v>0</v>
      </c>
      <c r="Z258" s="169">
        <f t="shared" si="323"/>
        <v>0</v>
      </c>
      <c r="AA258" s="169">
        <f t="shared" si="323"/>
        <v>0</v>
      </c>
      <c r="AB258" s="75">
        <f t="shared" si="311"/>
        <v>0</v>
      </c>
      <c r="AC258" s="39"/>
      <c r="AD258" s="1"/>
      <c r="AE258" s="1"/>
      <c r="AF258" s="1"/>
    </row>
    <row r="259" ht="27.75" customHeight="1">
      <c r="C259" s="1"/>
      <c r="D259" s="1"/>
      <c r="E259" s="1"/>
      <c r="F259" s="73" t="str">
        <f t="shared" si="308"/>
        <v>DYLAN</v>
      </c>
      <c r="G259" s="142"/>
      <c r="H259" s="169">
        <f t="shared" ref="H259:P259" si="324">IFERROR(IF(VLOOKUP($F259,$F$207:$AA$222,H$224,FALSE)=0,"",IF(VLOOKUP($F259,$F$207:$AA$222,H$224,FALSE)&lt;H$249,1,0)),"")</f>
        <v>0</v>
      </c>
      <c r="I259" s="169">
        <f t="shared" si="324"/>
        <v>0</v>
      </c>
      <c r="J259" s="169">
        <f t="shared" si="324"/>
        <v>0</v>
      </c>
      <c r="K259" s="169">
        <f t="shared" si="324"/>
        <v>0</v>
      </c>
      <c r="L259" s="169">
        <f t="shared" si="324"/>
        <v>0</v>
      </c>
      <c r="M259" s="169">
        <f t="shared" si="324"/>
        <v>0</v>
      </c>
      <c r="N259" s="169">
        <f t="shared" si="324"/>
        <v>0</v>
      </c>
      <c r="O259" s="169">
        <f t="shared" si="324"/>
        <v>0</v>
      </c>
      <c r="P259" s="169">
        <f t="shared" si="324"/>
        <v>0</v>
      </c>
      <c r="Q259" s="51"/>
      <c r="R259" s="51"/>
      <c r="S259" s="169">
        <f t="shared" ref="S259:AA259" si="325">IFERROR(IF(VLOOKUP($F259,$F$207:$AA$222,S$224,FALSE)=0,"",IF(VLOOKUP($F259,$F$207:$AA$222,S$224,FALSE)&lt;S$249,1,0)),"")</f>
        <v>0</v>
      </c>
      <c r="T259" s="169">
        <f t="shared" si="325"/>
        <v>0</v>
      </c>
      <c r="U259" s="169">
        <f t="shared" si="325"/>
        <v>0</v>
      </c>
      <c r="V259" s="169">
        <f t="shared" si="325"/>
        <v>0</v>
      </c>
      <c r="W259" s="169">
        <f t="shared" si="325"/>
        <v>0</v>
      </c>
      <c r="X259" s="169">
        <f t="shared" si="325"/>
        <v>0</v>
      </c>
      <c r="Y259" s="169">
        <f t="shared" si="325"/>
        <v>0</v>
      </c>
      <c r="Z259" s="169">
        <f t="shared" si="325"/>
        <v>0</v>
      </c>
      <c r="AA259" s="169">
        <f t="shared" si="325"/>
        <v>0</v>
      </c>
      <c r="AB259" s="75">
        <f t="shared" si="311"/>
        <v>0</v>
      </c>
      <c r="AC259" s="39"/>
      <c r="AD259" s="1"/>
      <c r="AE259" s="1"/>
      <c r="AF259" s="1"/>
    </row>
    <row r="260" ht="27.75" customHeight="1">
      <c r="C260" s="1"/>
      <c r="D260" s="1"/>
      <c r="E260" s="1"/>
      <c r="F260" s="73" t="str">
        <f t="shared" si="308"/>
        <v>TOM</v>
      </c>
      <c r="G260" s="142"/>
      <c r="H260" s="169">
        <f t="shared" ref="H260:P260" si="326">IFERROR(IF(VLOOKUP($F260,$F$207:$AA$222,H$224,FALSE)=0,"",IF(VLOOKUP($F260,$F$207:$AA$222,H$224,FALSE)&lt;H$249,1,0)),"")</f>
        <v>0</v>
      </c>
      <c r="I260" s="169">
        <f t="shared" si="326"/>
        <v>0</v>
      </c>
      <c r="J260" s="169">
        <f t="shared" si="326"/>
        <v>0</v>
      </c>
      <c r="K260" s="169">
        <f t="shared" si="326"/>
        <v>0</v>
      </c>
      <c r="L260" s="169">
        <f t="shared" si="326"/>
        <v>0</v>
      </c>
      <c r="M260" s="169">
        <f t="shared" si="326"/>
        <v>0</v>
      </c>
      <c r="N260" s="169">
        <f t="shared" si="326"/>
        <v>0</v>
      </c>
      <c r="O260" s="169">
        <f t="shared" si="326"/>
        <v>0</v>
      </c>
      <c r="P260" s="169">
        <f t="shared" si="326"/>
        <v>0</v>
      </c>
      <c r="Q260" s="51"/>
      <c r="R260" s="51"/>
      <c r="S260" s="169">
        <f t="shared" ref="S260:AA260" si="327">IFERROR(IF(VLOOKUP($F260,$F$207:$AA$222,S$224,FALSE)=0,"",IF(VLOOKUP($F260,$F$207:$AA$222,S$224,FALSE)&lt;S$249,1,0)),"")</f>
        <v>0</v>
      </c>
      <c r="T260" s="169">
        <f t="shared" si="327"/>
        <v>0</v>
      </c>
      <c r="U260" s="169">
        <f t="shared" si="327"/>
        <v>0</v>
      </c>
      <c r="V260" s="169">
        <f t="shared" si="327"/>
        <v>0</v>
      </c>
      <c r="W260" s="169">
        <f t="shared" si="327"/>
        <v>0</v>
      </c>
      <c r="X260" s="169">
        <f t="shared" si="327"/>
        <v>0</v>
      </c>
      <c r="Y260" s="169">
        <f t="shared" si="327"/>
        <v>0</v>
      </c>
      <c r="Z260" s="169">
        <f t="shared" si="327"/>
        <v>0</v>
      </c>
      <c r="AA260" s="169">
        <f t="shared" si="327"/>
        <v>0</v>
      </c>
      <c r="AB260" s="75">
        <f t="shared" si="311"/>
        <v>0</v>
      </c>
      <c r="AC260" s="39"/>
      <c r="AD260" s="1"/>
      <c r="AE260" s="1"/>
      <c r="AF260" s="1"/>
    </row>
    <row r="261" ht="27.75" customHeight="1">
      <c r="C261" s="1"/>
      <c r="D261" s="1"/>
      <c r="E261" s="1"/>
      <c r="F261" s="73" t="str">
        <f t="shared" si="308"/>
        <v>ERIC</v>
      </c>
      <c r="G261" s="142"/>
      <c r="H261" s="169">
        <f t="shared" ref="H261:P261" si="328">IFERROR(IF(VLOOKUP($F261,$F$207:$AA$222,H$224,FALSE)=0,"",IF(VLOOKUP($F261,$F$207:$AA$222,H$224,FALSE)&lt;H$249,1,0)),"")</f>
        <v>0</v>
      </c>
      <c r="I261" s="169">
        <f t="shared" si="328"/>
        <v>0</v>
      </c>
      <c r="J261" s="169">
        <f t="shared" si="328"/>
        <v>0</v>
      </c>
      <c r="K261" s="169">
        <f t="shared" si="328"/>
        <v>0</v>
      </c>
      <c r="L261" s="169">
        <f t="shared" si="328"/>
        <v>0</v>
      </c>
      <c r="M261" s="169">
        <f t="shared" si="328"/>
        <v>0</v>
      </c>
      <c r="N261" s="169">
        <f t="shared" si="328"/>
        <v>0</v>
      </c>
      <c r="O261" s="169">
        <f t="shared" si="328"/>
        <v>0</v>
      </c>
      <c r="P261" s="169">
        <f t="shared" si="328"/>
        <v>0</v>
      </c>
      <c r="Q261" s="51"/>
      <c r="R261" s="51"/>
      <c r="S261" s="169">
        <f t="shared" ref="S261:AA261" si="329">IFERROR(IF(VLOOKUP($F261,$F$207:$AA$222,S$224,FALSE)=0,"",IF(VLOOKUP($F261,$F$207:$AA$222,S$224,FALSE)&lt;S$249,1,0)),"")</f>
        <v>0</v>
      </c>
      <c r="T261" s="169">
        <f t="shared" si="329"/>
        <v>0</v>
      </c>
      <c r="U261" s="169">
        <f t="shared" si="329"/>
        <v>0</v>
      </c>
      <c r="V261" s="169">
        <f t="shared" si="329"/>
        <v>0</v>
      </c>
      <c r="W261" s="169">
        <f t="shared" si="329"/>
        <v>0</v>
      </c>
      <c r="X261" s="169">
        <f t="shared" si="329"/>
        <v>0</v>
      </c>
      <c r="Y261" s="169">
        <f t="shared" si="329"/>
        <v>0</v>
      </c>
      <c r="Z261" s="169">
        <f t="shared" si="329"/>
        <v>1</v>
      </c>
      <c r="AA261" s="169">
        <f t="shared" si="329"/>
        <v>0</v>
      </c>
      <c r="AB261" s="75">
        <f t="shared" si="311"/>
        <v>1</v>
      </c>
      <c r="AC261" s="39"/>
      <c r="AD261" s="1"/>
      <c r="AE261" s="1"/>
      <c r="AF261" s="1"/>
    </row>
    <row r="262" ht="27.75" customHeight="1">
      <c r="C262" s="1"/>
      <c r="D262" s="1"/>
      <c r="E262" s="1"/>
      <c r="F262" s="73" t="str">
        <f t="shared" si="308"/>
        <v>MAX</v>
      </c>
      <c r="G262" s="142"/>
      <c r="H262" s="169">
        <f t="shared" ref="H262:P262" si="330">IFERROR(IF(VLOOKUP($F262,$F$207:$AA$222,H$224,FALSE)=0,"",IF(VLOOKUP($F262,$F$207:$AA$222,H$224,FALSE)&lt;H$249,1,0)),"")</f>
        <v>0</v>
      </c>
      <c r="I262" s="169">
        <f t="shared" si="330"/>
        <v>0</v>
      </c>
      <c r="J262" s="169">
        <f t="shared" si="330"/>
        <v>0</v>
      </c>
      <c r="K262" s="169">
        <f t="shared" si="330"/>
        <v>1</v>
      </c>
      <c r="L262" s="169">
        <f t="shared" si="330"/>
        <v>0</v>
      </c>
      <c r="M262" s="169">
        <f t="shared" si="330"/>
        <v>0</v>
      </c>
      <c r="N262" s="169">
        <f t="shared" si="330"/>
        <v>0</v>
      </c>
      <c r="O262" s="169">
        <f t="shared" si="330"/>
        <v>0</v>
      </c>
      <c r="P262" s="169">
        <f t="shared" si="330"/>
        <v>0</v>
      </c>
      <c r="Q262" s="51"/>
      <c r="R262" s="51"/>
      <c r="S262" s="169">
        <f t="shared" ref="S262:AA262" si="331">IFERROR(IF(VLOOKUP($F262,$F$207:$AA$222,S$224,FALSE)=0,"",IF(VLOOKUP($F262,$F$207:$AA$222,S$224,FALSE)&lt;S$249,1,0)),"")</f>
        <v>0</v>
      </c>
      <c r="T262" s="169">
        <f t="shared" si="331"/>
        <v>0</v>
      </c>
      <c r="U262" s="169">
        <f t="shared" si="331"/>
        <v>0</v>
      </c>
      <c r="V262" s="169">
        <f t="shared" si="331"/>
        <v>0</v>
      </c>
      <c r="W262" s="169">
        <f t="shared" si="331"/>
        <v>0</v>
      </c>
      <c r="X262" s="169">
        <f t="shared" si="331"/>
        <v>0</v>
      </c>
      <c r="Y262" s="169">
        <f t="shared" si="331"/>
        <v>0</v>
      </c>
      <c r="Z262" s="169">
        <f t="shared" si="331"/>
        <v>0</v>
      </c>
      <c r="AA262" s="169">
        <f t="shared" si="331"/>
        <v>0</v>
      </c>
      <c r="AB262" s="75">
        <f t="shared" si="311"/>
        <v>1</v>
      </c>
      <c r="AC262" s="39"/>
      <c r="AD262" s="1"/>
      <c r="AE262" s="1"/>
      <c r="AF262" s="1"/>
    </row>
    <row r="263" ht="27.75" customHeight="1">
      <c r="C263" s="1"/>
      <c r="D263" s="1"/>
      <c r="E263" s="1"/>
      <c r="F263" s="73" t="str">
        <f t="shared" si="308"/>
        <v>KIP</v>
      </c>
      <c r="G263" s="142"/>
      <c r="H263" s="169">
        <f t="shared" ref="H263:P263" si="332">IFERROR(IF(VLOOKUP($F263,$F$207:$AA$222,H$224,FALSE)=0,"",IF(VLOOKUP($F263,$F$207:$AA$222,H$224,FALSE)&lt;H$249,1,0)),"")</f>
        <v>0</v>
      </c>
      <c r="I263" s="169">
        <f t="shared" si="332"/>
        <v>0</v>
      </c>
      <c r="J263" s="169">
        <f t="shared" si="332"/>
        <v>0</v>
      </c>
      <c r="K263" s="169">
        <f t="shared" si="332"/>
        <v>0</v>
      </c>
      <c r="L263" s="169">
        <f t="shared" si="332"/>
        <v>0</v>
      </c>
      <c r="M263" s="169">
        <f t="shared" si="332"/>
        <v>0</v>
      </c>
      <c r="N263" s="169">
        <f t="shared" si="332"/>
        <v>0</v>
      </c>
      <c r="O263" s="169">
        <f t="shared" si="332"/>
        <v>0</v>
      </c>
      <c r="P263" s="169">
        <f t="shared" si="332"/>
        <v>0</v>
      </c>
      <c r="Q263" s="51"/>
      <c r="R263" s="51"/>
      <c r="S263" s="169">
        <f t="shared" ref="S263:AA263" si="333">IFERROR(IF(VLOOKUP($F263,$F$207:$AA$222,S$224,FALSE)=0,"",IF(VLOOKUP($F263,$F$207:$AA$222,S$224,FALSE)&lt;S$249,1,0)),"")</f>
        <v>0</v>
      </c>
      <c r="T263" s="169">
        <f t="shared" si="333"/>
        <v>0</v>
      </c>
      <c r="U263" s="169">
        <f t="shared" si="333"/>
        <v>0</v>
      </c>
      <c r="V263" s="169">
        <f t="shared" si="333"/>
        <v>0</v>
      </c>
      <c r="W263" s="169">
        <f t="shared" si="333"/>
        <v>0</v>
      </c>
      <c r="X263" s="169">
        <f t="shared" si="333"/>
        <v>0</v>
      </c>
      <c r="Y263" s="169">
        <f t="shared" si="333"/>
        <v>0</v>
      </c>
      <c r="Z263" s="169">
        <f t="shared" si="333"/>
        <v>0</v>
      </c>
      <c r="AA263" s="169">
        <f t="shared" si="333"/>
        <v>0</v>
      </c>
      <c r="AB263" s="75">
        <f t="shared" si="311"/>
        <v>0</v>
      </c>
      <c r="AC263" s="39"/>
      <c r="AD263" s="1"/>
      <c r="AE263" s="1"/>
      <c r="AF263" s="1"/>
    </row>
    <row r="264" ht="27.75" customHeight="1">
      <c r="C264" s="1"/>
      <c r="D264" s="1"/>
      <c r="E264" s="1"/>
      <c r="F264" s="73" t="str">
        <f t="shared" si="308"/>
        <v>SHEPP</v>
      </c>
      <c r="G264" s="142"/>
      <c r="H264" s="169">
        <f t="shared" ref="H264:P264" si="334">IFERROR(IF(VLOOKUP($F264,$F$207:$AA$222,H$224,FALSE)=0,"",IF(VLOOKUP($F264,$F$207:$AA$222,H$224,FALSE)&lt;H$249,1,0)),"")</f>
        <v>0</v>
      </c>
      <c r="I264" s="169">
        <f t="shared" si="334"/>
        <v>0</v>
      </c>
      <c r="J264" s="169">
        <f t="shared" si="334"/>
        <v>0</v>
      </c>
      <c r="K264" s="169">
        <f t="shared" si="334"/>
        <v>0</v>
      </c>
      <c r="L264" s="169">
        <f t="shared" si="334"/>
        <v>0</v>
      </c>
      <c r="M264" s="169">
        <f t="shared" si="334"/>
        <v>0</v>
      </c>
      <c r="N264" s="169">
        <f t="shared" si="334"/>
        <v>0</v>
      </c>
      <c r="O264" s="169">
        <f t="shared" si="334"/>
        <v>0</v>
      </c>
      <c r="P264" s="169">
        <f t="shared" si="334"/>
        <v>0</v>
      </c>
      <c r="Q264" s="51"/>
      <c r="R264" s="51"/>
      <c r="S264" s="169">
        <f t="shared" ref="S264:AA264" si="335">IFERROR(IF(VLOOKUP($F264,$F$207:$AA$222,S$224,FALSE)=0,"",IF(VLOOKUP($F264,$F$207:$AA$222,S$224,FALSE)&lt;S$249,1,0)),"")</f>
        <v>0</v>
      </c>
      <c r="T264" s="169">
        <f t="shared" si="335"/>
        <v>0</v>
      </c>
      <c r="U264" s="169">
        <f t="shared" si="335"/>
        <v>0</v>
      </c>
      <c r="V264" s="169">
        <f t="shared" si="335"/>
        <v>0</v>
      </c>
      <c r="W264" s="169">
        <f t="shared" si="335"/>
        <v>0</v>
      </c>
      <c r="X264" s="169">
        <f t="shared" si="335"/>
        <v>0</v>
      </c>
      <c r="Y264" s="169">
        <f t="shared" si="335"/>
        <v>0</v>
      </c>
      <c r="Z264" s="169">
        <f t="shared" si="335"/>
        <v>0</v>
      </c>
      <c r="AA264" s="169">
        <f t="shared" si="335"/>
        <v>0</v>
      </c>
      <c r="AB264" s="75">
        <f t="shared" si="311"/>
        <v>0</v>
      </c>
      <c r="AC264" s="39"/>
      <c r="AD264" s="1"/>
      <c r="AE264" s="1"/>
      <c r="AF264" s="1"/>
    </row>
    <row r="265" ht="27.75" customHeight="1">
      <c r="C265" s="1"/>
      <c r="D265" s="1"/>
      <c r="E265" s="1"/>
      <c r="F265" s="73" t="str">
        <f t="shared" si="308"/>
        <v>SKYLAR</v>
      </c>
      <c r="G265" s="142"/>
      <c r="H265" s="169">
        <f t="shared" ref="H265:P265" si="336">IFERROR(IF(VLOOKUP($F265,$F$207:$AA$222,H$224,FALSE)=0,"",IF(VLOOKUP($F265,$F$207:$AA$222,H$224,FALSE)&lt;H$249,1,0)),"")</f>
        <v>0</v>
      </c>
      <c r="I265" s="169">
        <f t="shared" si="336"/>
        <v>0</v>
      </c>
      <c r="J265" s="169">
        <f t="shared" si="336"/>
        <v>0</v>
      </c>
      <c r="K265" s="169">
        <f t="shared" si="336"/>
        <v>0</v>
      </c>
      <c r="L265" s="169">
        <f t="shared" si="336"/>
        <v>0</v>
      </c>
      <c r="M265" s="169">
        <f t="shared" si="336"/>
        <v>0</v>
      </c>
      <c r="N265" s="169">
        <f t="shared" si="336"/>
        <v>0</v>
      </c>
      <c r="O265" s="169">
        <f t="shared" si="336"/>
        <v>0</v>
      </c>
      <c r="P265" s="169">
        <f t="shared" si="336"/>
        <v>0</v>
      </c>
      <c r="Q265" s="51"/>
      <c r="R265" s="51"/>
      <c r="S265" s="169">
        <f t="shared" ref="S265:AA265" si="337">IFERROR(IF(VLOOKUP($F265,$F$207:$AA$222,S$224,FALSE)=0,"",IF(VLOOKUP($F265,$F$207:$AA$222,S$224,FALSE)&lt;S$249,1,0)),"")</f>
        <v>0</v>
      </c>
      <c r="T265" s="169">
        <f t="shared" si="337"/>
        <v>0</v>
      </c>
      <c r="U265" s="169">
        <f t="shared" si="337"/>
        <v>0</v>
      </c>
      <c r="V265" s="169">
        <f t="shared" si="337"/>
        <v>0</v>
      </c>
      <c r="W265" s="169">
        <f t="shared" si="337"/>
        <v>0</v>
      </c>
      <c r="X265" s="169">
        <f t="shared" si="337"/>
        <v>0</v>
      </c>
      <c r="Y265" s="169">
        <f t="shared" si="337"/>
        <v>0</v>
      </c>
      <c r="Z265" s="169">
        <f t="shared" si="337"/>
        <v>0</v>
      </c>
      <c r="AA265" s="169">
        <f t="shared" si="337"/>
        <v>0</v>
      </c>
      <c r="AB265" s="75">
        <f t="shared" si="311"/>
        <v>0</v>
      </c>
      <c r="AC265" s="39"/>
      <c r="AD265" s="1"/>
      <c r="AE265" s="1"/>
      <c r="AF265" s="1"/>
    </row>
    <row r="266" ht="27.75" customHeight="1">
      <c r="C266" s="1"/>
      <c r="D266" s="1"/>
      <c r="E266" s="1"/>
      <c r="F266" s="73" t="str">
        <f t="shared" si="308"/>
        <v>RYAN</v>
      </c>
      <c r="G266" s="142"/>
      <c r="H266" s="169">
        <f t="shared" ref="H266:P266" si="338">IFERROR(IF(VLOOKUP($F266,$F$207:$AA$222,H$224,FALSE)=0,"",IF(VLOOKUP($F266,$F$207:$AA$222,H$224,FALSE)&lt;H$249,1,0)),"")</f>
        <v>0</v>
      </c>
      <c r="I266" s="169">
        <f t="shared" si="338"/>
        <v>0</v>
      </c>
      <c r="J266" s="169">
        <f t="shared" si="338"/>
        <v>0</v>
      </c>
      <c r="K266" s="169">
        <f t="shared" si="338"/>
        <v>0</v>
      </c>
      <c r="L266" s="169">
        <f t="shared" si="338"/>
        <v>0</v>
      </c>
      <c r="M266" s="169">
        <f t="shared" si="338"/>
        <v>0</v>
      </c>
      <c r="N266" s="169">
        <f t="shared" si="338"/>
        <v>0</v>
      </c>
      <c r="O266" s="169">
        <f t="shared" si="338"/>
        <v>0</v>
      </c>
      <c r="P266" s="169">
        <f t="shared" si="338"/>
        <v>0</v>
      </c>
      <c r="Q266" s="51"/>
      <c r="R266" s="51"/>
      <c r="S266" s="169">
        <f t="shared" ref="S266:AA266" si="339">IFERROR(IF(VLOOKUP($F266,$F$207:$AA$222,S$224,FALSE)=0,"",IF(VLOOKUP($F266,$F$207:$AA$222,S$224,FALSE)&lt;S$249,1,0)),"")</f>
        <v>0</v>
      </c>
      <c r="T266" s="169">
        <f t="shared" si="339"/>
        <v>0</v>
      </c>
      <c r="U266" s="169">
        <f t="shared" si="339"/>
        <v>0</v>
      </c>
      <c r="V266" s="169">
        <f t="shared" si="339"/>
        <v>0</v>
      </c>
      <c r="W266" s="169">
        <f t="shared" si="339"/>
        <v>0</v>
      </c>
      <c r="X266" s="169">
        <f t="shared" si="339"/>
        <v>0</v>
      </c>
      <c r="Y266" s="169">
        <f t="shared" si="339"/>
        <v>0</v>
      </c>
      <c r="Z266" s="169">
        <f t="shared" si="339"/>
        <v>0</v>
      </c>
      <c r="AA266" s="169">
        <f t="shared" si="339"/>
        <v>0</v>
      </c>
      <c r="AB266" s="75">
        <f t="shared" si="311"/>
        <v>0</v>
      </c>
      <c r="AC266" s="39"/>
      <c r="AD266" s="1"/>
      <c r="AE266" s="1"/>
      <c r="AF266" s="1"/>
    </row>
    <row r="267" ht="7.5" customHeight="1">
      <c r="C267" s="1"/>
      <c r="D267" s="1"/>
      <c r="E267" s="1"/>
      <c r="F267" s="9"/>
      <c r="G267" s="9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10"/>
      <c r="AC267" s="39"/>
      <c r="AD267" s="1"/>
      <c r="AE267" s="1"/>
      <c r="AF267" s="1"/>
    </row>
    <row r="268" ht="24.75" customHeight="1">
      <c r="C268" s="1"/>
      <c r="D268" s="1"/>
      <c r="E268" s="1"/>
      <c r="F268" s="180" t="s">
        <v>31</v>
      </c>
      <c r="G268" s="142"/>
      <c r="H268" s="66">
        <f t="shared" ref="H268:P268" si="340">SUM(H251:H266)</f>
        <v>0</v>
      </c>
      <c r="I268" s="66">
        <f t="shared" si="340"/>
        <v>0</v>
      </c>
      <c r="J268" s="66">
        <f t="shared" si="340"/>
        <v>0</v>
      </c>
      <c r="K268" s="66">
        <f t="shared" si="340"/>
        <v>2</v>
      </c>
      <c r="L268" s="66">
        <f t="shared" si="340"/>
        <v>0</v>
      </c>
      <c r="M268" s="66">
        <f t="shared" si="340"/>
        <v>0</v>
      </c>
      <c r="N268" s="66">
        <f t="shared" si="340"/>
        <v>0</v>
      </c>
      <c r="O268" s="66">
        <f t="shared" si="340"/>
        <v>0</v>
      </c>
      <c r="P268" s="66">
        <f t="shared" si="340"/>
        <v>1</v>
      </c>
      <c r="Q268" s="1"/>
      <c r="R268" s="1"/>
      <c r="S268" s="66">
        <f t="shared" ref="S268:AB268" si="341">SUM(S251:S266)</f>
        <v>0</v>
      </c>
      <c r="T268" s="66">
        <f t="shared" si="341"/>
        <v>1</v>
      </c>
      <c r="U268" s="66">
        <f t="shared" si="341"/>
        <v>0</v>
      </c>
      <c r="V268" s="66">
        <f t="shared" si="341"/>
        <v>0</v>
      </c>
      <c r="W268" s="66">
        <f t="shared" si="341"/>
        <v>0</v>
      </c>
      <c r="X268" s="66">
        <f t="shared" si="341"/>
        <v>1</v>
      </c>
      <c r="Y268" s="66">
        <f t="shared" si="341"/>
        <v>0</v>
      </c>
      <c r="Z268" s="66">
        <f t="shared" si="341"/>
        <v>2</v>
      </c>
      <c r="AA268" s="66">
        <f t="shared" si="341"/>
        <v>0</v>
      </c>
      <c r="AB268" s="66">
        <f t="shared" si="341"/>
        <v>7</v>
      </c>
      <c r="AC268" s="1"/>
      <c r="AD268" s="1"/>
      <c r="AE268" s="1"/>
      <c r="AF268" s="1"/>
    </row>
    <row r="269" ht="14.25" customHeight="1"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4.25" customHeight="1"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4.25" customHeight="1"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4.25" customHeight="1"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4.25" customHeight="1"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4.25" customHeight="1"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4.25" customHeight="1"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4.25" customHeight="1"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4.25" customHeight="1"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4.2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4.2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4.2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4.2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4.2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4.2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4.2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4.2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4.2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4.2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4.2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4.2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4.2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4.2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4.2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4.2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4.2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4.2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4.2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4.2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4.2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4.2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4.2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4.2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4.2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4.2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4.2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4.2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4.2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4.2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4.2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4.2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4.2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4.2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4.2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4.2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4.2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4.2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4.2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4.2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4.2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4.2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4.2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4.2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4.2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4.2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4.2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4.2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4.2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4.2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4.2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4.2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4.2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4.2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4.2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4.2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4.2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4.2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4.2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4.2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4.2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4.2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4.2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4.2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4.2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4.2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4.2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4.2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4.2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4.2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4.2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4.2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4.2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4.2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4.2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4.2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4.2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4.2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4.2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4.2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4.2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4.2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4.2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4.2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4.2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4.2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4.2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4.2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4.2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4.2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4.2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4.2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4.2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4.2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4.2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4.2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4.2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4.2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4.2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4.2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4.2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4.2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4.2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4.2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4.2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4.2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4.2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4.2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4.2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4.2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4.2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4.2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4.2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4.2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4.2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4.2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4.2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4.2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4.2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4.2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4.2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4.2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4.2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4.2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4.2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4.2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4.2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4.2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4.2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4.2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4.2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4.2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4.2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4.2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4.2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4.2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4.2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4.2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4.2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4.2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4.2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4.2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4.2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4.2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4.2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4.2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4.2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4.2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4.2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4.2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4.2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4.2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4.2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4.2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4.2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4.2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4.2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4.2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4.2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4.2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4.2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4.2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4.2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4.2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4.2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4.2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4.2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4.2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4.2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4.2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4.2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4.2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4.2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4.2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4.2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4.2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4.2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4.2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4.2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4.2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4.2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4.2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4.2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4.2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4.2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4.2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4.2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4.2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4.2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4.2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4.2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0">
    <mergeCell ref="F40:G40"/>
    <mergeCell ref="F41:G41"/>
    <mergeCell ref="F43:F46"/>
    <mergeCell ref="G43:G46"/>
    <mergeCell ref="H44:H46"/>
    <mergeCell ref="I44:I46"/>
    <mergeCell ref="J44:J46"/>
    <mergeCell ref="J61:J63"/>
    <mergeCell ref="K61:K63"/>
    <mergeCell ref="L61:L63"/>
    <mergeCell ref="M61:M63"/>
    <mergeCell ref="N61:N63"/>
    <mergeCell ref="O61:O63"/>
    <mergeCell ref="P61:P63"/>
    <mergeCell ref="Y61:Y63"/>
    <mergeCell ref="Z61:Z63"/>
    <mergeCell ref="AA61:AA63"/>
    <mergeCell ref="AB61:AB63"/>
    <mergeCell ref="AC61:AC63"/>
    <mergeCell ref="Q61:Q63"/>
    <mergeCell ref="S61:S63"/>
    <mergeCell ref="T61:T63"/>
    <mergeCell ref="U61:U63"/>
    <mergeCell ref="V61:V63"/>
    <mergeCell ref="W61:W63"/>
    <mergeCell ref="X61:X63"/>
    <mergeCell ref="F48:G48"/>
    <mergeCell ref="F49:G49"/>
    <mergeCell ref="F56:F57"/>
    <mergeCell ref="F60:F63"/>
    <mergeCell ref="G60:G63"/>
    <mergeCell ref="H61:H63"/>
    <mergeCell ref="I61:I63"/>
    <mergeCell ref="AB69:AB71"/>
    <mergeCell ref="AC69:AC71"/>
    <mergeCell ref="F78:AC78"/>
    <mergeCell ref="J79:N79"/>
    <mergeCell ref="V79:Z79"/>
    <mergeCell ref="K69:K71"/>
    <mergeCell ref="L69:L71"/>
    <mergeCell ref="M69:M71"/>
    <mergeCell ref="N69:N71"/>
    <mergeCell ref="O69:O71"/>
    <mergeCell ref="P69:P71"/>
    <mergeCell ref="Q69:Q71"/>
    <mergeCell ref="F65:G65"/>
    <mergeCell ref="F66:G66"/>
    <mergeCell ref="F68:F71"/>
    <mergeCell ref="G68:G71"/>
    <mergeCell ref="H69:H71"/>
    <mergeCell ref="I69:I71"/>
    <mergeCell ref="J69:J71"/>
    <mergeCell ref="J86:J88"/>
    <mergeCell ref="K86:K88"/>
    <mergeCell ref="L86:L88"/>
    <mergeCell ref="M86:M88"/>
    <mergeCell ref="N86:N88"/>
    <mergeCell ref="O86:O88"/>
    <mergeCell ref="P86:P88"/>
    <mergeCell ref="Y86:Y88"/>
    <mergeCell ref="Z86:Z88"/>
    <mergeCell ref="AA86:AA88"/>
    <mergeCell ref="AB86:AB88"/>
    <mergeCell ref="AC86:AC88"/>
    <mergeCell ref="Q86:Q88"/>
    <mergeCell ref="S86:S88"/>
    <mergeCell ref="T86:T88"/>
    <mergeCell ref="U86:U88"/>
    <mergeCell ref="V86:V88"/>
    <mergeCell ref="W86:W88"/>
    <mergeCell ref="X86:X88"/>
    <mergeCell ref="F73:G73"/>
    <mergeCell ref="F74:G74"/>
    <mergeCell ref="F81:F82"/>
    <mergeCell ref="F85:F88"/>
    <mergeCell ref="G85:G88"/>
    <mergeCell ref="H86:H88"/>
    <mergeCell ref="I86:I88"/>
    <mergeCell ref="AB94:AB96"/>
    <mergeCell ref="AC94:AC96"/>
    <mergeCell ref="K94:K96"/>
    <mergeCell ref="L94:L96"/>
    <mergeCell ref="M94:M96"/>
    <mergeCell ref="N94:N96"/>
    <mergeCell ref="O94:O96"/>
    <mergeCell ref="P94:P96"/>
    <mergeCell ref="Q94:Q96"/>
    <mergeCell ref="Z94:Z96"/>
    <mergeCell ref="AA94:AA96"/>
    <mergeCell ref="F103:AC103"/>
    <mergeCell ref="J104:N104"/>
    <mergeCell ref="V104:Z104"/>
    <mergeCell ref="S94:S96"/>
    <mergeCell ref="T94:T96"/>
    <mergeCell ref="U94:U96"/>
    <mergeCell ref="V94:V96"/>
    <mergeCell ref="W94:W96"/>
    <mergeCell ref="X94:X96"/>
    <mergeCell ref="Y94:Y96"/>
    <mergeCell ref="F90:G90"/>
    <mergeCell ref="F91:G91"/>
    <mergeCell ref="F93:F96"/>
    <mergeCell ref="G93:G96"/>
    <mergeCell ref="H94:H96"/>
    <mergeCell ref="I94:I96"/>
    <mergeCell ref="J94:J96"/>
    <mergeCell ref="J111:J113"/>
    <mergeCell ref="K111:K113"/>
    <mergeCell ref="L111:L113"/>
    <mergeCell ref="M111:M113"/>
    <mergeCell ref="N111:N113"/>
    <mergeCell ref="O111:O113"/>
    <mergeCell ref="P111:P113"/>
    <mergeCell ref="Y111:Y113"/>
    <mergeCell ref="Z111:Z113"/>
    <mergeCell ref="AA111:AA113"/>
    <mergeCell ref="AB111:AB113"/>
    <mergeCell ref="AC111:AC113"/>
    <mergeCell ref="Q111:Q113"/>
    <mergeCell ref="S111:S113"/>
    <mergeCell ref="T111:T113"/>
    <mergeCell ref="U111:U113"/>
    <mergeCell ref="V111:V113"/>
    <mergeCell ref="W111:W113"/>
    <mergeCell ref="X111:X113"/>
    <mergeCell ref="F98:G98"/>
    <mergeCell ref="F99:G99"/>
    <mergeCell ref="F106:F107"/>
    <mergeCell ref="F110:F113"/>
    <mergeCell ref="G110:G113"/>
    <mergeCell ref="H111:H113"/>
    <mergeCell ref="I111:I113"/>
    <mergeCell ref="AB119:AB121"/>
    <mergeCell ref="AC119:AC121"/>
    <mergeCell ref="K119:K121"/>
    <mergeCell ref="L119:L121"/>
    <mergeCell ref="M119:M121"/>
    <mergeCell ref="N119:N121"/>
    <mergeCell ref="O119:O121"/>
    <mergeCell ref="P119:P121"/>
    <mergeCell ref="Q119:Q121"/>
    <mergeCell ref="Z119:Z121"/>
    <mergeCell ref="AA119:AA121"/>
    <mergeCell ref="F128:AC128"/>
    <mergeCell ref="J129:N129"/>
    <mergeCell ref="V129:Z129"/>
    <mergeCell ref="S119:S121"/>
    <mergeCell ref="T119:T121"/>
    <mergeCell ref="U119:U121"/>
    <mergeCell ref="V119:V121"/>
    <mergeCell ref="W119:W121"/>
    <mergeCell ref="X119:X121"/>
    <mergeCell ref="Y119:Y121"/>
    <mergeCell ref="F115:G115"/>
    <mergeCell ref="F116:G116"/>
    <mergeCell ref="F118:F121"/>
    <mergeCell ref="G118:G121"/>
    <mergeCell ref="H119:H121"/>
    <mergeCell ref="I119:I121"/>
    <mergeCell ref="J119:J121"/>
    <mergeCell ref="J136:J138"/>
    <mergeCell ref="K136:K138"/>
    <mergeCell ref="L136:L138"/>
    <mergeCell ref="M136:M138"/>
    <mergeCell ref="N136:N138"/>
    <mergeCell ref="O136:O138"/>
    <mergeCell ref="P136:P138"/>
    <mergeCell ref="Y136:Y138"/>
    <mergeCell ref="Z136:Z138"/>
    <mergeCell ref="AA136:AA138"/>
    <mergeCell ref="AB136:AB138"/>
    <mergeCell ref="AC136:AC138"/>
    <mergeCell ref="Q136:Q138"/>
    <mergeCell ref="S136:S138"/>
    <mergeCell ref="T136:T138"/>
    <mergeCell ref="U136:U138"/>
    <mergeCell ref="V136:V138"/>
    <mergeCell ref="W136:W138"/>
    <mergeCell ref="X136:X138"/>
    <mergeCell ref="F123:G123"/>
    <mergeCell ref="F124:G124"/>
    <mergeCell ref="F131:F132"/>
    <mergeCell ref="F135:F138"/>
    <mergeCell ref="G135:G138"/>
    <mergeCell ref="H136:H138"/>
    <mergeCell ref="I136:I138"/>
    <mergeCell ref="AB144:AB146"/>
    <mergeCell ref="AC144:AC146"/>
    <mergeCell ref="K144:K146"/>
    <mergeCell ref="L144:L146"/>
    <mergeCell ref="M144:M146"/>
    <mergeCell ref="N144:N146"/>
    <mergeCell ref="O144:O146"/>
    <mergeCell ref="P144:P146"/>
    <mergeCell ref="Q144:Q146"/>
    <mergeCell ref="Z144:Z146"/>
    <mergeCell ref="AA144:AA146"/>
    <mergeCell ref="F153:AC153"/>
    <mergeCell ref="J154:N154"/>
    <mergeCell ref="V154:Z154"/>
    <mergeCell ref="S144:S146"/>
    <mergeCell ref="T144:T146"/>
    <mergeCell ref="U144:U146"/>
    <mergeCell ref="V144:V146"/>
    <mergeCell ref="W144:W146"/>
    <mergeCell ref="X144:X146"/>
    <mergeCell ref="Y144:Y146"/>
    <mergeCell ref="F140:G140"/>
    <mergeCell ref="F141:G141"/>
    <mergeCell ref="F143:F146"/>
    <mergeCell ref="G143:G146"/>
    <mergeCell ref="H144:H146"/>
    <mergeCell ref="I144:I146"/>
    <mergeCell ref="J144:J146"/>
    <mergeCell ref="J161:J163"/>
    <mergeCell ref="K161:K163"/>
    <mergeCell ref="L161:L163"/>
    <mergeCell ref="M161:M163"/>
    <mergeCell ref="N161:N163"/>
    <mergeCell ref="O161:O163"/>
    <mergeCell ref="P161:P163"/>
    <mergeCell ref="Y161:Y163"/>
    <mergeCell ref="Z161:Z163"/>
    <mergeCell ref="AA161:AA163"/>
    <mergeCell ref="AB161:AB163"/>
    <mergeCell ref="AC161:AC163"/>
    <mergeCell ref="Q161:Q163"/>
    <mergeCell ref="S161:S163"/>
    <mergeCell ref="T161:T163"/>
    <mergeCell ref="U161:U163"/>
    <mergeCell ref="V161:V163"/>
    <mergeCell ref="W161:W163"/>
    <mergeCell ref="X161:X163"/>
    <mergeCell ref="F148:G148"/>
    <mergeCell ref="F149:G149"/>
    <mergeCell ref="F156:F157"/>
    <mergeCell ref="F160:F163"/>
    <mergeCell ref="G160:G163"/>
    <mergeCell ref="H161:H163"/>
    <mergeCell ref="I161:I163"/>
    <mergeCell ref="AB169:AB171"/>
    <mergeCell ref="AC169:AC171"/>
    <mergeCell ref="K169:K171"/>
    <mergeCell ref="L169:L171"/>
    <mergeCell ref="M169:M171"/>
    <mergeCell ref="N169:N171"/>
    <mergeCell ref="O169:O171"/>
    <mergeCell ref="P169:P171"/>
    <mergeCell ref="Q169:Q171"/>
    <mergeCell ref="Z169:Z171"/>
    <mergeCell ref="AA169:AA171"/>
    <mergeCell ref="F178:AC178"/>
    <mergeCell ref="J179:N179"/>
    <mergeCell ref="V179:Z179"/>
    <mergeCell ref="S169:S171"/>
    <mergeCell ref="T169:T171"/>
    <mergeCell ref="U169:U171"/>
    <mergeCell ref="V169:V171"/>
    <mergeCell ref="W169:W171"/>
    <mergeCell ref="X169:X171"/>
    <mergeCell ref="Y169:Y171"/>
    <mergeCell ref="F165:G165"/>
    <mergeCell ref="F166:G166"/>
    <mergeCell ref="F168:F171"/>
    <mergeCell ref="G168:G171"/>
    <mergeCell ref="H169:H171"/>
    <mergeCell ref="I169:I171"/>
    <mergeCell ref="J169:J171"/>
    <mergeCell ref="J186:J188"/>
    <mergeCell ref="K186:K188"/>
    <mergeCell ref="L186:L188"/>
    <mergeCell ref="M186:M188"/>
    <mergeCell ref="N186:N188"/>
    <mergeCell ref="O186:O188"/>
    <mergeCell ref="P186:P188"/>
    <mergeCell ref="Y186:Y188"/>
    <mergeCell ref="Z186:Z188"/>
    <mergeCell ref="AA186:AA188"/>
    <mergeCell ref="AB186:AB188"/>
    <mergeCell ref="AC186:AC188"/>
    <mergeCell ref="Q186:Q188"/>
    <mergeCell ref="S186:S188"/>
    <mergeCell ref="T186:T188"/>
    <mergeCell ref="U186:U188"/>
    <mergeCell ref="V186:V188"/>
    <mergeCell ref="W186:W188"/>
    <mergeCell ref="X186:X188"/>
    <mergeCell ref="F173:G173"/>
    <mergeCell ref="F174:G174"/>
    <mergeCell ref="F181:F182"/>
    <mergeCell ref="F185:F188"/>
    <mergeCell ref="G185:G188"/>
    <mergeCell ref="H186:H188"/>
    <mergeCell ref="I186:I188"/>
    <mergeCell ref="AB194:AB196"/>
    <mergeCell ref="AC194:AC196"/>
    <mergeCell ref="K194:K196"/>
    <mergeCell ref="L194:L196"/>
    <mergeCell ref="M194:M196"/>
    <mergeCell ref="N194:N196"/>
    <mergeCell ref="O194:O196"/>
    <mergeCell ref="P194:P196"/>
    <mergeCell ref="Q194:Q196"/>
    <mergeCell ref="I11:I13"/>
    <mergeCell ref="J11:J13"/>
    <mergeCell ref="K11:K13"/>
    <mergeCell ref="L11:L13"/>
    <mergeCell ref="M11:M13"/>
    <mergeCell ref="N11:N13"/>
    <mergeCell ref="O11:O13"/>
    <mergeCell ref="P11:P13"/>
    <mergeCell ref="T11:T13"/>
    <mergeCell ref="U11:U13"/>
    <mergeCell ref="V11:V13"/>
    <mergeCell ref="W11:W13"/>
    <mergeCell ref="X11:X13"/>
    <mergeCell ref="Y11:Y13"/>
    <mergeCell ref="Q11:Q13"/>
    <mergeCell ref="S11:S13"/>
    <mergeCell ref="Z11:Z13"/>
    <mergeCell ref="AA11:AA13"/>
    <mergeCell ref="AB11:AB13"/>
    <mergeCell ref="AC11:AC13"/>
    <mergeCell ref="F3:AC3"/>
    <mergeCell ref="J4:N4"/>
    <mergeCell ref="V4:Z4"/>
    <mergeCell ref="F6:F7"/>
    <mergeCell ref="F10:F13"/>
    <mergeCell ref="G10:G13"/>
    <mergeCell ref="H11:H13"/>
    <mergeCell ref="K19:K21"/>
    <mergeCell ref="L19:L21"/>
    <mergeCell ref="M19:M21"/>
    <mergeCell ref="N19:N21"/>
    <mergeCell ref="O19:O21"/>
    <mergeCell ref="P19:P21"/>
    <mergeCell ref="Q19:Q21"/>
    <mergeCell ref="Z19:Z21"/>
    <mergeCell ref="AA19:AA21"/>
    <mergeCell ref="AB19:AB21"/>
    <mergeCell ref="AC19:AC21"/>
    <mergeCell ref="F28:AC28"/>
    <mergeCell ref="J29:N29"/>
    <mergeCell ref="V29:Z29"/>
    <mergeCell ref="S19:S21"/>
    <mergeCell ref="T19:T21"/>
    <mergeCell ref="U19:U21"/>
    <mergeCell ref="V19:V21"/>
    <mergeCell ref="W19:W21"/>
    <mergeCell ref="X19:X21"/>
    <mergeCell ref="Y19:Y21"/>
    <mergeCell ref="Z44:Z46"/>
    <mergeCell ref="AA44:AA46"/>
    <mergeCell ref="S44:S46"/>
    <mergeCell ref="T44:T46"/>
    <mergeCell ref="U44:U46"/>
    <mergeCell ref="V44:V46"/>
    <mergeCell ref="W44:W46"/>
    <mergeCell ref="X44:X46"/>
    <mergeCell ref="Y44:Y46"/>
    <mergeCell ref="F15:G15"/>
    <mergeCell ref="F16:G16"/>
    <mergeCell ref="F18:F21"/>
    <mergeCell ref="G18:G21"/>
    <mergeCell ref="H19:H21"/>
    <mergeCell ref="I19:I21"/>
    <mergeCell ref="J19:J21"/>
    <mergeCell ref="J36:J38"/>
    <mergeCell ref="K36:K38"/>
    <mergeCell ref="L36:L38"/>
    <mergeCell ref="M36:M38"/>
    <mergeCell ref="N36:N38"/>
    <mergeCell ref="O36:O38"/>
    <mergeCell ref="P36:P38"/>
    <mergeCell ref="Y36:Y38"/>
    <mergeCell ref="Z36:Z38"/>
    <mergeCell ref="AA36:AA38"/>
    <mergeCell ref="AB36:AB38"/>
    <mergeCell ref="AC36:AC38"/>
    <mergeCell ref="Q36:Q38"/>
    <mergeCell ref="S36:S38"/>
    <mergeCell ref="T36:T38"/>
    <mergeCell ref="U36:U38"/>
    <mergeCell ref="V36:V38"/>
    <mergeCell ref="W36:W38"/>
    <mergeCell ref="X36:X38"/>
    <mergeCell ref="F23:G23"/>
    <mergeCell ref="F24:G24"/>
    <mergeCell ref="F31:F32"/>
    <mergeCell ref="F35:F38"/>
    <mergeCell ref="G35:G38"/>
    <mergeCell ref="H36:H38"/>
    <mergeCell ref="I36:I38"/>
    <mergeCell ref="AB44:AB46"/>
    <mergeCell ref="AC44:AC46"/>
    <mergeCell ref="F53:AC53"/>
    <mergeCell ref="J54:N54"/>
    <mergeCell ref="V54:Z54"/>
    <mergeCell ref="K44:K46"/>
    <mergeCell ref="L44:L46"/>
    <mergeCell ref="M44:M46"/>
    <mergeCell ref="N44:N46"/>
    <mergeCell ref="O44:O46"/>
    <mergeCell ref="P44:P46"/>
    <mergeCell ref="Q44:Q46"/>
    <mergeCell ref="Z69:Z71"/>
    <mergeCell ref="AA69:AA71"/>
    <mergeCell ref="S69:S71"/>
    <mergeCell ref="T69:T71"/>
    <mergeCell ref="U69:U71"/>
    <mergeCell ref="V69:V71"/>
    <mergeCell ref="W69:W71"/>
    <mergeCell ref="X69:X71"/>
    <mergeCell ref="Y69:Y71"/>
    <mergeCell ref="Z194:Z196"/>
    <mergeCell ref="AA194:AA196"/>
    <mergeCell ref="S194:S196"/>
    <mergeCell ref="T194:T196"/>
    <mergeCell ref="U194:U196"/>
    <mergeCell ref="V194:V196"/>
    <mergeCell ref="W194:W196"/>
    <mergeCell ref="X194:X196"/>
    <mergeCell ref="Y194:Y196"/>
    <mergeCell ref="F190:G190"/>
    <mergeCell ref="F191:G191"/>
    <mergeCell ref="F193:F196"/>
    <mergeCell ref="G193:G196"/>
    <mergeCell ref="H194:H196"/>
    <mergeCell ref="I194:I196"/>
    <mergeCell ref="J194:J196"/>
    <mergeCell ref="F198:G198"/>
    <mergeCell ref="F199:G199"/>
    <mergeCell ref="F244:G244"/>
    <mergeCell ref="F251:G251"/>
    <mergeCell ref="F252:G252"/>
    <mergeCell ref="F253:G253"/>
    <mergeCell ref="F254:G254"/>
    <mergeCell ref="F262:G262"/>
    <mergeCell ref="F263:G263"/>
    <mergeCell ref="F264:G264"/>
    <mergeCell ref="F265:G265"/>
    <mergeCell ref="F266:G266"/>
    <mergeCell ref="F268:G268"/>
    <mergeCell ref="F255:G255"/>
    <mergeCell ref="F256:G256"/>
    <mergeCell ref="F257:G257"/>
    <mergeCell ref="F258:G258"/>
    <mergeCell ref="F259:G259"/>
    <mergeCell ref="F260:G260"/>
    <mergeCell ref="F261:G261"/>
  </mergeCells>
  <conditionalFormatting sqref="H251:P251">
    <cfRule type="expression" dxfId="0" priority="1">
      <formula>AND(H251=H$161,H$163="1")</formula>
    </cfRule>
  </conditionalFormatting>
  <conditionalFormatting sqref="I251:P251">
    <cfRule type="expression" dxfId="0" priority="2">
      <formula>AND(I251=$H$161,$H$163="1")</formula>
    </cfRule>
  </conditionalFormatting>
  <conditionalFormatting sqref="H252:P266">
    <cfRule type="expression" dxfId="0" priority="3">
      <formula>AND(H252=H$161,H$163="1")</formula>
    </cfRule>
  </conditionalFormatting>
  <conditionalFormatting sqref="I252:P266">
    <cfRule type="expression" dxfId="0" priority="4">
      <formula>AND(I252=$H$161,$H$163="1")</formula>
    </cfRule>
  </conditionalFormatting>
  <conditionalFormatting sqref="S251:AA251">
    <cfRule type="expression" dxfId="0" priority="5">
      <formula>AND(S251=S$161,S$163="1")</formula>
    </cfRule>
  </conditionalFormatting>
  <conditionalFormatting sqref="T251:AA251">
    <cfRule type="expression" dxfId="0" priority="6">
      <formula>AND(T251=$H$161,$H$163="1")</formula>
    </cfRule>
  </conditionalFormatting>
  <conditionalFormatting sqref="S252:AA266">
    <cfRule type="expression" dxfId="0" priority="7">
      <formula>AND(S252=S$161,S$163="1")</formula>
    </cfRule>
  </conditionalFormatting>
  <conditionalFormatting sqref="T252:AA266">
    <cfRule type="expression" dxfId="0" priority="8">
      <formula>AND(T252=$H$161,$H$163="1")</formula>
    </cfRule>
  </conditionalFormatting>
  <conditionalFormatting sqref="AB251">
    <cfRule type="expression" dxfId="0" priority="9">
      <formula>AND(AB251=AB$161,AB$163="1")</formula>
    </cfRule>
  </conditionalFormatting>
  <conditionalFormatting sqref="AB251">
    <cfRule type="expression" dxfId="0" priority="10">
      <formula>AND(AB251=$H$161,$H$163="1")</formula>
    </cfRule>
  </conditionalFormatting>
  <conditionalFormatting sqref="AB252:AB266">
    <cfRule type="expression" dxfId="0" priority="11">
      <formula>AND(AB252=AB$161,AB$163="1")</formula>
    </cfRule>
  </conditionalFormatting>
  <conditionalFormatting sqref="AB252:AB266">
    <cfRule type="expression" dxfId="0" priority="12">
      <formula>AND(AB252=$H$161,$H$163="1")</formula>
    </cfRule>
  </conditionalFormatting>
  <conditionalFormatting sqref="H227:P242 S227:AA243">
    <cfRule type="expression" dxfId="0" priority="13">
      <formula>AND(H227=H$161,H$163="1")</formula>
    </cfRule>
  </conditionalFormatting>
  <conditionalFormatting sqref="I227:P242">
    <cfRule type="expression" dxfId="0" priority="14">
      <formula>AND(I227=$H$161,$H$163="1")</formula>
    </cfRule>
  </conditionalFormatting>
  <conditionalFormatting sqref="S227:AA242">
    <cfRule type="expression" dxfId="0" priority="15">
      <formula>AND(S227=S$161,S$163="1")</formula>
    </cfRule>
  </conditionalFormatting>
  <conditionalFormatting sqref="T227:AA242">
    <cfRule type="expression" dxfId="0" priority="16">
      <formula>AND(T227=$H$161,$H$163="1")</formula>
    </cfRule>
  </conditionalFormatting>
  <dataValidations>
    <dataValidation type="list" allowBlank="1" showErrorMessage="1" sqref="F10 F18 F35 F43 F60 F68 F85 F93 F110 F118 F135 F143 F160 F168 F185 F193 F227:F243 F251:F267">
      <formula1>HANDICAPS!$B$8:$B$23</formula1>
    </dataValidation>
    <dataValidation type="list" allowBlank="1" showErrorMessage="1" sqref="G227:G242">
      <formula1>$D$227:$D$228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0.75"/>
    <col customWidth="1" min="3" max="3" width="32.75"/>
    <col customWidth="1" min="4" max="4" width="9.88"/>
    <col customWidth="1" min="5" max="14" width="5.88"/>
    <col customWidth="1" min="15" max="15" width="1.5"/>
    <col customWidth="1" min="16" max="26" width="5.88"/>
    <col customWidth="1" min="27" max="27" width="1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.7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5"/>
    </row>
    <row r="3" ht="19.5" customHeight="1">
      <c r="A3" s="1"/>
      <c r="B3" s="7"/>
      <c r="C3" s="8" t="s">
        <v>192</v>
      </c>
      <c r="D3" s="6"/>
      <c r="E3" s="6"/>
      <c r="F3" s="6"/>
      <c r="G3" s="9"/>
      <c r="H3" s="9"/>
      <c r="I3" s="9"/>
      <c r="J3" s="10" t="s">
        <v>193</v>
      </c>
      <c r="T3" s="11"/>
      <c r="U3" s="11"/>
      <c r="V3" s="11"/>
      <c r="W3" s="11"/>
      <c r="X3" s="1"/>
      <c r="Y3" s="1"/>
      <c r="Z3" s="1"/>
      <c r="AA3" s="12"/>
    </row>
    <row r="4" ht="18.75" customHeight="1">
      <c r="A4" s="1"/>
      <c r="B4" s="7"/>
      <c r="C4" s="1"/>
      <c r="D4" s="1"/>
      <c r="E4" s="1"/>
      <c r="F4" s="1"/>
      <c r="G4" s="13" t="s">
        <v>194</v>
      </c>
      <c r="H4" s="14"/>
      <c r="I4" s="14"/>
      <c r="J4" s="14"/>
      <c r="K4" s="14"/>
      <c r="L4" s="1"/>
      <c r="M4" s="1"/>
      <c r="N4" s="1"/>
      <c r="O4" s="1"/>
      <c r="P4" s="1"/>
      <c r="Q4" s="1"/>
      <c r="R4" s="1"/>
      <c r="S4" s="13" t="s">
        <v>195</v>
      </c>
      <c r="T4" s="14"/>
      <c r="U4" s="14"/>
      <c r="V4" s="14"/>
      <c r="W4" s="14"/>
      <c r="X4" s="1"/>
      <c r="Y4" s="1"/>
      <c r="Z4" s="1"/>
      <c r="AA4" s="12"/>
    </row>
    <row r="5" ht="15.0" customHeight="1">
      <c r="A5" s="1"/>
      <c r="B5" s="7"/>
      <c r="C5" s="1"/>
      <c r="D5" s="15" t="s">
        <v>4</v>
      </c>
      <c r="E5" s="15">
        <v>1.0</v>
      </c>
      <c r="F5" s="15">
        <v>2.0</v>
      </c>
      <c r="G5" s="15">
        <v>3.0</v>
      </c>
      <c r="H5" s="15">
        <v>4.0</v>
      </c>
      <c r="I5" s="15">
        <v>5.0</v>
      </c>
      <c r="J5" s="15">
        <v>6.0</v>
      </c>
      <c r="K5" s="15">
        <v>7.0</v>
      </c>
      <c r="L5" s="15">
        <v>8.0</v>
      </c>
      <c r="M5" s="15">
        <v>9.0</v>
      </c>
      <c r="N5" s="15" t="s">
        <v>5</v>
      </c>
      <c r="O5" s="16"/>
      <c r="P5" s="15">
        <v>1.0</v>
      </c>
      <c r="Q5" s="15">
        <v>2.0</v>
      </c>
      <c r="R5" s="15">
        <v>3.0</v>
      </c>
      <c r="S5" s="15">
        <v>4.0</v>
      </c>
      <c r="T5" s="15">
        <v>5.0</v>
      </c>
      <c r="U5" s="15">
        <v>6.0</v>
      </c>
      <c r="V5" s="15">
        <v>7.0</v>
      </c>
      <c r="W5" s="15">
        <v>8.0</v>
      </c>
      <c r="X5" s="15">
        <v>9.0</v>
      </c>
      <c r="Y5" s="15" t="s">
        <v>6</v>
      </c>
      <c r="Z5" s="15" t="s">
        <v>7</v>
      </c>
      <c r="AA5" s="12"/>
    </row>
    <row r="6" ht="15.0" customHeight="1">
      <c r="A6" s="1"/>
      <c r="B6" s="7"/>
      <c r="C6" s="1"/>
      <c r="D6" s="15" t="s">
        <v>196</v>
      </c>
      <c r="E6" s="15">
        <v>405.0</v>
      </c>
      <c r="F6" s="15">
        <v>420.0</v>
      </c>
      <c r="G6" s="15">
        <v>368.0</v>
      </c>
      <c r="H6" s="15">
        <v>151.0</v>
      </c>
      <c r="I6" s="15">
        <v>332.0</v>
      </c>
      <c r="J6" s="15">
        <v>388.0</v>
      </c>
      <c r="K6" s="15">
        <v>490.0</v>
      </c>
      <c r="L6" s="15">
        <v>206.0</v>
      </c>
      <c r="M6" s="15">
        <v>490.0</v>
      </c>
      <c r="N6" s="15">
        <f t="shared" ref="N6:N7" si="1">SUM(E6:M6)</f>
        <v>3250</v>
      </c>
      <c r="O6" s="17"/>
      <c r="P6" s="15">
        <v>355.0</v>
      </c>
      <c r="Q6" s="15">
        <v>173.0</v>
      </c>
      <c r="R6" s="15">
        <v>523.0</v>
      </c>
      <c r="S6" s="15">
        <v>412.0</v>
      </c>
      <c r="T6" s="15">
        <v>468.0</v>
      </c>
      <c r="U6" s="15">
        <v>312.0</v>
      </c>
      <c r="V6" s="15">
        <v>392.0</v>
      </c>
      <c r="W6" s="15">
        <v>172.0</v>
      </c>
      <c r="X6" s="15">
        <v>370.0</v>
      </c>
      <c r="Y6" s="15">
        <f t="shared" ref="Y6:Y7" si="2">SUM(P6:X6)</f>
        <v>3177</v>
      </c>
      <c r="Z6" s="15">
        <f t="shared" ref="Z6:Z7" si="3">Y6+N6</f>
        <v>6427</v>
      </c>
      <c r="AA6" s="12"/>
    </row>
    <row r="7" ht="15.0" customHeight="1">
      <c r="A7" s="1"/>
      <c r="B7" s="7"/>
      <c r="C7" s="1"/>
      <c r="D7" s="15" t="s">
        <v>9</v>
      </c>
      <c r="E7" s="15">
        <v>4.0</v>
      </c>
      <c r="F7" s="15">
        <v>4.0</v>
      </c>
      <c r="G7" s="15">
        <v>4.0</v>
      </c>
      <c r="H7" s="15">
        <v>3.0</v>
      </c>
      <c r="I7" s="15">
        <v>4.0</v>
      </c>
      <c r="J7" s="15">
        <v>4.0</v>
      </c>
      <c r="K7" s="15">
        <v>5.0</v>
      </c>
      <c r="L7" s="15">
        <v>3.0</v>
      </c>
      <c r="M7" s="15">
        <v>5.0</v>
      </c>
      <c r="N7" s="15">
        <f t="shared" si="1"/>
        <v>36</v>
      </c>
      <c r="O7" s="17"/>
      <c r="P7" s="15">
        <v>4.0</v>
      </c>
      <c r="Q7" s="15">
        <v>3.0</v>
      </c>
      <c r="R7" s="15">
        <v>5.0</v>
      </c>
      <c r="S7" s="15">
        <v>4.0</v>
      </c>
      <c r="T7" s="15">
        <v>5.0</v>
      </c>
      <c r="U7" s="15">
        <v>4.0</v>
      </c>
      <c r="V7" s="15">
        <v>4.0</v>
      </c>
      <c r="W7" s="15">
        <v>3.0</v>
      </c>
      <c r="X7" s="15">
        <v>4.0</v>
      </c>
      <c r="Y7" s="15">
        <f t="shared" si="2"/>
        <v>36</v>
      </c>
      <c r="Z7" s="15">
        <f t="shared" si="3"/>
        <v>72</v>
      </c>
      <c r="AA7" s="12"/>
    </row>
    <row r="8" ht="15.0" customHeight="1">
      <c r="A8" s="1"/>
      <c r="B8" s="7"/>
      <c r="C8" s="1"/>
      <c r="D8" s="15" t="s">
        <v>10</v>
      </c>
      <c r="E8" s="15">
        <v>5.0</v>
      </c>
      <c r="F8" s="15">
        <v>9.0</v>
      </c>
      <c r="G8" s="15">
        <v>7.0</v>
      </c>
      <c r="H8" s="15">
        <v>17.0</v>
      </c>
      <c r="I8" s="15">
        <v>11.0</v>
      </c>
      <c r="J8" s="15">
        <v>1.0</v>
      </c>
      <c r="K8" s="15">
        <v>13.0</v>
      </c>
      <c r="L8" s="15">
        <v>15.0</v>
      </c>
      <c r="M8" s="15">
        <v>3.0</v>
      </c>
      <c r="N8" s="18"/>
      <c r="O8" s="17"/>
      <c r="P8" s="15">
        <v>14.0</v>
      </c>
      <c r="Q8" s="15">
        <v>18.0</v>
      </c>
      <c r="R8" s="15">
        <v>6.0</v>
      </c>
      <c r="S8" s="15">
        <v>10.0</v>
      </c>
      <c r="T8" s="15">
        <v>2.0</v>
      </c>
      <c r="U8" s="15">
        <v>12.0</v>
      </c>
      <c r="V8" s="15">
        <v>4.0</v>
      </c>
      <c r="W8" s="15">
        <v>16.0</v>
      </c>
      <c r="X8" s="15">
        <v>8.0</v>
      </c>
      <c r="Y8" s="18"/>
      <c r="Z8" s="18"/>
      <c r="AA8" s="12"/>
    </row>
    <row r="9" ht="6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2"/>
    </row>
    <row r="10" ht="27.75" customHeight="1">
      <c r="A10" s="1"/>
      <c r="B10" s="7"/>
      <c r="C10" s="288" t="s">
        <v>197</v>
      </c>
      <c r="D10" s="289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1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12"/>
    </row>
    <row r="11" ht="27.75" customHeight="1">
      <c r="A11" s="1"/>
      <c r="B11" s="7"/>
      <c r="C11" s="288" t="s">
        <v>198</v>
      </c>
      <c r="D11" s="30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2"/>
      <c r="AA11" s="12"/>
    </row>
    <row r="12" ht="6.75" customHeight="1">
      <c r="A12" s="1"/>
      <c r="B12" s="7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2"/>
    </row>
    <row r="13" ht="27.75" customHeight="1">
      <c r="A13" s="1"/>
      <c r="B13" s="7"/>
      <c r="C13" s="288" t="s">
        <v>11</v>
      </c>
      <c r="D13" s="3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12"/>
    </row>
    <row r="14" ht="27.75" customHeight="1">
      <c r="A14" s="1"/>
      <c r="B14" s="7"/>
      <c r="C14" s="288" t="s">
        <v>12</v>
      </c>
      <c r="D14" s="30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2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2"/>
      <c r="AA14" s="12"/>
    </row>
    <row r="15" ht="6.75" customHeight="1">
      <c r="A15" s="1"/>
      <c r="B15" s="7"/>
      <c r="C15" s="16"/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2"/>
    </row>
    <row r="16" ht="27.75" customHeight="1">
      <c r="A16" s="1"/>
      <c r="B16" s="7"/>
      <c r="C16" s="288" t="s">
        <v>199</v>
      </c>
      <c r="D16" s="30"/>
      <c r="E16" s="290" t="s">
        <v>200</v>
      </c>
      <c r="F16" s="290"/>
      <c r="G16" s="290"/>
      <c r="H16" s="290"/>
      <c r="I16" s="290"/>
      <c r="J16" s="290" t="s">
        <v>200</v>
      </c>
      <c r="K16" s="290"/>
      <c r="L16" s="290"/>
      <c r="M16" s="290" t="s">
        <v>200</v>
      </c>
      <c r="N16" s="290"/>
      <c r="O16" s="290"/>
      <c r="P16" s="290"/>
      <c r="Q16" s="290"/>
      <c r="R16" s="290"/>
      <c r="S16" s="290"/>
      <c r="T16" s="290" t="s">
        <v>200</v>
      </c>
      <c r="U16" s="290"/>
      <c r="V16" s="290" t="s">
        <v>200</v>
      </c>
      <c r="W16" s="290"/>
      <c r="X16" s="290"/>
      <c r="Y16" s="290"/>
      <c r="Z16" s="290"/>
      <c r="AA16" s="12"/>
    </row>
    <row r="17" ht="27.75" customHeight="1">
      <c r="A17" s="1"/>
      <c r="B17" s="7"/>
      <c r="C17" s="288" t="s">
        <v>201</v>
      </c>
      <c r="D17" s="30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2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2"/>
      <c r="AA17" s="12"/>
    </row>
    <row r="18" ht="6.75" customHeight="1">
      <c r="A18" s="1"/>
      <c r="B18" s="7"/>
      <c r="C18" s="16"/>
      <c r="D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2"/>
    </row>
    <row r="19" ht="27.75" customHeight="1">
      <c r="A19" s="1"/>
      <c r="B19" s="7"/>
      <c r="C19" s="288" t="s">
        <v>11</v>
      </c>
      <c r="D19" s="3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12"/>
    </row>
    <row r="20" ht="27.75" customHeight="1">
      <c r="A20" s="1"/>
      <c r="B20" s="7"/>
      <c r="C20" s="288" t="s">
        <v>12</v>
      </c>
      <c r="D20" s="30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2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2"/>
      <c r="AA20" s="12"/>
    </row>
    <row r="21" ht="6.75" customHeight="1">
      <c r="A21" s="1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ht="6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6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6.75" customHeight="1">
      <c r="A25" s="1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</row>
    <row r="26" ht="14.25" customHeight="1">
      <c r="A26" s="1"/>
      <c r="B26" s="7"/>
      <c r="C26" s="8" t="s">
        <v>202</v>
      </c>
      <c r="D26" s="6"/>
      <c r="E26" s="6"/>
      <c r="F26" s="6"/>
      <c r="G26" s="9"/>
      <c r="H26" s="9"/>
      <c r="I26" s="9"/>
      <c r="J26" s="10" t="s">
        <v>193</v>
      </c>
      <c r="T26" s="11"/>
      <c r="U26" s="11"/>
      <c r="V26" s="11"/>
      <c r="W26" s="11"/>
      <c r="X26" s="1"/>
      <c r="Y26" s="1"/>
      <c r="Z26" s="1"/>
      <c r="AA26" s="12"/>
    </row>
    <row r="27" ht="18.75" customHeight="1">
      <c r="A27" s="1"/>
      <c r="B27" s="7"/>
      <c r="C27" s="1"/>
      <c r="D27" s="1"/>
      <c r="E27" s="1"/>
      <c r="F27" s="1"/>
      <c r="G27" s="13" t="s">
        <v>194</v>
      </c>
      <c r="H27" s="14"/>
      <c r="I27" s="14"/>
      <c r="J27" s="14"/>
      <c r="K27" s="14"/>
      <c r="L27" s="1"/>
      <c r="M27" s="1"/>
      <c r="N27" s="1"/>
      <c r="O27" s="1"/>
      <c r="P27" s="1"/>
      <c r="Q27" s="1"/>
      <c r="R27" s="1"/>
      <c r="S27" s="13" t="s">
        <v>195</v>
      </c>
      <c r="T27" s="14"/>
      <c r="U27" s="14"/>
      <c r="V27" s="14"/>
      <c r="W27" s="14"/>
      <c r="X27" s="1"/>
      <c r="Y27" s="1"/>
      <c r="Z27" s="1"/>
      <c r="AA27" s="12"/>
    </row>
    <row r="28" ht="15.0" customHeight="1">
      <c r="A28" s="1"/>
      <c r="B28" s="7"/>
      <c r="C28" s="1"/>
      <c r="D28" s="15" t="s">
        <v>4</v>
      </c>
      <c r="E28" s="15">
        <v>1.0</v>
      </c>
      <c r="F28" s="15">
        <v>2.0</v>
      </c>
      <c r="G28" s="15">
        <v>3.0</v>
      </c>
      <c r="H28" s="15">
        <v>4.0</v>
      </c>
      <c r="I28" s="15">
        <v>5.0</v>
      </c>
      <c r="J28" s="15">
        <v>6.0</v>
      </c>
      <c r="K28" s="15">
        <v>7.0</v>
      </c>
      <c r="L28" s="15">
        <v>8.0</v>
      </c>
      <c r="M28" s="15">
        <v>9.0</v>
      </c>
      <c r="N28" s="15" t="s">
        <v>5</v>
      </c>
      <c r="O28" s="16"/>
      <c r="P28" s="15">
        <v>1.0</v>
      </c>
      <c r="Q28" s="15">
        <v>2.0</v>
      </c>
      <c r="R28" s="15">
        <v>3.0</v>
      </c>
      <c r="S28" s="15">
        <v>4.0</v>
      </c>
      <c r="T28" s="15">
        <v>5.0</v>
      </c>
      <c r="U28" s="15">
        <v>6.0</v>
      </c>
      <c r="V28" s="15">
        <v>7.0</v>
      </c>
      <c r="W28" s="15">
        <v>8.0</v>
      </c>
      <c r="X28" s="15">
        <v>9.0</v>
      </c>
      <c r="Y28" s="15" t="s">
        <v>6</v>
      </c>
      <c r="Z28" s="15" t="s">
        <v>7</v>
      </c>
      <c r="AA28" s="12"/>
    </row>
    <row r="29" ht="15.0" customHeight="1">
      <c r="A29" s="1"/>
      <c r="B29" s="7"/>
      <c r="C29" s="1"/>
      <c r="D29" s="15" t="s">
        <v>196</v>
      </c>
      <c r="E29" s="15">
        <v>405.0</v>
      </c>
      <c r="F29" s="15">
        <v>420.0</v>
      </c>
      <c r="G29" s="15">
        <v>368.0</v>
      </c>
      <c r="H29" s="15">
        <v>151.0</v>
      </c>
      <c r="I29" s="15">
        <v>332.0</v>
      </c>
      <c r="J29" s="15">
        <v>388.0</v>
      </c>
      <c r="K29" s="15">
        <v>490.0</v>
      </c>
      <c r="L29" s="15">
        <v>206.0</v>
      </c>
      <c r="M29" s="15">
        <v>490.0</v>
      </c>
      <c r="N29" s="15">
        <f t="shared" ref="N29:N30" si="4">SUM(E29:M29)</f>
        <v>3250</v>
      </c>
      <c r="O29" s="17"/>
      <c r="P29" s="15">
        <v>355.0</v>
      </c>
      <c r="Q29" s="15">
        <v>173.0</v>
      </c>
      <c r="R29" s="15">
        <v>523.0</v>
      </c>
      <c r="S29" s="15">
        <v>412.0</v>
      </c>
      <c r="T29" s="15">
        <v>468.0</v>
      </c>
      <c r="U29" s="15">
        <v>312.0</v>
      </c>
      <c r="V29" s="15">
        <v>392.0</v>
      </c>
      <c r="W29" s="15">
        <v>172.0</v>
      </c>
      <c r="X29" s="15">
        <v>370.0</v>
      </c>
      <c r="Y29" s="15">
        <f t="shared" ref="Y29:Y30" si="5">SUM(P29:X29)</f>
        <v>3177</v>
      </c>
      <c r="Z29" s="15">
        <f t="shared" ref="Z29:Z30" si="6">Y29+N29</f>
        <v>6427</v>
      </c>
      <c r="AA29" s="12"/>
    </row>
    <row r="30" ht="15.0" customHeight="1">
      <c r="A30" s="1"/>
      <c r="B30" s="7"/>
      <c r="C30" s="1"/>
      <c r="D30" s="15" t="s">
        <v>9</v>
      </c>
      <c r="E30" s="15">
        <v>4.0</v>
      </c>
      <c r="F30" s="15">
        <v>4.0</v>
      </c>
      <c r="G30" s="15">
        <v>4.0</v>
      </c>
      <c r="H30" s="15">
        <v>3.0</v>
      </c>
      <c r="I30" s="15">
        <v>4.0</v>
      </c>
      <c r="J30" s="15">
        <v>4.0</v>
      </c>
      <c r="K30" s="15">
        <v>5.0</v>
      </c>
      <c r="L30" s="15">
        <v>3.0</v>
      </c>
      <c r="M30" s="15">
        <v>5.0</v>
      </c>
      <c r="N30" s="15">
        <f t="shared" si="4"/>
        <v>36</v>
      </c>
      <c r="O30" s="17"/>
      <c r="P30" s="15">
        <v>4.0</v>
      </c>
      <c r="Q30" s="15">
        <v>3.0</v>
      </c>
      <c r="R30" s="15">
        <v>5.0</v>
      </c>
      <c r="S30" s="15">
        <v>4.0</v>
      </c>
      <c r="T30" s="15">
        <v>5.0</v>
      </c>
      <c r="U30" s="15">
        <v>4.0</v>
      </c>
      <c r="V30" s="15">
        <v>4.0</v>
      </c>
      <c r="W30" s="15">
        <v>3.0</v>
      </c>
      <c r="X30" s="15">
        <v>4.0</v>
      </c>
      <c r="Y30" s="15">
        <f t="shared" si="5"/>
        <v>36</v>
      </c>
      <c r="Z30" s="15">
        <f t="shared" si="6"/>
        <v>72</v>
      </c>
      <c r="AA30" s="12"/>
    </row>
    <row r="31" ht="15.0" customHeight="1">
      <c r="A31" s="1"/>
      <c r="B31" s="7"/>
      <c r="C31" s="1"/>
      <c r="D31" s="15" t="s">
        <v>10</v>
      </c>
      <c r="E31" s="15">
        <v>5.0</v>
      </c>
      <c r="F31" s="15">
        <v>9.0</v>
      </c>
      <c r="G31" s="15">
        <v>7.0</v>
      </c>
      <c r="H31" s="15">
        <v>17.0</v>
      </c>
      <c r="I31" s="15">
        <v>11.0</v>
      </c>
      <c r="J31" s="15">
        <v>1.0</v>
      </c>
      <c r="K31" s="15">
        <v>13.0</v>
      </c>
      <c r="L31" s="15">
        <v>15.0</v>
      </c>
      <c r="M31" s="15">
        <v>3.0</v>
      </c>
      <c r="N31" s="18"/>
      <c r="O31" s="17"/>
      <c r="P31" s="15">
        <v>14.0</v>
      </c>
      <c r="Q31" s="15">
        <v>18.0</v>
      </c>
      <c r="R31" s="15">
        <v>6.0</v>
      </c>
      <c r="S31" s="15">
        <v>10.0</v>
      </c>
      <c r="T31" s="15">
        <v>2.0</v>
      </c>
      <c r="U31" s="15">
        <v>12.0</v>
      </c>
      <c r="V31" s="15">
        <v>4.0</v>
      </c>
      <c r="W31" s="15">
        <v>16.0</v>
      </c>
      <c r="X31" s="15">
        <v>8.0</v>
      </c>
      <c r="Y31" s="18"/>
      <c r="Z31" s="18"/>
      <c r="AA31" s="12"/>
    </row>
    <row r="32" ht="6.75" customHeight="1">
      <c r="A32" s="1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2"/>
    </row>
    <row r="33" ht="27.75" customHeight="1">
      <c r="A33" s="1"/>
      <c r="B33" s="7"/>
      <c r="C33" s="288" t="s">
        <v>203</v>
      </c>
      <c r="D33" s="30"/>
      <c r="E33" s="293" t="s">
        <v>204</v>
      </c>
      <c r="F33" s="290"/>
      <c r="G33" s="290"/>
      <c r="H33" s="290"/>
      <c r="I33" s="290"/>
      <c r="J33" s="294" t="s">
        <v>200</v>
      </c>
      <c r="K33" s="290"/>
      <c r="L33" s="290"/>
      <c r="M33" s="294" t="s">
        <v>200</v>
      </c>
      <c r="N33" s="290"/>
      <c r="O33" s="290"/>
      <c r="P33" s="290"/>
      <c r="Q33" s="290"/>
      <c r="R33" s="290"/>
      <c r="S33" s="290"/>
      <c r="T33" s="294" t="s">
        <v>200</v>
      </c>
      <c r="U33" s="290"/>
      <c r="V33" s="290"/>
      <c r="W33" s="290"/>
      <c r="X33" s="290"/>
      <c r="Y33" s="290"/>
      <c r="Z33" s="290"/>
      <c r="AA33" s="12"/>
    </row>
    <row r="34" ht="27.75" customHeight="1">
      <c r="A34" s="1"/>
      <c r="B34" s="7"/>
      <c r="C34" s="288" t="s">
        <v>205</v>
      </c>
      <c r="D34" s="30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12"/>
    </row>
    <row r="35" ht="6.75" customHeight="1">
      <c r="A35" s="1"/>
      <c r="B35" s="7"/>
      <c r="C35" s="16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2"/>
    </row>
    <row r="36" ht="27.75" customHeight="1">
      <c r="A36" s="1"/>
      <c r="B36" s="7"/>
      <c r="C36" s="288" t="s">
        <v>11</v>
      </c>
      <c r="D36" s="3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12"/>
    </row>
    <row r="37" ht="27.75" customHeight="1">
      <c r="A37" s="1"/>
      <c r="B37" s="7"/>
      <c r="C37" s="288" t="s">
        <v>12</v>
      </c>
      <c r="D37" s="30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2"/>
      <c r="AA37" s="12"/>
    </row>
    <row r="38" ht="6.75" customHeight="1">
      <c r="A38" s="1"/>
      <c r="B38" s="7"/>
      <c r="C38" s="16"/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2"/>
    </row>
    <row r="39" ht="27.75" customHeight="1">
      <c r="A39" s="1"/>
      <c r="B39" s="7"/>
      <c r="C39" s="288" t="s">
        <v>206</v>
      </c>
      <c r="D39" s="3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12"/>
    </row>
    <row r="40" ht="27.75" customHeight="1">
      <c r="A40" s="1"/>
      <c r="B40" s="7"/>
      <c r="C40" s="288" t="s">
        <v>207</v>
      </c>
      <c r="D40" s="30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12"/>
    </row>
    <row r="41" ht="6.75" customHeight="1">
      <c r="A41" s="1"/>
      <c r="B41" s="7"/>
      <c r="C41" s="16"/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2"/>
    </row>
    <row r="42" ht="27.75" customHeight="1">
      <c r="A42" s="1"/>
      <c r="B42" s="7"/>
      <c r="C42" s="288" t="s">
        <v>11</v>
      </c>
      <c r="D42" s="3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12"/>
    </row>
    <row r="43" ht="27.75" customHeight="1">
      <c r="A43" s="1"/>
      <c r="B43" s="7"/>
      <c r="C43" s="288" t="s">
        <v>12</v>
      </c>
      <c r="D43" s="30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2"/>
      <c r="AA43" s="12"/>
    </row>
    <row r="44" ht="6.75" customHeight="1">
      <c r="A44" s="1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7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6.75" customHeight="1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</row>
    <row r="47" ht="14.25" customHeight="1">
      <c r="A47" s="1"/>
      <c r="B47" s="7"/>
      <c r="C47" s="8" t="s">
        <v>202</v>
      </c>
      <c r="D47" s="6"/>
      <c r="E47" s="6"/>
      <c r="F47" s="6"/>
      <c r="G47" s="9"/>
      <c r="H47" s="9"/>
      <c r="I47" s="9"/>
      <c r="J47" s="10" t="s">
        <v>193</v>
      </c>
      <c r="T47" s="11"/>
      <c r="U47" s="11"/>
      <c r="V47" s="11"/>
      <c r="W47" s="11"/>
      <c r="X47" s="1"/>
      <c r="Y47" s="1"/>
      <c r="Z47" s="1"/>
      <c r="AA47" s="12"/>
    </row>
    <row r="48" ht="18.75" customHeight="1">
      <c r="A48" s="1"/>
      <c r="B48" s="7"/>
      <c r="C48" s="1"/>
      <c r="D48" s="1"/>
      <c r="E48" s="1"/>
      <c r="F48" s="1"/>
      <c r="G48" s="13" t="s">
        <v>194</v>
      </c>
      <c r="H48" s="14"/>
      <c r="I48" s="14"/>
      <c r="J48" s="14"/>
      <c r="K48" s="14"/>
      <c r="L48" s="1"/>
      <c r="M48" s="1"/>
      <c r="N48" s="1"/>
      <c r="O48" s="1"/>
      <c r="P48" s="1"/>
      <c r="Q48" s="1"/>
      <c r="R48" s="1"/>
      <c r="S48" s="13" t="s">
        <v>195</v>
      </c>
      <c r="T48" s="14"/>
      <c r="U48" s="14"/>
      <c r="V48" s="14"/>
      <c r="W48" s="14"/>
      <c r="X48" s="1"/>
      <c r="Y48" s="1"/>
      <c r="Z48" s="1"/>
      <c r="AA48" s="12"/>
    </row>
    <row r="49" ht="15.0" customHeight="1">
      <c r="A49" s="1"/>
      <c r="B49" s="7"/>
      <c r="C49" s="1"/>
      <c r="D49" s="15" t="s">
        <v>4</v>
      </c>
      <c r="E49" s="15">
        <v>1.0</v>
      </c>
      <c r="F49" s="15">
        <v>2.0</v>
      </c>
      <c r="G49" s="15">
        <v>3.0</v>
      </c>
      <c r="H49" s="15">
        <v>4.0</v>
      </c>
      <c r="I49" s="15">
        <v>5.0</v>
      </c>
      <c r="J49" s="15">
        <v>6.0</v>
      </c>
      <c r="K49" s="15">
        <v>7.0</v>
      </c>
      <c r="L49" s="15">
        <v>8.0</v>
      </c>
      <c r="M49" s="15">
        <v>9.0</v>
      </c>
      <c r="N49" s="15" t="s">
        <v>5</v>
      </c>
      <c r="O49" s="16"/>
      <c r="P49" s="15">
        <v>1.0</v>
      </c>
      <c r="Q49" s="15">
        <v>2.0</v>
      </c>
      <c r="R49" s="15">
        <v>3.0</v>
      </c>
      <c r="S49" s="15">
        <v>4.0</v>
      </c>
      <c r="T49" s="15">
        <v>5.0</v>
      </c>
      <c r="U49" s="15">
        <v>6.0</v>
      </c>
      <c r="V49" s="15">
        <v>7.0</v>
      </c>
      <c r="W49" s="15">
        <v>8.0</v>
      </c>
      <c r="X49" s="15">
        <v>9.0</v>
      </c>
      <c r="Y49" s="15" t="s">
        <v>6</v>
      </c>
      <c r="Z49" s="15" t="s">
        <v>7</v>
      </c>
      <c r="AA49" s="12"/>
    </row>
    <row r="50" ht="15.0" customHeight="1">
      <c r="A50" s="1"/>
      <c r="B50" s="7"/>
      <c r="C50" s="1"/>
      <c r="D50" s="15" t="s">
        <v>196</v>
      </c>
      <c r="E50" s="15">
        <v>405.0</v>
      </c>
      <c r="F50" s="15">
        <v>420.0</v>
      </c>
      <c r="G50" s="15">
        <v>368.0</v>
      </c>
      <c r="H50" s="15">
        <v>151.0</v>
      </c>
      <c r="I50" s="15">
        <v>332.0</v>
      </c>
      <c r="J50" s="15">
        <v>388.0</v>
      </c>
      <c r="K50" s="15">
        <v>490.0</v>
      </c>
      <c r="L50" s="15">
        <v>206.0</v>
      </c>
      <c r="M50" s="15">
        <v>490.0</v>
      </c>
      <c r="N50" s="15">
        <f t="shared" ref="N50:N51" si="7">SUM(E50:M50)</f>
        <v>3250</v>
      </c>
      <c r="O50" s="17"/>
      <c r="P50" s="15">
        <v>355.0</v>
      </c>
      <c r="Q50" s="15">
        <v>173.0</v>
      </c>
      <c r="R50" s="15">
        <v>523.0</v>
      </c>
      <c r="S50" s="15">
        <v>412.0</v>
      </c>
      <c r="T50" s="15">
        <v>468.0</v>
      </c>
      <c r="U50" s="15">
        <v>312.0</v>
      </c>
      <c r="V50" s="15">
        <v>392.0</v>
      </c>
      <c r="W50" s="15">
        <v>172.0</v>
      </c>
      <c r="X50" s="15">
        <v>370.0</v>
      </c>
      <c r="Y50" s="15">
        <f t="shared" ref="Y50:Y51" si="8">SUM(P50:X50)</f>
        <v>3177</v>
      </c>
      <c r="Z50" s="15">
        <f t="shared" ref="Z50:Z51" si="9">Y50+N50</f>
        <v>6427</v>
      </c>
      <c r="AA50" s="12"/>
    </row>
    <row r="51" ht="15.0" customHeight="1">
      <c r="A51" s="1"/>
      <c r="B51" s="7"/>
      <c r="C51" s="1"/>
      <c r="D51" s="15" t="s">
        <v>9</v>
      </c>
      <c r="E51" s="15">
        <v>4.0</v>
      </c>
      <c r="F51" s="15">
        <v>4.0</v>
      </c>
      <c r="G51" s="15">
        <v>4.0</v>
      </c>
      <c r="H51" s="15">
        <v>3.0</v>
      </c>
      <c r="I51" s="15">
        <v>4.0</v>
      </c>
      <c r="J51" s="15">
        <v>4.0</v>
      </c>
      <c r="K51" s="15">
        <v>5.0</v>
      </c>
      <c r="L51" s="15">
        <v>3.0</v>
      </c>
      <c r="M51" s="15">
        <v>5.0</v>
      </c>
      <c r="N51" s="15">
        <f t="shared" si="7"/>
        <v>36</v>
      </c>
      <c r="O51" s="17"/>
      <c r="P51" s="15">
        <v>4.0</v>
      </c>
      <c r="Q51" s="15">
        <v>3.0</v>
      </c>
      <c r="R51" s="15">
        <v>5.0</v>
      </c>
      <c r="S51" s="15">
        <v>4.0</v>
      </c>
      <c r="T51" s="15">
        <v>5.0</v>
      </c>
      <c r="U51" s="15">
        <v>4.0</v>
      </c>
      <c r="V51" s="15">
        <v>4.0</v>
      </c>
      <c r="W51" s="15">
        <v>3.0</v>
      </c>
      <c r="X51" s="15">
        <v>4.0</v>
      </c>
      <c r="Y51" s="15">
        <f t="shared" si="8"/>
        <v>36</v>
      </c>
      <c r="Z51" s="15">
        <f t="shared" si="9"/>
        <v>72</v>
      </c>
      <c r="AA51" s="12"/>
    </row>
    <row r="52" ht="15.0" customHeight="1">
      <c r="A52" s="1"/>
      <c r="B52" s="7"/>
      <c r="C52" s="1"/>
      <c r="D52" s="15" t="s">
        <v>10</v>
      </c>
      <c r="E52" s="15">
        <v>5.0</v>
      </c>
      <c r="F52" s="15">
        <v>9.0</v>
      </c>
      <c r="G52" s="15">
        <v>7.0</v>
      </c>
      <c r="H52" s="15">
        <v>17.0</v>
      </c>
      <c r="I52" s="15">
        <v>11.0</v>
      </c>
      <c r="J52" s="15">
        <v>1.0</v>
      </c>
      <c r="K52" s="15">
        <v>13.0</v>
      </c>
      <c r="L52" s="15">
        <v>15.0</v>
      </c>
      <c r="M52" s="15">
        <v>3.0</v>
      </c>
      <c r="N52" s="18"/>
      <c r="O52" s="17"/>
      <c r="P52" s="15">
        <v>14.0</v>
      </c>
      <c r="Q52" s="15">
        <v>18.0</v>
      </c>
      <c r="R52" s="15">
        <v>6.0</v>
      </c>
      <c r="S52" s="15">
        <v>10.0</v>
      </c>
      <c r="T52" s="15">
        <v>2.0</v>
      </c>
      <c r="U52" s="15">
        <v>12.0</v>
      </c>
      <c r="V52" s="15">
        <v>4.0</v>
      </c>
      <c r="W52" s="15">
        <v>16.0</v>
      </c>
      <c r="X52" s="15">
        <v>8.0</v>
      </c>
      <c r="Y52" s="18"/>
      <c r="Z52" s="18"/>
      <c r="AA52" s="12"/>
    </row>
    <row r="53" ht="6.75" customHeight="1">
      <c r="A53" s="1"/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2"/>
    </row>
    <row r="54" ht="27.75" customHeight="1">
      <c r="A54" s="1"/>
      <c r="B54" s="7"/>
      <c r="C54" s="288" t="s">
        <v>208</v>
      </c>
      <c r="D54" s="30"/>
      <c r="E54" s="290"/>
      <c r="F54" s="290"/>
      <c r="G54" s="290"/>
      <c r="H54" s="290"/>
      <c r="I54" s="290"/>
      <c r="J54" s="294" t="s">
        <v>200</v>
      </c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  <c r="AA54" s="12"/>
    </row>
    <row r="55" ht="27.75" customHeight="1">
      <c r="A55" s="1"/>
      <c r="B55" s="7"/>
      <c r="C55" s="288" t="s">
        <v>209</v>
      </c>
      <c r="D55" s="30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  <c r="AA55" s="12"/>
    </row>
    <row r="56" ht="6.75" customHeight="1">
      <c r="A56" s="1"/>
      <c r="B56" s="7"/>
      <c r="C56" s="17"/>
      <c r="D56" s="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2"/>
    </row>
    <row r="57" ht="27.75" customHeight="1">
      <c r="A57" s="1"/>
      <c r="B57" s="7"/>
      <c r="C57" s="288" t="s">
        <v>11</v>
      </c>
      <c r="D57" s="3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12"/>
    </row>
    <row r="58" ht="27.75" customHeight="1">
      <c r="A58" s="1"/>
      <c r="B58" s="7"/>
      <c r="C58" s="288" t="s">
        <v>12</v>
      </c>
      <c r="D58" s="30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2"/>
      <c r="AA58" s="12"/>
    </row>
    <row r="59" ht="6.75" customHeight="1">
      <c r="A59" s="1"/>
      <c r="B59" s="7"/>
      <c r="C59" s="17"/>
      <c r="D59" s="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2"/>
    </row>
    <row r="60" ht="27.75" customHeight="1">
      <c r="A60" s="1"/>
      <c r="B60" s="7"/>
      <c r="C60" s="288" t="s">
        <v>210</v>
      </c>
      <c r="D60" s="3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12"/>
    </row>
    <row r="61" ht="27.75" customHeight="1">
      <c r="A61" s="1"/>
      <c r="B61" s="7"/>
      <c r="C61" s="288" t="s">
        <v>211</v>
      </c>
      <c r="D61" s="30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  <c r="AA61" s="12"/>
    </row>
    <row r="62" ht="6.75" customHeight="1">
      <c r="A62" s="1"/>
      <c r="B62" s="7"/>
      <c r="C62" s="17"/>
      <c r="D62" s="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2"/>
    </row>
    <row r="63" ht="27.75" customHeight="1">
      <c r="A63" s="1"/>
      <c r="B63" s="7"/>
      <c r="C63" s="288" t="s">
        <v>11</v>
      </c>
      <c r="D63" s="3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12"/>
    </row>
    <row r="64" ht="27.75" customHeight="1">
      <c r="A64" s="1"/>
      <c r="B64" s="7"/>
      <c r="C64" s="288" t="s">
        <v>12</v>
      </c>
      <c r="D64" s="30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2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2"/>
      <c r="AA64" s="12"/>
    </row>
    <row r="65" ht="6.75" customHeight="1">
      <c r="A65" s="1"/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7"/>
    </row>
    <row r="66" ht="14.2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6.75" hidden="1" customHeight="1">
      <c r="A67" s="1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</row>
    <row r="68" ht="14.25" hidden="1" customHeight="1">
      <c r="A68" s="1"/>
      <c r="B68" s="7"/>
      <c r="C68" s="276"/>
      <c r="D68" s="1"/>
      <c r="E68" s="1"/>
      <c r="F68" s="1"/>
      <c r="G68" s="11"/>
      <c r="H68" s="11"/>
      <c r="I68" s="11"/>
      <c r="J68" s="276" t="s">
        <v>193</v>
      </c>
      <c r="T68" s="11"/>
      <c r="U68" s="11"/>
      <c r="V68" s="11"/>
      <c r="W68" s="11"/>
      <c r="X68" s="1"/>
      <c r="Y68" s="1"/>
      <c r="Z68" s="1"/>
      <c r="AA68" s="12"/>
    </row>
    <row r="69" ht="14.25" hidden="1" customHeight="1">
      <c r="A69" s="1"/>
      <c r="B69" s="7"/>
      <c r="C69" s="1"/>
      <c r="D69" s="1"/>
      <c r="E69" s="1"/>
      <c r="F69" s="1"/>
      <c r="G69" s="295"/>
      <c r="H69" s="295"/>
      <c r="I69" s="295"/>
      <c r="J69" s="295"/>
      <c r="K69" s="295"/>
      <c r="L69" s="1"/>
      <c r="M69" s="1"/>
      <c r="N69" s="1"/>
      <c r="O69" s="1"/>
      <c r="P69" s="1"/>
      <c r="Q69" s="1"/>
      <c r="R69" s="1"/>
      <c r="S69" s="295"/>
      <c r="T69" s="295"/>
      <c r="U69" s="295"/>
      <c r="V69" s="295"/>
      <c r="W69" s="295"/>
      <c r="X69" s="1"/>
      <c r="Y69" s="1"/>
      <c r="Z69" s="1"/>
      <c r="AA69" s="12"/>
    </row>
    <row r="70" ht="14.25" hidden="1" customHeight="1">
      <c r="A70" s="1"/>
      <c r="B70" s="7"/>
      <c r="C70" s="1"/>
      <c r="D70" s="15" t="s">
        <v>4</v>
      </c>
      <c r="E70" s="15">
        <v>1.0</v>
      </c>
      <c r="F70" s="15">
        <v>2.0</v>
      </c>
      <c r="G70" s="15">
        <v>3.0</v>
      </c>
      <c r="H70" s="15">
        <v>4.0</v>
      </c>
      <c r="I70" s="15">
        <v>5.0</v>
      </c>
      <c r="J70" s="15">
        <v>6.0</v>
      </c>
      <c r="K70" s="15">
        <v>7.0</v>
      </c>
      <c r="L70" s="15">
        <v>8.0</v>
      </c>
      <c r="M70" s="15">
        <v>9.0</v>
      </c>
      <c r="N70" s="15" t="s">
        <v>5</v>
      </c>
      <c r="O70" s="16"/>
      <c r="P70" s="15">
        <v>10.0</v>
      </c>
      <c r="Q70" s="15">
        <v>11.0</v>
      </c>
      <c r="R70" s="15">
        <v>12.0</v>
      </c>
      <c r="S70" s="15">
        <v>13.0</v>
      </c>
      <c r="T70" s="15">
        <v>14.0</v>
      </c>
      <c r="U70" s="15">
        <v>15.0</v>
      </c>
      <c r="V70" s="15">
        <v>16.0</v>
      </c>
      <c r="W70" s="15">
        <v>17.0</v>
      </c>
      <c r="X70" s="15">
        <v>18.0</v>
      </c>
      <c r="Y70" s="15" t="s">
        <v>6</v>
      </c>
      <c r="Z70" s="15" t="s">
        <v>7</v>
      </c>
      <c r="AA70" s="12"/>
    </row>
    <row r="71" ht="14.25" hidden="1" customHeight="1">
      <c r="A71" s="1"/>
      <c r="B71" s="7"/>
      <c r="C71" s="1"/>
      <c r="D71" s="15" t="s">
        <v>196</v>
      </c>
      <c r="E71" s="15">
        <v>337.0</v>
      </c>
      <c r="F71" s="15">
        <v>335.0</v>
      </c>
      <c r="G71" s="15">
        <v>473.0</v>
      </c>
      <c r="H71" s="15">
        <v>189.0</v>
      </c>
      <c r="I71" s="15">
        <v>402.0</v>
      </c>
      <c r="J71" s="15">
        <v>174.0</v>
      </c>
      <c r="K71" s="15">
        <v>333.0</v>
      </c>
      <c r="L71" s="15">
        <v>476.0</v>
      </c>
      <c r="M71" s="15">
        <v>387.0</v>
      </c>
      <c r="N71" s="15">
        <f t="shared" ref="N71:N72" si="10">SUM(E71:M71)</f>
        <v>3106</v>
      </c>
      <c r="O71" s="17"/>
      <c r="P71" s="15">
        <v>383.0</v>
      </c>
      <c r="Q71" s="15">
        <v>161.0</v>
      </c>
      <c r="R71" s="15">
        <v>328.0</v>
      </c>
      <c r="S71" s="15">
        <v>378.0</v>
      </c>
      <c r="T71" s="15">
        <v>503.0</v>
      </c>
      <c r="U71" s="15">
        <v>374.0</v>
      </c>
      <c r="V71" s="15">
        <v>356.0</v>
      </c>
      <c r="W71" s="15">
        <v>145.0</v>
      </c>
      <c r="X71" s="15">
        <v>502.0</v>
      </c>
      <c r="Y71" s="15">
        <f t="shared" ref="Y71:Y72" si="11">SUM(P71:X71)</f>
        <v>3130</v>
      </c>
      <c r="Z71" s="15">
        <f t="shared" ref="Z71:Z72" si="12">Y71+N71</f>
        <v>6236</v>
      </c>
      <c r="AA71" s="12"/>
    </row>
    <row r="72" ht="14.25" hidden="1" customHeight="1">
      <c r="A72" s="1"/>
      <c r="B72" s="7"/>
      <c r="C72" s="1"/>
      <c r="D72" s="15" t="s">
        <v>9</v>
      </c>
      <c r="E72" s="15">
        <v>4.0</v>
      </c>
      <c r="F72" s="15">
        <v>4.0</v>
      </c>
      <c r="G72" s="15">
        <v>5.0</v>
      </c>
      <c r="H72" s="15">
        <v>3.0</v>
      </c>
      <c r="I72" s="15">
        <v>4.0</v>
      </c>
      <c r="J72" s="15">
        <v>3.0</v>
      </c>
      <c r="K72" s="15">
        <v>4.0</v>
      </c>
      <c r="L72" s="15">
        <v>5.0</v>
      </c>
      <c r="M72" s="15">
        <v>4.0</v>
      </c>
      <c r="N72" s="15">
        <f t="shared" si="10"/>
        <v>36</v>
      </c>
      <c r="O72" s="17"/>
      <c r="P72" s="15">
        <v>4.0</v>
      </c>
      <c r="Q72" s="15">
        <v>3.0</v>
      </c>
      <c r="R72" s="15">
        <v>4.0</v>
      </c>
      <c r="S72" s="15">
        <v>4.0</v>
      </c>
      <c r="T72" s="15">
        <v>5.0</v>
      </c>
      <c r="U72" s="15">
        <v>4.0</v>
      </c>
      <c r="V72" s="15">
        <v>4.0</v>
      </c>
      <c r="W72" s="15">
        <v>3.0</v>
      </c>
      <c r="X72" s="15">
        <v>5.0</v>
      </c>
      <c r="Y72" s="15">
        <f t="shared" si="11"/>
        <v>36</v>
      </c>
      <c r="Z72" s="15">
        <f t="shared" si="12"/>
        <v>72</v>
      </c>
      <c r="AA72" s="12"/>
    </row>
    <row r="73" ht="14.25" hidden="1" customHeight="1">
      <c r="A73" s="1"/>
      <c r="B73" s="7"/>
      <c r="C73" s="1"/>
      <c r="D73" s="15" t="s">
        <v>10</v>
      </c>
      <c r="E73" s="15">
        <v>5.0</v>
      </c>
      <c r="F73" s="15">
        <v>15.0</v>
      </c>
      <c r="G73" s="15">
        <v>17.0</v>
      </c>
      <c r="H73" s="15">
        <v>9.0</v>
      </c>
      <c r="I73" s="15">
        <v>1.0</v>
      </c>
      <c r="J73" s="15">
        <v>7.0</v>
      </c>
      <c r="K73" s="15">
        <v>11.0</v>
      </c>
      <c r="L73" s="15">
        <v>13.0</v>
      </c>
      <c r="M73" s="15">
        <v>3.0</v>
      </c>
      <c r="N73" s="18"/>
      <c r="O73" s="17"/>
      <c r="P73" s="15">
        <v>4.0</v>
      </c>
      <c r="Q73" s="15">
        <v>14.0</v>
      </c>
      <c r="R73" s="15">
        <v>10.0</v>
      </c>
      <c r="S73" s="15">
        <v>8.0</v>
      </c>
      <c r="T73" s="15">
        <v>18.0</v>
      </c>
      <c r="U73" s="15">
        <v>2.0</v>
      </c>
      <c r="V73" s="15">
        <v>6.0</v>
      </c>
      <c r="W73" s="15">
        <v>16.0</v>
      </c>
      <c r="X73" s="15">
        <v>12.0</v>
      </c>
      <c r="Y73" s="18"/>
      <c r="Z73" s="18"/>
      <c r="AA73" s="12"/>
    </row>
    <row r="74" ht="6.75" hidden="1" customHeight="1">
      <c r="A74" s="1"/>
      <c r="B74" s="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2"/>
    </row>
    <row r="75" ht="14.25" hidden="1" customHeight="1">
      <c r="A75" s="1"/>
      <c r="B75" s="7"/>
      <c r="C75" s="296"/>
      <c r="D75" s="30"/>
      <c r="E75" s="297"/>
      <c r="F75" s="291"/>
      <c r="G75" s="291"/>
      <c r="H75" s="291"/>
      <c r="I75" s="291"/>
      <c r="J75" s="291"/>
      <c r="K75" s="291"/>
      <c r="L75" s="291"/>
      <c r="M75" s="291"/>
      <c r="N75" s="291"/>
      <c r="O75" s="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12"/>
    </row>
    <row r="76" ht="14.25" hidden="1" customHeight="1">
      <c r="A76" s="1"/>
      <c r="B76" s="7"/>
      <c r="C76" s="296"/>
      <c r="D76" s="30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12"/>
    </row>
    <row r="77" ht="6.75" hidden="1" customHeight="1">
      <c r="A77" s="1"/>
      <c r="B77" s="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2"/>
    </row>
    <row r="78" ht="14.25" hidden="1" customHeight="1">
      <c r="A78" s="1"/>
      <c r="B78" s="7"/>
      <c r="C78" s="298" t="s">
        <v>11</v>
      </c>
      <c r="D78" s="30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12"/>
    </row>
    <row r="79" ht="14.25" hidden="1" customHeight="1">
      <c r="A79" s="1"/>
      <c r="B79" s="7"/>
      <c r="C79" s="298" t="s">
        <v>12</v>
      </c>
      <c r="D79" s="30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12"/>
    </row>
    <row r="80" ht="6.75" hidden="1" customHeight="1">
      <c r="A80" s="1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2"/>
    </row>
    <row r="81" ht="14.25" hidden="1" customHeight="1">
      <c r="A81" s="1"/>
      <c r="B81" s="7"/>
      <c r="C81" s="296"/>
      <c r="D81" s="30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12"/>
    </row>
    <row r="82" ht="14.25" hidden="1" customHeight="1">
      <c r="A82" s="1"/>
      <c r="B82" s="7"/>
      <c r="C82" s="296"/>
      <c r="D82" s="30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12"/>
    </row>
    <row r="83" ht="6.75" hidden="1" customHeight="1">
      <c r="A83" s="1"/>
      <c r="B83" s="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2"/>
    </row>
    <row r="84" ht="14.25" hidden="1" customHeight="1">
      <c r="A84" s="1"/>
      <c r="B84" s="7"/>
      <c r="C84" s="298" t="s">
        <v>11</v>
      </c>
      <c r="D84" s="30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  <c r="AA84" s="12"/>
    </row>
    <row r="85" ht="14.25" hidden="1" customHeight="1">
      <c r="A85" s="1"/>
      <c r="B85" s="7"/>
      <c r="C85" s="298" t="s">
        <v>12</v>
      </c>
      <c r="D85" s="30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12"/>
    </row>
    <row r="86" ht="6.75" hidden="1" customHeight="1">
      <c r="A86" s="1"/>
      <c r="B86" s="35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7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J3:S3"/>
    <mergeCell ref="G4:K4"/>
    <mergeCell ref="S4:W4"/>
    <mergeCell ref="C11:D11"/>
    <mergeCell ref="C13:D13"/>
    <mergeCell ref="C14:D14"/>
    <mergeCell ref="C16:D16"/>
    <mergeCell ref="C17:D17"/>
    <mergeCell ref="C19:D19"/>
    <mergeCell ref="C20:D20"/>
    <mergeCell ref="J26:S26"/>
    <mergeCell ref="G27:K27"/>
    <mergeCell ref="S27:W27"/>
    <mergeCell ref="C33:D33"/>
    <mergeCell ref="J47:S47"/>
    <mergeCell ref="G48:K48"/>
    <mergeCell ref="S48:W48"/>
    <mergeCell ref="C34:D34"/>
    <mergeCell ref="C36:D36"/>
    <mergeCell ref="C37:D37"/>
    <mergeCell ref="C39:D39"/>
    <mergeCell ref="C40:D40"/>
    <mergeCell ref="C42:D42"/>
    <mergeCell ref="C43:D43"/>
    <mergeCell ref="C64:D64"/>
    <mergeCell ref="J68:S68"/>
    <mergeCell ref="C75:D75"/>
    <mergeCell ref="C76:D76"/>
    <mergeCell ref="C78:D78"/>
    <mergeCell ref="C79:D79"/>
    <mergeCell ref="C81:D81"/>
    <mergeCell ref="C82:D82"/>
    <mergeCell ref="C84:D84"/>
    <mergeCell ref="C85:D85"/>
    <mergeCell ref="C54:D54"/>
    <mergeCell ref="C55:D55"/>
    <mergeCell ref="C57:D57"/>
    <mergeCell ref="C58:D58"/>
    <mergeCell ref="C60:D60"/>
    <mergeCell ref="C61:D61"/>
    <mergeCell ref="C63:D63"/>
  </mergeCells>
  <printOptions/>
  <pageMargins bottom="0.75" footer="0.0" header="0.0" left="0.25" right="0.25" top="0.75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" width="2.0"/>
    <col customWidth="1" min="3" max="4" width="20.63"/>
    <col customWidth="1" min="5" max="26" width="6.38"/>
    <col customWidth="1" min="27" max="27" width="16.88"/>
    <col customWidth="1" min="28" max="28" width="30.25"/>
  </cols>
  <sheetData>
    <row r="1">
      <c r="B1" s="191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1"/>
      <c r="U1" s="191"/>
      <c r="V1" s="191"/>
      <c r="W1" s="191"/>
      <c r="X1" s="191"/>
      <c r="Y1" s="191"/>
      <c r="Z1" s="191"/>
      <c r="AA1" s="193" t="s">
        <v>155</v>
      </c>
      <c r="AB1" s="142"/>
    </row>
    <row r="2">
      <c r="B2" s="1"/>
      <c r="C2" s="270" t="s">
        <v>212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4"/>
      <c r="AA2" s="271" t="s">
        <v>157</v>
      </c>
      <c r="AB2" s="142"/>
    </row>
    <row r="3">
      <c r="B3" s="1"/>
      <c r="C3" s="196"/>
      <c r="D3" s="197"/>
      <c r="E3" s="198"/>
      <c r="F3" s="198"/>
      <c r="G3" s="277" t="s">
        <v>135</v>
      </c>
      <c r="H3" s="200"/>
      <c r="I3" s="200"/>
      <c r="J3" s="200"/>
      <c r="K3" s="200"/>
      <c r="L3" s="198"/>
      <c r="M3" s="198"/>
      <c r="N3" s="198"/>
      <c r="O3" s="201"/>
      <c r="P3" s="198"/>
      <c r="Q3" s="198"/>
      <c r="R3" s="198"/>
      <c r="S3" s="277" t="s">
        <v>136</v>
      </c>
      <c r="T3" s="200"/>
      <c r="U3" s="200"/>
      <c r="V3" s="200"/>
      <c r="W3" s="200"/>
      <c r="X3" s="198"/>
      <c r="Y3" s="198"/>
      <c r="Z3" s="272"/>
      <c r="AA3" s="273" t="s">
        <v>158</v>
      </c>
      <c r="AB3" s="204" t="s">
        <v>213</v>
      </c>
    </row>
    <row r="4">
      <c r="B4" s="1"/>
      <c r="C4" s="205" t="s">
        <v>160</v>
      </c>
      <c r="D4" s="143" t="s">
        <v>137</v>
      </c>
      <c r="E4" s="143">
        <v>1.0</v>
      </c>
      <c r="F4" s="143">
        <v>2.0</v>
      </c>
      <c r="G4" s="143">
        <v>3.0</v>
      </c>
      <c r="H4" s="143">
        <v>4.0</v>
      </c>
      <c r="I4" s="143">
        <v>5.0</v>
      </c>
      <c r="J4" s="143">
        <v>6.0</v>
      </c>
      <c r="K4" s="143">
        <v>7.0</v>
      </c>
      <c r="L4" s="143">
        <v>8.0</v>
      </c>
      <c r="M4" s="143">
        <v>9.0</v>
      </c>
      <c r="N4" s="143" t="s">
        <v>138</v>
      </c>
      <c r="O4" s="278"/>
      <c r="P4" s="143">
        <v>10.0</v>
      </c>
      <c r="Q4" s="143">
        <v>11.0</v>
      </c>
      <c r="R4" s="143">
        <v>12.0</v>
      </c>
      <c r="S4" s="143">
        <v>13.0</v>
      </c>
      <c r="T4" s="143">
        <v>14.0</v>
      </c>
      <c r="U4" s="143">
        <v>15.0</v>
      </c>
      <c r="V4" s="143">
        <v>16.0</v>
      </c>
      <c r="W4" s="143">
        <v>17.0</v>
      </c>
      <c r="X4" s="143">
        <v>18.0</v>
      </c>
      <c r="Y4" s="143" t="s">
        <v>139</v>
      </c>
      <c r="Z4" s="279" t="s">
        <v>31</v>
      </c>
      <c r="AA4" s="274" t="s">
        <v>161</v>
      </c>
      <c r="AB4" s="212" t="s">
        <v>214</v>
      </c>
    </row>
    <row r="5">
      <c r="B5" s="1"/>
      <c r="C5" s="125"/>
      <c r="D5" s="280" t="s">
        <v>105</v>
      </c>
      <c r="E5" s="145">
        <v>531.0</v>
      </c>
      <c r="F5" s="145">
        <v>359.0</v>
      </c>
      <c r="G5" s="182">
        <v>151.0</v>
      </c>
      <c r="H5" s="145">
        <v>387.0</v>
      </c>
      <c r="I5" s="145">
        <v>505.0</v>
      </c>
      <c r="J5" s="182">
        <v>282.0</v>
      </c>
      <c r="K5" s="182">
        <v>398.0</v>
      </c>
      <c r="L5" s="145">
        <v>389.0</v>
      </c>
      <c r="M5" s="182">
        <v>166.0</v>
      </c>
      <c r="N5" s="182">
        <f t="shared" ref="N5:N6" si="1">SUM(E5:M5)</f>
        <v>3168</v>
      </c>
      <c r="O5" s="215"/>
      <c r="P5" s="182">
        <v>502.0</v>
      </c>
      <c r="Q5" s="145">
        <v>368.0</v>
      </c>
      <c r="R5" s="145">
        <v>371.0</v>
      </c>
      <c r="S5" s="182">
        <v>193.0</v>
      </c>
      <c r="T5" s="182">
        <v>503.0</v>
      </c>
      <c r="U5" s="145">
        <v>408.0</v>
      </c>
      <c r="V5" s="145">
        <v>324.0</v>
      </c>
      <c r="W5" s="182">
        <v>163.0</v>
      </c>
      <c r="X5" s="182">
        <v>379.0</v>
      </c>
      <c r="Y5" s="182">
        <f t="shared" ref="Y5:Y6" si="2">SUM(P5:X5)</f>
        <v>3211</v>
      </c>
      <c r="Z5" s="214">
        <f t="shared" ref="Z5:Z6" si="3">Y5+N5</f>
        <v>6379</v>
      </c>
      <c r="AA5" s="274" t="s">
        <v>9</v>
      </c>
      <c r="AB5" s="212" t="s">
        <v>215</v>
      </c>
    </row>
    <row r="6">
      <c r="B6" s="1"/>
      <c r="C6" s="125"/>
      <c r="D6" s="147" t="s">
        <v>113</v>
      </c>
      <c r="E6" s="147">
        <v>5.0</v>
      </c>
      <c r="F6" s="147">
        <v>4.0</v>
      </c>
      <c r="G6" s="147">
        <v>3.0</v>
      </c>
      <c r="H6" s="147">
        <v>4.0</v>
      </c>
      <c r="I6" s="147">
        <v>5.0</v>
      </c>
      <c r="J6" s="147">
        <v>4.0</v>
      </c>
      <c r="K6" s="147">
        <v>4.0</v>
      </c>
      <c r="L6" s="147">
        <v>4.0</v>
      </c>
      <c r="M6" s="147">
        <v>3.0</v>
      </c>
      <c r="N6" s="147">
        <f t="shared" si="1"/>
        <v>36</v>
      </c>
      <c r="O6" s="215"/>
      <c r="P6" s="147">
        <v>5.0</v>
      </c>
      <c r="Q6" s="147">
        <v>4.0</v>
      </c>
      <c r="R6" s="147">
        <v>4.0</v>
      </c>
      <c r="S6" s="147">
        <v>3.0</v>
      </c>
      <c r="T6" s="147">
        <v>5.0</v>
      </c>
      <c r="U6" s="147">
        <v>4.0</v>
      </c>
      <c r="V6" s="147">
        <v>4.0</v>
      </c>
      <c r="W6" s="147">
        <v>3.0</v>
      </c>
      <c r="X6" s="147">
        <v>4.0</v>
      </c>
      <c r="Y6" s="147">
        <f t="shared" si="2"/>
        <v>36</v>
      </c>
      <c r="Z6" s="218">
        <f t="shared" si="3"/>
        <v>72</v>
      </c>
      <c r="AA6" s="274" t="s">
        <v>164</v>
      </c>
      <c r="AB6" s="212" t="s">
        <v>216</v>
      </c>
    </row>
    <row r="7">
      <c r="B7" s="1"/>
      <c r="C7" s="127"/>
      <c r="D7" s="222" t="s">
        <v>142</v>
      </c>
      <c r="E7" s="222">
        <v>15.0</v>
      </c>
      <c r="F7" s="222">
        <v>5.0</v>
      </c>
      <c r="G7" s="222">
        <v>13.0</v>
      </c>
      <c r="H7" s="222">
        <v>7.0</v>
      </c>
      <c r="I7" s="222">
        <v>1.0</v>
      </c>
      <c r="J7" s="222">
        <v>17.0</v>
      </c>
      <c r="K7" s="222">
        <v>3.0</v>
      </c>
      <c r="L7" s="222">
        <v>9.0</v>
      </c>
      <c r="M7" s="222">
        <v>11.0</v>
      </c>
      <c r="N7" s="222"/>
      <c r="O7" s="224"/>
      <c r="P7" s="222">
        <v>10.0</v>
      </c>
      <c r="Q7" s="222">
        <v>8.0</v>
      </c>
      <c r="R7" s="222">
        <v>6.0</v>
      </c>
      <c r="S7" s="222">
        <v>2.0</v>
      </c>
      <c r="T7" s="222">
        <v>14.0</v>
      </c>
      <c r="U7" s="222">
        <v>18.0</v>
      </c>
      <c r="V7" s="222">
        <v>16.0</v>
      </c>
      <c r="W7" s="222">
        <v>12.0</v>
      </c>
      <c r="X7" s="222">
        <v>4.0</v>
      </c>
      <c r="Y7" s="222"/>
      <c r="Z7" s="223"/>
      <c r="AA7" s="274" t="s">
        <v>166</v>
      </c>
      <c r="AB7" s="212" t="s">
        <v>217</v>
      </c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27" t="s">
        <v>168</v>
      </c>
      <c r="AB8" s="228" t="s">
        <v>218</v>
      </c>
    </row>
    <row r="9">
      <c r="B9" s="1"/>
      <c r="C9" s="229" t="str">
        <f>'ROUND 4 - SINGLES'!F10</f>
        <v>MAX</v>
      </c>
      <c r="D9" s="229">
        <f>iferror(vlookup($C9,HANDICAPS!$B$33:$G$48,6,false),"")</f>
        <v>15</v>
      </c>
      <c r="E9" s="231">
        <f>iferror(if(isblank(E10),"",if(E11=-3,16*D12,if(E11=-2,8*D12,if(E11=-1,4*D12,if(E11=0,2*D12,if(E11=1,0,if(E11&gt;1,-4*D12))))))+D10))</f>
        <v>4</v>
      </c>
      <c r="F9" s="232">
        <f t="shared" ref="F9:M9" si="4">iferror(if(isblank(F10),"",if(F11=-3,16*E12+E9,if(F11=-2,8*E12+E9,if(F11=-1,4*E12+E9,if(F11=0,2*E12+E9,if(F11=1,0+E9,if(F11&gt;1,-4*E12+E9))))))))</f>
        <v>4</v>
      </c>
      <c r="G9" s="232">
        <f t="shared" si="4"/>
        <v>8</v>
      </c>
      <c r="H9" s="232">
        <f t="shared" si="4"/>
        <v>24</v>
      </c>
      <c r="I9" s="232">
        <f t="shared" si="4"/>
        <v>24</v>
      </c>
      <c r="J9" s="232">
        <f t="shared" si="4"/>
        <v>20</v>
      </c>
      <c r="K9" s="232">
        <f t="shared" si="4"/>
        <v>20</v>
      </c>
      <c r="L9" s="232">
        <f t="shared" si="4"/>
        <v>24</v>
      </c>
      <c r="M9" s="233">
        <f t="shared" si="4"/>
        <v>28</v>
      </c>
      <c r="N9" s="234">
        <f>M9</f>
        <v>28</v>
      </c>
      <c r="O9" s="235"/>
      <c r="P9" s="231">
        <f>iferror(if(isblank(P10),"",if(P11=-3,16*O12+O10+N9,if(P11=-2,8*O12+O10+N9,if(P11=-1,4*O12+O10+N9,if(P11=0,2*O12+O10+N9,if(P11=1,0+N9,if(P11&gt;1,-4*O12+O10+N9))))))))</f>
        <v>30</v>
      </c>
      <c r="Q9" s="232">
        <f t="shared" ref="Q9:X9" si="5">iferror(if(isblank(Q10),"",if(Q11=-3,16*P12+P9,if(Q11=-2,8*P12+P9,if(Q11=-1,4*P12+P9,if(Q11=0,2*P12+P9,if(Q11=1,0+P9,if(Q11&gt;1,-4*P12+P9))))))))</f>
        <v>26</v>
      </c>
      <c r="R9" s="232">
        <f t="shared" si="5"/>
        <v>22</v>
      </c>
      <c r="S9" s="232">
        <f t="shared" si="5"/>
        <v>22</v>
      </c>
      <c r="T9" s="232">
        <f t="shared" si="5"/>
        <v>22</v>
      </c>
      <c r="U9" s="232">
        <f t="shared" si="5"/>
        <v>22</v>
      </c>
      <c r="V9" s="232">
        <f t="shared" si="5"/>
        <v>22</v>
      </c>
      <c r="W9" s="232">
        <f t="shared" si="5"/>
        <v>24</v>
      </c>
      <c r="X9" s="233">
        <f t="shared" si="5"/>
        <v>28</v>
      </c>
      <c r="Y9" s="234">
        <f>iferror(if(isblank(X10),"",X9-N9))</f>
        <v>0</v>
      </c>
      <c r="Z9" s="234">
        <f>if(isblank(X10),0,X9)</f>
        <v>28</v>
      </c>
      <c r="AA9" s="1"/>
      <c r="AB9" s="1"/>
    </row>
    <row r="10">
      <c r="A10" s="237"/>
      <c r="B10" s="39"/>
      <c r="C10" s="238" t="s">
        <v>170</v>
      </c>
      <c r="D10" s="239"/>
      <c r="E10" s="240">
        <f>iferror(vlookup('ROUND 4 - SINGLES'!$B11,'ROUND 4 - SINGLES'!$B:$AC,7,false))</f>
        <v>5</v>
      </c>
      <c r="F10" s="241">
        <f>iferror(vlookup('ROUND 4 - SINGLES'!$B11,'ROUND 4 - SINGLES'!$B:$AC,8,false))</f>
        <v>6</v>
      </c>
      <c r="G10" s="241">
        <f>iferror(vlookup('ROUND 4 - SINGLES'!$B11,'ROUND 4 - SINGLES'!$B:$AC,9,false))</f>
        <v>3</v>
      </c>
      <c r="H10" s="241">
        <f>iferror(vlookup('ROUND 4 - SINGLES'!$B11,'ROUND 4 - SINGLES'!$B:$AC,10,false))</f>
        <v>3</v>
      </c>
      <c r="I10" s="241">
        <f>iferror(vlookup('ROUND 4 - SINGLES'!$B11,'ROUND 4 - SINGLES'!$B:$AC,11,false))</f>
        <v>7</v>
      </c>
      <c r="J10" s="241">
        <f>iferror(vlookup('ROUND 4 - SINGLES'!$B11,'ROUND 4 - SINGLES'!$B:$AC,12,false))</f>
        <v>7</v>
      </c>
      <c r="K10" s="241">
        <f>iferror(vlookup('ROUND 4 - SINGLES'!$B11,'ROUND 4 - SINGLES'!$B:$AC,13,false))</f>
        <v>6</v>
      </c>
      <c r="L10" s="241">
        <f>iferror(vlookup('ROUND 4 - SINGLES'!$B11,'ROUND 4 - SINGLES'!$B:$AC,14,false))</f>
        <v>4</v>
      </c>
      <c r="M10" s="242">
        <f>iferror(vlookup('ROUND 4 - SINGLES'!$B11,'ROUND 4 - SINGLES'!$B:$AC,15,false))</f>
        <v>4</v>
      </c>
      <c r="N10" s="243">
        <f>iferror(if(isblank(M10),"",sum(E10:M10)))</f>
        <v>45</v>
      </c>
      <c r="O10" s="244"/>
      <c r="P10" s="240">
        <f>iferror(vlookup('ROUND 4 - SINGLES'!$B11,'ROUND 4 - SINGLES'!$B:$AC,18,false))</f>
        <v>6</v>
      </c>
      <c r="Q10" s="241">
        <f>iferror(vlookup('ROUND 4 - SINGLES'!$B11,'ROUND 4 - SINGLES'!$B:$AC,19,false))</f>
        <v>7</v>
      </c>
      <c r="R10" s="241">
        <f>iferror(vlookup('ROUND 4 - SINGLES'!$B11,'ROUND 4 - SINGLES'!$B:$AC,20,false))</f>
        <v>7</v>
      </c>
      <c r="S10" s="241">
        <f>iferror(vlookup('ROUND 4 - SINGLES'!$B11,'ROUND 4 - SINGLES'!$B:$AC,21,false))</f>
        <v>5</v>
      </c>
      <c r="T10" s="241">
        <f>iferror(vlookup('ROUND 4 - SINGLES'!$B11,'ROUND 4 - SINGLES'!$B:$AC,22,false))</f>
        <v>7</v>
      </c>
      <c r="U10" s="241">
        <f>iferror(vlookup('ROUND 4 - SINGLES'!$B11,'ROUND 4 - SINGLES'!$B:$AC,23,false))</f>
        <v>5</v>
      </c>
      <c r="V10" s="241">
        <f>iferror(vlookup('ROUND 4 - SINGLES'!$B11,'ROUND 4 - SINGLES'!$B:$AC,24,false))</f>
        <v>5</v>
      </c>
      <c r="W10" s="241">
        <f>iferror(vlookup('ROUND 4 - SINGLES'!$B11,'ROUND 4 - SINGLES'!$B:$AC,25,false))</f>
        <v>4</v>
      </c>
      <c r="X10" s="242">
        <f>iferror(vlookup('ROUND 4 - SINGLES'!$B11,'ROUND 4 - SINGLES'!$B:$AC,26,false))</f>
        <v>4</v>
      </c>
      <c r="Y10" s="243">
        <f>iferror(if(isblank(X10),"",sum(P10:X10)))</f>
        <v>50</v>
      </c>
      <c r="Z10" s="245">
        <f>if(isblank(X10),"",sum(N10,Y10))</f>
        <v>95</v>
      </c>
      <c r="AA10" s="299"/>
      <c r="AB10" s="39"/>
    </row>
    <row r="11">
      <c r="A11" s="237"/>
      <c r="B11" s="39"/>
      <c r="C11" s="247" t="s">
        <v>171</v>
      </c>
      <c r="D11" s="248"/>
      <c r="E11" s="249">
        <f t="shared" ref="E11:M11" si="6">iferror(if(isblank(E10),"",if(and(18-$D9&lt;0,18+E$7&lt;$D9),E10-2-E$6,if(or(E$7&lt;$D9,E$7=$D9),E10-1-E$6,E10-E$6))))</f>
        <v>-1</v>
      </c>
      <c r="F11" s="250">
        <f t="shared" si="6"/>
        <v>1</v>
      </c>
      <c r="G11" s="250">
        <f t="shared" si="6"/>
        <v>-1</v>
      </c>
      <c r="H11" s="250">
        <f t="shared" si="6"/>
        <v>-2</v>
      </c>
      <c r="I11" s="250">
        <f t="shared" si="6"/>
        <v>1</v>
      </c>
      <c r="J11" s="250">
        <f t="shared" si="6"/>
        <v>3</v>
      </c>
      <c r="K11" s="250">
        <f t="shared" si="6"/>
        <v>1</v>
      </c>
      <c r="L11" s="250">
        <f t="shared" si="6"/>
        <v>-1</v>
      </c>
      <c r="M11" s="251">
        <f t="shared" si="6"/>
        <v>0</v>
      </c>
      <c r="N11" s="243">
        <f>iferror(if(isblank(M10),"",if(or(N$7&lt;$D9,N$7=$D9),N10-1-N$6,N10-N$6)))</f>
        <v>8</v>
      </c>
      <c r="O11" s="244"/>
      <c r="P11" s="249">
        <f t="shared" ref="P11:X11" si="7">iferror(if(isblank(P10),"",if(and(18-$D9&lt;0,18+P$7&lt;$D9),P10-2-P$6,if(or(P$7&lt;$D9,P$7=$D9),P10-1-P$6,P10-P$6))))</f>
        <v>0</v>
      </c>
      <c r="Q11" s="250">
        <f t="shared" si="7"/>
        <v>2</v>
      </c>
      <c r="R11" s="250">
        <f t="shared" si="7"/>
        <v>2</v>
      </c>
      <c r="S11" s="250">
        <f t="shared" si="7"/>
        <v>1</v>
      </c>
      <c r="T11" s="250">
        <f t="shared" si="7"/>
        <v>1</v>
      </c>
      <c r="U11" s="250">
        <f t="shared" si="7"/>
        <v>1</v>
      </c>
      <c r="V11" s="250">
        <f t="shared" si="7"/>
        <v>1</v>
      </c>
      <c r="W11" s="250">
        <f t="shared" si="7"/>
        <v>0</v>
      </c>
      <c r="X11" s="251">
        <f t="shared" si="7"/>
        <v>-1</v>
      </c>
      <c r="Y11" s="243">
        <f>iferror(if(isblank(X10),"",if(or(Y$7&lt;$D9,Y$7=$D9),Y10-1-Y$6,Y10-Y$6)))</f>
        <v>13</v>
      </c>
      <c r="Z11" s="252">
        <f>if(isblank(X10),"",sum(N11,Y11))</f>
        <v>21</v>
      </c>
      <c r="AA11" s="39"/>
      <c r="AB11" s="39"/>
    </row>
    <row r="12">
      <c r="B12" s="1"/>
      <c r="C12" s="253" t="s">
        <v>172</v>
      </c>
      <c r="D12" s="253">
        <f>iferror(vlookup($C9,'TILT Round 2'!$C:$AA,25,false),"")</f>
        <v>1</v>
      </c>
      <c r="E12" s="255">
        <f t="shared" ref="E12:M12" si="8">iferror(if(isblank(E10),"",if(E11=-1,D12+1,if(E11=-2,D12+2,if(E11=-3,D12+3,1)))))</f>
        <v>2</v>
      </c>
      <c r="F12" s="256">
        <f t="shared" si="8"/>
        <v>1</v>
      </c>
      <c r="G12" s="256">
        <f t="shared" si="8"/>
        <v>2</v>
      </c>
      <c r="H12" s="256">
        <f t="shared" si="8"/>
        <v>4</v>
      </c>
      <c r="I12" s="256">
        <f t="shared" si="8"/>
        <v>1</v>
      </c>
      <c r="J12" s="256">
        <f t="shared" si="8"/>
        <v>1</v>
      </c>
      <c r="K12" s="256">
        <f t="shared" si="8"/>
        <v>1</v>
      </c>
      <c r="L12" s="256">
        <f t="shared" si="8"/>
        <v>2</v>
      </c>
      <c r="M12" s="257">
        <f t="shared" si="8"/>
        <v>1</v>
      </c>
      <c r="N12" s="258"/>
      <c r="O12" s="259">
        <f>M12</f>
        <v>1</v>
      </c>
      <c r="P12" s="255">
        <f t="shared" ref="P12:X12" si="9">iferror(if(isblank(P10),"",if(P11=-1,O12+1,if(P11=-2,O12+2,if(P11=-3,O12+3,1)))))</f>
        <v>1</v>
      </c>
      <c r="Q12" s="256">
        <f t="shared" si="9"/>
        <v>1</v>
      </c>
      <c r="R12" s="256">
        <f t="shared" si="9"/>
        <v>1</v>
      </c>
      <c r="S12" s="256">
        <f t="shared" si="9"/>
        <v>1</v>
      </c>
      <c r="T12" s="256">
        <f t="shared" si="9"/>
        <v>1</v>
      </c>
      <c r="U12" s="256">
        <f t="shared" si="9"/>
        <v>1</v>
      </c>
      <c r="V12" s="256">
        <f t="shared" si="9"/>
        <v>1</v>
      </c>
      <c r="W12" s="256">
        <f t="shared" si="9"/>
        <v>1</v>
      </c>
      <c r="X12" s="257">
        <f t="shared" si="9"/>
        <v>2</v>
      </c>
      <c r="Y12" s="258"/>
      <c r="Z12" s="234">
        <f>if(isblank(Y10),"",if(Y11=-1,X12+1,if(Y11=-2,X12+2,if(Y11=-3,X12+3,1))))</f>
        <v>1</v>
      </c>
      <c r="AA12" s="1"/>
      <c r="AB12" s="1"/>
    </row>
    <row r="13">
      <c r="B13" s="1"/>
      <c r="C13" s="261"/>
      <c r="D13" s="261"/>
      <c r="E13" s="262"/>
      <c r="F13" s="262"/>
      <c r="G13" s="262"/>
      <c r="H13" s="263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3"/>
      <c r="W13" s="262"/>
      <c r="X13" s="262"/>
      <c r="Y13" s="262"/>
      <c r="Z13" s="262"/>
      <c r="AA13" s="1"/>
      <c r="AB13" s="1"/>
    </row>
    <row r="14">
      <c r="B14" s="1"/>
      <c r="C14" s="229" t="str">
        <f>'ROUND 4 - SINGLES'!F18</f>
        <v>SLICK</v>
      </c>
      <c r="D14" s="229">
        <f>iferror(vlookup($C14,HANDICAPS!$B$33:$G$48,6,false),"")</f>
        <v>9</v>
      </c>
      <c r="E14" s="231">
        <f>iferror(if(isblank(E15),"",if(E16=-3,16*D17,if(E16=-2,8*D17,if(E16=-1,4*D17,if(E16=0,2*D17,if(E16=1,0,if(E16&gt;1,-4*D17))))))+D15))</f>
        <v>-8</v>
      </c>
      <c r="F14" s="232">
        <f t="shared" ref="F14:M14" si="10">iferror(if(isblank(F15),"",if(F16=-3,16*E17+E14,if(F16=-2,8*E17+E14,if(F16=-1,4*E17+E14,if(F16=0,2*E17+E14,if(F16=1,0+E14,if(F16&gt;1,-4*E17+E14))))))))</f>
        <v>-6</v>
      </c>
      <c r="G14" s="232">
        <f t="shared" si="10"/>
        <v>-4</v>
      </c>
      <c r="H14" s="232">
        <f t="shared" si="10"/>
        <v>-2</v>
      </c>
      <c r="I14" s="232">
        <f t="shared" si="10"/>
        <v>-6</v>
      </c>
      <c r="J14" s="232">
        <f t="shared" si="10"/>
        <v>-10</v>
      </c>
      <c r="K14" s="232">
        <f t="shared" si="10"/>
        <v>-10</v>
      </c>
      <c r="L14" s="232">
        <f t="shared" si="10"/>
        <v>-6</v>
      </c>
      <c r="M14" s="233">
        <f t="shared" si="10"/>
        <v>-2</v>
      </c>
      <c r="N14" s="234">
        <f>M14</f>
        <v>-2</v>
      </c>
      <c r="O14" s="235"/>
      <c r="P14" s="231">
        <f>iferror(if(isblank(P15),"",if(P16=-3,16*O17+O15+N14,if(P16=-2,8*O17+O15+N14,if(P16=-1,4*O17+O15+N14,if(P16=0,2*O17+O15+N14,if(P16=1,0+N14,if(P16&gt;1,-4*O17+O15+N14))))))))</f>
        <v>0</v>
      </c>
      <c r="Q14" s="232">
        <f t="shared" ref="Q14:X14" si="11">iferror(if(isblank(Q15),"",if(Q16=-3,16*P17+P14,if(Q16=-2,8*P17+P14,if(Q16=-1,4*P17+P14,if(Q16=0,2*P17+P14,if(Q16=1,0+P14,if(Q16&gt;1,-4*P17+P14))))))))</f>
        <v>2</v>
      </c>
      <c r="R14" s="232">
        <f t="shared" si="11"/>
        <v>-2</v>
      </c>
      <c r="S14" s="232">
        <f t="shared" si="11"/>
        <v>0</v>
      </c>
      <c r="T14" s="232">
        <f t="shared" si="11"/>
        <v>0</v>
      </c>
      <c r="U14" s="232">
        <f t="shared" si="11"/>
        <v>0</v>
      </c>
      <c r="V14" s="232">
        <f t="shared" si="11"/>
        <v>0</v>
      </c>
      <c r="W14" s="232">
        <f t="shared" si="11"/>
        <v>4</v>
      </c>
      <c r="X14" s="233">
        <f t="shared" si="11"/>
        <v>8</v>
      </c>
      <c r="Y14" s="234">
        <f>iferror(if(isblank(X15),"",X14-N14))</f>
        <v>10</v>
      </c>
      <c r="Z14" s="234">
        <f>if(isblank(X15),0,X14)</f>
        <v>8</v>
      </c>
      <c r="AA14" s="1"/>
      <c r="AB14" s="1"/>
    </row>
    <row r="15">
      <c r="B15" s="1"/>
      <c r="C15" s="238" t="s">
        <v>170</v>
      </c>
      <c r="D15" s="239"/>
      <c r="E15" s="240">
        <f>iferror(vlookup('ROUND 4 - SINGLES'!$B19,'ROUND 4 - SINGLES'!$B:$AC,7,false))</f>
        <v>7</v>
      </c>
      <c r="F15" s="241">
        <f>iferror(vlookup('ROUND 4 - SINGLES'!$B19,'ROUND 4 - SINGLES'!$B:$AC,8,false))</f>
        <v>5</v>
      </c>
      <c r="G15" s="241">
        <f>iferror(vlookup('ROUND 4 - SINGLES'!$B19,'ROUND 4 - SINGLES'!$B:$AC,9,false))</f>
        <v>3</v>
      </c>
      <c r="H15" s="241">
        <f>iferror(vlookup('ROUND 4 - SINGLES'!$B19,'ROUND 4 - SINGLES'!$B:$AC,10,false))</f>
        <v>5</v>
      </c>
      <c r="I15" s="241">
        <f>iferror(vlookup('ROUND 4 - SINGLES'!$B19,'ROUND 4 - SINGLES'!$B:$AC,11,false))</f>
        <v>8</v>
      </c>
      <c r="J15" s="241">
        <f>iferror(vlookup('ROUND 4 - SINGLES'!$B19,'ROUND 4 - SINGLES'!$B:$AC,12,false))</f>
        <v>6</v>
      </c>
      <c r="K15" s="241">
        <f>iferror(vlookup('ROUND 4 - SINGLES'!$B19,'ROUND 4 - SINGLES'!$B:$AC,13,false))</f>
        <v>6</v>
      </c>
      <c r="L15" s="241">
        <f>iferror(vlookup('ROUND 4 - SINGLES'!$B19,'ROUND 4 - SINGLES'!$B:$AC,14,false))</f>
        <v>4</v>
      </c>
      <c r="M15" s="242">
        <f>iferror(vlookup('ROUND 4 - SINGLES'!$B19,'ROUND 4 - SINGLES'!$B:$AC,15,false))</f>
        <v>3</v>
      </c>
      <c r="N15" s="243">
        <f>iferror(if(isblank(M15),"",sum(E15:M15)))</f>
        <v>47</v>
      </c>
      <c r="O15" s="244"/>
      <c r="P15" s="240">
        <f>iferror(vlookup('ROUND 4 - SINGLES'!$B19,'ROUND 4 - SINGLES'!$B:$AC,18,false))</f>
        <v>5</v>
      </c>
      <c r="Q15" s="241">
        <f>iferror(vlookup('ROUND 4 - SINGLES'!$B19,'ROUND 4 - SINGLES'!$B:$AC,19,false))</f>
        <v>5</v>
      </c>
      <c r="R15" s="241">
        <f>iferror(vlookup('ROUND 4 - SINGLES'!$B19,'ROUND 4 - SINGLES'!$B:$AC,20,false))</f>
        <v>7</v>
      </c>
      <c r="S15" s="241">
        <f>iferror(vlookup('ROUND 4 - SINGLES'!$B19,'ROUND 4 - SINGLES'!$B:$AC,21,false))</f>
        <v>4</v>
      </c>
      <c r="T15" s="241">
        <f>iferror(vlookup('ROUND 4 - SINGLES'!$B19,'ROUND 4 - SINGLES'!$B:$AC,22,false))</f>
        <v>6</v>
      </c>
      <c r="U15" s="241">
        <f>iferror(vlookup('ROUND 4 - SINGLES'!$B19,'ROUND 4 - SINGLES'!$B:$AC,23,false))</f>
        <v>5</v>
      </c>
      <c r="V15" s="241">
        <f>iferror(vlookup('ROUND 4 - SINGLES'!$B19,'ROUND 4 - SINGLES'!$B:$AC,24,false))</f>
        <v>5</v>
      </c>
      <c r="W15" s="241">
        <f>iferror(vlookup('ROUND 4 - SINGLES'!$B19,'ROUND 4 - SINGLES'!$B:$AC,25,false))</f>
        <v>2</v>
      </c>
      <c r="X15" s="242">
        <f>iferror(vlookup('ROUND 4 - SINGLES'!$B19,'ROUND 4 - SINGLES'!$B:$AC,26,false))</f>
        <v>5</v>
      </c>
      <c r="Y15" s="243">
        <f>iferror(if(isblank(X15),"",sum(P15:X15)))</f>
        <v>44</v>
      </c>
      <c r="Z15" s="245">
        <f>if(isblank(X15),"",sum(N15,Y15))</f>
        <v>91</v>
      </c>
      <c r="AA15" s="300"/>
      <c r="AB15" s="1"/>
    </row>
    <row r="16">
      <c r="B16" s="1"/>
      <c r="C16" s="247" t="s">
        <v>171</v>
      </c>
      <c r="D16" s="248"/>
      <c r="E16" s="249">
        <f t="shared" ref="E16:M16" si="12">iferror(if(isblank(E15),"",if(and(18-$D14&lt;0,18+E$7&lt;$D14),E15-2-E$6,if(or(E$7&lt;$D14,E$7=$D14),E15-1-E$6,E15-E$6))))</f>
        <v>2</v>
      </c>
      <c r="F16" s="250">
        <f t="shared" si="12"/>
        <v>0</v>
      </c>
      <c r="G16" s="250">
        <f t="shared" si="12"/>
        <v>0</v>
      </c>
      <c r="H16" s="250">
        <f t="shared" si="12"/>
        <v>0</v>
      </c>
      <c r="I16" s="250">
        <f t="shared" si="12"/>
        <v>2</v>
      </c>
      <c r="J16" s="250">
        <f t="shared" si="12"/>
        <v>2</v>
      </c>
      <c r="K16" s="250">
        <f t="shared" si="12"/>
        <v>1</v>
      </c>
      <c r="L16" s="250">
        <f t="shared" si="12"/>
        <v>-1</v>
      </c>
      <c r="M16" s="251">
        <f t="shared" si="12"/>
        <v>0</v>
      </c>
      <c r="N16" s="243">
        <f>iferror(if(isblank(M15),"",if(or(N$7&lt;$D14,N$7=$D14),N15-1-N$6,N15-N$6)))</f>
        <v>10</v>
      </c>
      <c r="O16" s="244"/>
      <c r="P16" s="249">
        <f t="shared" ref="P16:X16" si="13">iferror(if(isblank(P15),"",if(and(18-$D14&lt;0,18+P$7&lt;$D14),P15-2-P$6,if(or(P$7&lt;$D14,P$7=$D14),P15-1-P$6,P15-P$6))))</f>
        <v>0</v>
      </c>
      <c r="Q16" s="250">
        <f t="shared" si="13"/>
        <v>0</v>
      </c>
      <c r="R16" s="250">
        <f t="shared" si="13"/>
        <v>2</v>
      </c>
      <c r="S16" s="250">
        <f t="shared" si="13"/>
        <v>0</v>
      </c>
      <c r="T16" s="250">
        <f t="shared" si="13"/>
        <v>1</v>
      </c>
      <c r="U16" s="250">
        <f t="shared" si="13"/>
        <v>1</v>
      </c>
      <c r="V16" s="250">
        <f t="shared" si="13"/>
        <v>1</v>
      </c>
      <c r="W16" s="250">
        <f t="shared" si="13"/>
        <v>-1</v>
      </c>
      <c r="X16" s="251">
        <f t="shared" si="13"/>
        <v>0</v>
      </c>
      <c r="Y16" s="243">
        <f>iferror(if(isblank(X15),"",if(or(Y$7&lt;$D14,Y$7=$D14),Y15-1-Y$6,Y15-Y$6)))</f>
        <v>7</v>
      </c>
      <c r="Z16" s="252">
        <f>if(isblank(X15),"",sum(N16,Y16))</f>
        <v>17</v>
      </c>
      <c r="AA16" s="1"/>
      <c r="AB16" s="1"/>
    </row>
    <row r="17">
      <c r="B17" s="1"/>
      <c r="C17" s="253" t="s">
        <v>172</v>
      </c>
      <c r="D17" s="253">
        <f>iferror(vlookup($C14,'TILT Round 2'!$C:$AA,25,false),"")</f>
        <v>2</v>
      </c>
      <c r="E17" s="255">
        <f t="shared" ref="E17:M17" si="14">iferror(if(isblank(E15),"",if(E16=-1,D17+1,if(E16=-2,D17+2,if(E16=-3,D17+3,1)))))</f>
        <v>1</v>
      </c>
      <c r="F17" s="256">
        <f t="shared" si="14"/>
        <v>1</v>
      </c>
      <c r="G17" s="256">
        <f t="shared" si="14"/>
        <v>1</v>
      </c>
      <c r="H17" s="256">
        <f t="shared" si="14"/>
        <v>1</v>
      </c>
      <c r="I17" s="256">
        <f t="shared" si="14"/>
        <v>1</v>
      </c>
      <c r="J17" s="256">
        <f t="shared" si="14"/>
        <v>1</v>
      </c>
      <c r="K17" s="256">
        <f t="shared" si="14"/>
        <v>1</v>
      </c>
      <c r="L17" s="256">
        <f t="shared" si="14"/>
        <v>2</v>
      </c>
      <c r="M17" s="257">
        <f t="shared" si="14"/>
        <v>1</v>
      </c>
      <c r="N17" s="258"/>
      <c r="O17" s="259">
        <f>iferror(if(isblank(N15),"",if(N16=-1,M17+1,if(N16=-2,M17+2,if(N16=-3,M17+3,1)))))</f>
        <v>1</v>
      </c>
      <c r="P17" s="255">
        <f t="shared" ref="P17:X17" si="15">iferror(if(isblank(P15),"",if(P16=-1,O17+1,if(P16=-2,O17+2,if(P16=-3,O17+3,1)))))</f>
        <v>1</v>
      </c>
      <c r="Q17" s="256">
        <f t="shared" si="15"/>
        <v>1</v>
      </c>
      <c r="R17" s="256">
        <f t="shared" si="15"/>
        <v>1</v>
      </c>
      <c r="S17" s="256">
        <f t="shared" si="15"/>
        <v>1</v>
      </c>
      <c r="T17" s="256">
        <f t="shared" si="15"/>
        <v>1</v>
      </c>
      <c r="U17" s="256">
        <f t="shared" si="15"/>
        <v>1</v>
      </c>
      <c r="V17" s="256">
        <f t="shared" si="15"/>
        <v>1</v>
      </c>
      <c r="W17" s="256">
        <f t="shared" si="15"/>
        <v>2</v>
      </c>
      <c r="X17" s="257">
        <f t="shared" si="15"/>
        <v>1</v>
      </c>
      <c r="Y17" s="258"/>
      <c r="Z17" s="234">
        <f>if(isblank(Y15),"",if(Y16=-1,X17+1,if(Y16=-2,X17+2,if(Y16=-3,X17+3,1))))</f>
        <v>1</v>
      </c>
      <c r="AA17" s="1"/>
      <c r="AB17" s="1"/>
    </row>
    <row r="18">
      <c r="B18" s="1"/>
      <c r="C18" s="1"/>
      <c r="D18" s="1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1"/>
      <c r="AB18" s="1"/>
    </row>
    <row r="19">
      <c r="B19" s="1"/>
      <c r="C19" s="229" t="str">
        <f>'ROUND 4 - SINGLES'!F35</f>
        <v>DEREK</v>
      </c>
      <c r="D19" s="229">
        <f>iferror(vlookup($C19,HANDICAPS!$B$33:$G$48,6,false),"")</f>
        <v>-1</v>
      </c>
      <c r="E19" s="231">
        <f>iferror(if(isblank(E20),"",if(E21=-3,16*D22,if(E21=-2,8*D22,if(E21=-1,4*D22,if(E21=0,2*D22,if(E21=1,0,if(E21&gt;1,-4*D22))))))+D20))</f>
        <v>-8</v>
      </c>
      <c r="F19" s="232">
        <f t="shared" ref="F19:M19" si="16">iferror(if(isblank(F20),"",if(F21=-3,16*E22+E19,if(F21=-2,8*E22+E19,if(F21=-1,4*E22+E19,if(F21=0,2*E22+E19,if(F21=1,0+E19,if(F21&gt;1,-4*E22+E19))))))))</f>
        <v>-6</v>
      </c>
      <c r="G19" s="232">
        <f t="shared" si="16"/>
        <v>-6</v>
      </c>
      <c r="H19" s="232">
        <f t="shared" si="16"/>
        <v>-6</v>
      </c>
      <c r="I19" s="232">
        <f t="shared" si="16"/>
        <v>-4</v>
      </c>
      <c r="J19" s="232">
        <f t="shared" si="16"/>
        <v>-2</v>
      </c>
      <c r="K19" s="232">
        <f t="shared" si="16"/>
        <v>-2</v>
      </c>
      <c r="L19" s="232">
        <f t="shared" si="16"/>
        <v>0</v>
      </c>
      <c r="M19" s="233">
        <f t="shared" si="16"/>
        <v>2</v>
      </c>
      <c r="N19" s="234">
        <f>M19</f>
        <v>2</v>
      </c>
      <c r="O19" s="235"/>
      <c r="P19" s="231">
        <f>iferror(if(isblank(P20),"",if(P21=-3,16*O22+O20+N19,if(P21=-2,8*O22+O20+N19,if(P21=-1,4*O22+O20+N19,if(P21=0,2*O22+O20+N19,if(P21=1,0+N19,if(P21&gt;1,-4*O22+O20+N19))))))))</f>
        <v>4</v>
      </c>
      <c r="Q19" s="232">
        <f t="shared" ref="Q19:X19" si="17">iferror(if(isblank(Q20),"",if(Q21=-3,16*P22+P19,if(Q21=-2,8*P22+P19,if(Q21=-1,4*P22+P19,if(Q21=0,2*P22+P19,if(Q21=1,0+P19,if(Q21&gt;1,-4*P22+P19))))))))</f>
        <v>6</v>
      </c>
      <c r="R19" s="232">
        <f t="shared" si="17"/>
        <v>8</v>
      </c>
      <c r="S19" s="232">
        <f t="shared" si="17"/>
        <v>10</v>
      </c>
      <c r="T19" s="232">
        <f t="shared" si="17"/>
        <v>12</v>
      </c>
      <c r="U19" s="232">
        <f t="shared" si="17"/>
        <v>8</v>
      </c>
      <c r="V19" s="232">
        <f t="shared" si="17"/>
        <v>10</v>
      </c>
      <c r="W19" s="232">
        <f t="shared" si="17"/>
        <v>10</v>
      </c>
      <c r="X19" s="233">
        <f t="shared" si="17"/>
        <v>10</v>
      </c>
      <c r="Y19" s="234">
        <f>iferror(if(isblank(X20),"",X19-N19))</f>
        <v>8</v>
      </c>
      <c r="Z19" s="234">
        <f>if(isblank(X20),0,X19)</f>
        <v>10</v>
      </c>
      <c r="AA19" s="1"/>
      <c r="AB19" s="1"/>
    </row>
    <row r="20">
      <c r="A20" s="237"/>
      <c r="B20" s="39"/>
      <c r="C20" s="238" t="s">
        <v>170</v>
      </c>
      <c r="D20" s="239"/>
      <c r="E20" s="240">
        <f>iferror(vlookup('ROUND 4 - SINGLES'!$B36,'ROUND 4 - SINGLES'!$B:$AC,7,false))</f>
        <v>7</v>
      </c>
      <c r="F20" s="241">
        <f>iferror(vlookup('ROUND 4 - SINGLES'!$B36,'ROUND 4 - SINGLES'!$B:$AC,8,false))</f>
        <v>4</v>
      </c>
      <c r="G20" s="241">
        <f>iferror(vlookup('ROUND 4 - SINGLES'!$B36,'ROUND 4 - SINGLES'!$B:$AC,9,false))</f>
        <v>4</v>
      </c>
      <c r="H20" s="241">
        <f>iferror(vlookup('ROUND 4 - SINGLES'!$B36,'ROUND 4 - SINGLES'!$B:$AC,10,false))</f>
        <v>5</v>
      </c>
      <c r="I20" s="241">
        <f>iferror(vlookup('ROUND 4 - SINGLES'!$B36,'ROUND 4 - SINGLES'!$B:$AC,11,false))</f>
        <v>5</v>
      </c>
      <c r="J20" s="241">
        <f>iferror(vlookup('ROUND 4 - SINGLES'!$B36,'ROUND 4 - SINGLES'!$B:$AC,12,false))</f>
        <v>4</v>
      </c>
      <c r="K20" s="241">
        <f>iferror(vlookup('ROUND 4 - SINGLES'!$B36,'ROUND 4 - SINGLES'!$B:$AC,13,false))</f>
        <v>5</v>
      </c>
      <c r="L20" s="241">
        <f>iferror(vlookup('ROUND 4 - SINGLES'!$B36,'ROUND 4 - SINGLES'!$B:$AC,14,false))</f>
        <v>4</v>
      </c>
      <c r="M20" s="242">
        <f>iferror(vlookup('ROUND 4 - SINGLES'!$B36,'ROUND 4 - SINGLES'!$B:$AC,15,false))</f>
        <v>3</v>
      </c>
      <c r="N20" s="243">
        <f>iferror(if(isblank(M20),"",sum(E20:M20)))</f>
        <v>41</v>
      </c>
      <c r="O20" s="244"/>
      <c r="P20" s="240">
        <f>iferror(vlookup('ROUND 4 - SINGLES'!$B36,'ROUND 4 - SINGLES'!$B:$AC,18,false))</f>
        <v>5</v>
      </c>
      <c r="Q20" s="241">
        <f>iferror(vlookup('ROUND 4 - SINGLES'!$B36,'ROUND 4 - SINGLES'!$B:$AC,19,false))</f>
        <v>4</v>
      </c>
      <c r="R20" s="241">
        <f>iferror(vlookup('ROUND 4 - SINGLES'!$B36,'ROUND 4 - SINGLES'!$B:$AC,20,false))</f>
        <v>4</v>
      </c>
      <c r="S20" s="241">
        <f>iferror(vlookup('ROUND 4 - SINGLES'!$B36,'ROUND 4 - SINGLES'!$B:$AC,21,false))</f>
        <v>3</v>
      </c>
      <c r="T20" s="241">
        <f>iferror(vlookup('ROUND 4 - SINGLES'!$B36,'ROUND 4 - SINGLES'!$B:$AC,22,false))</f>
        <v>5</v>
      </c>
      <c r="U20" s="241">
        <f>iferror(vlookup('ROUND 4 - SINGLES'!$B36,'ROUND 4 - SINGLES'!$B:$AC,23,false))</f>
        <v>6</v>
      </c>
      <c r="V20" s="241">
        <f>iferror(vlookup('ROUND 4 - SINGLES'!$B36,'ROUND 4 - SINGLES'!$B:$AC,24,false))</f>
        <v>4</v>
      </c>
      <c r="W20" s="241">
        <f>iferror(vlookup('ROUND 4 - SINGLES'!$B36,'ROUND 4 - SINGLES'!$B:$AC,25,false))</f>
        <v>4</v>
      </c>
      <c r="X20" s="242">
        <f>iferror(vlookup('ROUND 4 - SINGLES'!$B36,'ROUND 4 - SINGLES'!$B:$AC,26,false))</f>
        <v>5</v>
      </c>
      <c r="Y20" s="243">
        <f>iferror(if(isblank(X20),"",sum(P20:X20)))</f>
        <v>40</v>
      </c>
      <c r="Z20" s="245">
        <f>if(isblank(X20),"",sum(N20,Y20))</f>
        <v>81</v>
      </c>
      <c r="AA20" s="299"/>
      <c r="AB20" s="39"/>
    </row>
    <row r="21">
      <c r="A21" s="237"/>
      <c r="B21" s="39"/>
      <c r="C21" s="247" t="s">
        <v>171</v>
      </c>
      <c r="D21" s="248"/>
      <c r="E21" s="249">
        <f t="shared" ref="E21:M21" si="18">iferror(if(isblank(E20),"",if(and(18-$D19&lt;0,18+E$7&lt;$D19),E20-2-E$6,if(or(E$7&lt;$D19,E$7=$D19),E20-1-E$6,E20-E$6))))</f>
        <v>2</v>
      </c>
      <c r="F21" s="250">
        <f t="shared" si="18"/>
        <v>0</v>
      </c>
      <c r="G21" s="250">
        <f t="shared" si="18"/>
        <v>1</v>
      </c>
      <c r="H21" s="250">
        <f t="shared" si="18"/>
        <v>1</v>
      </c>
      <c r="I21" s="250">
        <f t="shared" si="18"/>
        <v>0</v>
      </c>
      <c r="J21" s="250">
        <f t="shared" si="18"/>
        <v>0</v>
      </c>
      <c r="K21" s="250">
        <f t="shared" si="18"/>
        <v>1</v>
      </c>
      <c r="L21" s="250">
        <f t="shared" si="18"/>
        <v>0</v>
      </c>
      <c r="M21" s="251">
        <f t="shared" si="18"/>
        <v>0</v>
      </c>
      <c r="N21" s="243">
        <f>iferror(if(isblank(M20),"",if(or(N$7&lt;$D19,N$7=$D19),N20-1-N$6,N20-N$6)))</f>
        <v>5</v>
      </c>
      <c r="O21" s="244"/>
      <c r="P21" s="249">
        <f t="shared" ref="P21:X21" si="19">iferror(if(isblank(P20),"",if(and(18-$D19&lt;0,18+P$7&lt;$D19),P20-2-P$6,if(or(P$7&lt;$D19,P$7=$D19),P20-1-P$6,P20-P$6))))</f>
        <v>0</v>
      </c>
      <c r="Q21" s="250">
        <f t="shared" si="19"/>
        <v>0</v>
      </c>
      <c r="R21" s="250">
        <f t="shared" si="19"/>
        <v>0</v>
      </c>
      <c r="S21" s="250">
        <f t="shared" si="19"/>
        <v>0</v>
      </c>
      <c r="T21" s="250">
        <f t="shared" si="19"/>
        <v>0</v>
      </c>
      <c r="U21" s="250">
        <f t="shared" si="19"/>
        <v>2</v>
      </c>
      <c r="V21" s="250">
        <f t="shared" si="19"/>
        <v>0</v>
      </c>
      <c r="W21" s="250">
        <f t="shared" si="19"/>
        <v>1</v>
      </c>
      <c r="X21" s="251">
        <f t="shared" si="19"/>
        <v>1</v>
      </c>
      <c r="Y21" s="243">
        <f>iferror(if(isblank(X20),"",if(or(Y$7&lt;$D19,Y$7=$D19),Y20-1-Y$6,Y20-Y$6)))</f>
        <v>4</v>
      </c>
      <c r="Z21" s="252">
        <f>if(isblank(X20),"",sum(N21,Y21))</f>
        <v>9</v>
      </c>
      <c r="AA21" s="39"/>
      <c r="AB21" s="39"/>
    </row>
    <row r="22">
      <c r="B22" s="1"/>
      <c r="C22" s="253" t="s">
        <v>172</v>
      </c>
      <c r="D22" s="253">
        <f>iferror(vlookup($C19,'TILT Round 2'!$C:$AA,25,false),"")</f>
        <v>2</v>
      </c>
      <c r="E22" s="255">
        <f t="shared" ref="E22:M22" si="20">iferror(if(isblank(E20),"",if(E21=-1,D22+1,if(E21=-2,D22+2,if(E21=-3,D22+3,1)))))</f>
        <v>1</v>
      </c>
      <c r="F22" s="256">
        <f t="shared" si="20"/>
        <v>1</v>
      </c>
      <c r="G22" s="256">
        <f t="shared" si="20"/>
        <v>1</v>
      </c>
      <c r="H22" s="256">
        <f t="shared" si="20"/>
        <v>1</v>
      </c>
      <c r="I22" s="256">
        <f t="shared" si="20"/>
        <v>1</v>
      </c>
      <c r="J22" s="256">
        <f t="shared" si="20"/>
        <v>1</v>
      </c>
      <c r="K22" s="256">
        <f t="shared" si="20"/>
        <v>1</v>
      </c>
      <c r="L22" s="256">
        <f t="shared" si="20"/>
        <v>1</v>
      </c>
      <c r="M22" s="257">
        <f t="shared" si="20"/>
        <v>1</v>
      </c>
      <c r="N22" s="258"/>
      <c r="O22" s="259">
        <f>iferror(if(isblank(N20),"",if(N21=-1,M22+1,if(N21=-2,M22+2,if(N21=-3,M22+3,1)))))</f>
        <v>1</v>
      </c>
      <c r="P22" s="255">
        <f t="shared" ref="P22:X22" si="21">iferror(if(isblank(P20),"",if(P21=-1,O22+1,if(P21=-2,O22+2,if(P21=-3,O22+3,1)))))</f>
        <v>1</v>
      </c>
      <c r="Q22" s="256">
        <f t="shared" si="21"/>
        <v>1</v>
      </c>
      <c r="R22" s="256">
        <f t="shared" si="21"/>
        <v>1</v>
      </c>
      <c r="S22" s="256">
        <f t="shared" si="21"/>
        <v>1</v>
      </c>
      <c r="T22" s="256">
        <f t="shared" si="21"/>
        <v>1</v>
      </c>
      <c r="U22" s="256">
        <f t="shared" si="21"/>
        <v>1</v>
      </c>
      <c r="V22" s="256">
        <f t="shared" si="21"/>
        <v>1</v>
      </c>
      <c r="W22" s="256">
        <f t="shared" si="21"/>
        <v>1</v>
      </c>
      <c r="X22" s="257">
        <f t="shared" si="21"/>
        <v>1</v>
      </c>
      <c r="Y22" s="258"/>
      <c r="Z22" s="234">
        <f>if(isblank(Y20),"",if(Y21=-1,X22+1,if(Y21=-2,X22+2,if(Y21=-3,X22+3,1))))</f>
        <v>1</v>
      </c>
      <c r="AA22" s="1"/>
      <c r="AB22" s="1"/>
    </row>
    <row r="23">
      <c r="B23" s="1"/>
      <c r="C23" s="261"/>
      <c r="D23" s="261"/>
      <c r="E23" s="262"/>
      <c r="F23" s="262"/>
      <c r="G23" s="262"/>
      <c r="H23" s="263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3"/>
      <c r="W23" s="262"/>
      <c r="X23" s="262"/>
      <c r="Y23" s="262"/>
      <c r="Z23" s="262"/>
      <c r="AA23" s="1"/>
      <c r="AB23" s="1"/>
    </row>
    <row r="24">
      <c r="B24" s="1"/>
      <c r="C24" s="229" t="str">
        <f>'ROUND 4 - SINGLES'!F43</f>
        <v>WAYS</v>
      </c>
      <c r="D24" s="229">
        <f>iferror(vlookup($C24,HANDICAPS!$B$33:$G$48,6,false),"")</f>
        <v>7</v>
      </c>
      <c r="E24" s="231">
        <f>iferror(if(isblank(E25),"",if(E26=-3,16*D27,if(E26=-2,8*D27,if(E26=-1,4*D27,if(E26=0,2*D27,if(E26=1,0,if(E26&gt;1,-4*D27))))))+D25))</f>
        <v>-12</v>
      </c>
      <c r="F24" s="232">
        <f t="shared" ref="F24:M24" si="22">iferror(if(isblank(F25),"",if(F26=-3,16*E27+E24,if(F26=-2,8*E27+E24,if(F26=-1,4*E27+E24,if(F26=0,2*E27+E24,if(F26=1,0+E24,if(F26&gt;1,-4*E27+E24))))))))</f>
        <v>-10</v>
      </c>
      <c r="G24" s="232">
        <f t="shared" si="22"/>
        <v>-8</v>
      </c>
      <c r="H24" s="232">
        <f t="shared" si="22"/>
        <v>0</v>
      </c>
      <c r="I24" s="232">
        <f t="shared" si="22"/>
        <v>12</v>
      </c>
      <c r="J24" s="232">
        <f t="shared" si="22"/>
        <v>12</v>
      </c>
      <c r="K24" s="232">
        <f t="shared" si="22"/>
        <v>16</v>
      </c>
      <c r="L24" s="232">
        <f t="shared" si="22"/>
        <v>16</v>
      </c>
      <c r="M24" s="233">
        <f t="shared" si="22"/>
        <v>18</v>
      </c>
      <c r="N24" s="234">
        <f>M24</f>
        <v>18</v>
      </c>
      <c r="O24" s="235"/>
      <c r="P24" s="231">
        <f>iferror(if(isblank(P25),"",if(P26=-3,16*O27+O25+N24,if(P26=-2,8*O27+O25+N24,if(P26=-1,4*O27+O25+N24,if(P26=0,2*O27+O25+N24,if(P26=1,0+N24,if(P26&gt;1,-4*O27+O25+N24))))))))</f>
        <v>18</v>
      </c>
      <c r="Q24" s="232">
        <f t="shared" ref="Q24:X24" si="23">iferror(if(isblank(Q25),"",if(Q26=-3,16*P27+P24,if(Q26=-2,8*P27+P24,if(Q26=-1,4*P27+P24,if(Q26=0,2*P27+P24,if(Q26=1,0+P24,if(Q26&gt;1,-4*P27+P24))))))))</f>
        <v>18</v>
      </c>
      <c r="R24" s="232">
        <f t="shared" si="23"/>
        <v>22</v>
      </c>
      <c r="S24" s="232">
        <f t="shared" si="23"/>
        <v>30</v>
      </c>
      <c r="T24" s="232">
        <f t="shared" si="23"/>
        <v>30</v>
      </c>
      <c r="U24" s="232">
        <f t="shared" si="23"/>
        <v>30</v>
      </c>
      <c r="V24" s="232">
        <f t="shared" si="23"/>
        <v>32</v>
      </c>
      <c r="W24" s="232">
        <f t="shared" si="23"/>
        <v>34</v>
      </c>
      <c r="X24" s="233">
        <f t="shared" si="23"/>
        <v>38</v>
      </c>
      <c r="Y24" s="234">
        <f>iferror(if(isblank(X25),"",X24-N24))</f>
        <v>20</v>
      </c>
      <c r="Z24" s="234">
        <f>if(isblank(X25),0,X24)</f>
        <v>38</v>
      </c>
      <c r="AA24" s="1"/>
      <c r="AB24" s="1"/>
    </row>
    <row r="25">
      <c r="B25" s="1"/>
      <c r="C25" s="238" t="s">
        <v>170</v>
      </c>
      <c r="D25" s="239"/>
      <c r="E25" s="240">
        <f>iferror(vlookup('ROUND 4 - SINGLES'!$B44,'ROUND 4 - SINGLES'!$B:$AC,7,false))</f>
        <v>7</v>
      </c>
      <c r="F25" s="241">
        <f>iferror(vlookup('ROUND 4 - SINGLES'!$B44,'ROUND 4 - SINGLES'!$B:$AC,8,false))</f>
        <v>5</v>
      </c>
      <c r="G25" s="241">
        <f>iferror(vlookup('ROUND 4 - SINGLES'!$B44,'ROUND 4 - SINGLES'!$B:$AC,9,false))</f>
        <v>3</v>
      </c>
      <c r="H25" s="241">
        <f>iferror(vlookup('ROUND 4 - SINGLES'!$B44,'ROUND 4 - SINGLES'!$B:$AC,10,false))</f>
        <v>3</v>
      </c>
      <c r="I25" s="241">
        <f>iferror(vlookup('ROUND 4 - SINGLES'!$B44,'ROUND 4 - SINGLES'!$B:$AC,11,false))</f>
        <v>5</v>
      </c>
      <c r="J25" s="241">
        <f>iferror(vlookup('ROUND 4 - SINGLES'!$B44,'ROUND 4 - SINGLES'!$B:$AC,12,false))</f>
        <v>5</v>
      </c>
      <c r="K25" s="241">
        <f>iferror(vlookup('ROUND 4 - SINGLES'!$B44,'ROUND 4 - SINGLES'!$B:$AC,13,false))</f>
        <v>4</v>
      </c>
      <c r="L25" s="241">
        <f>iferror(vlookup('ROUND 4 - SINGLES'!$B44,'ROUND 4 - SINGLES'!$B:$AC,14,false))</f>
        <v>5</v>
      </c>
      <c r="M25" s="242">
        <f>iferror(vlookup('ROUND 4 - SINGLES'!$B44,'ROUND 4 - SINGLES'!$B:$AC,15,false))</f>
        <v>3</v>
      </c>
      <c r="N25" s="243">
        <f>iferror(if(isblank(M25),"",sum(E25:M25)))</f>
        <v>40</v>
      </c>
      <c r="O25" s="244"/>
      <c r="P25" s="240">
        <f>iferror(vlookup('ROUND 4 - SINGLES'!$B44,'ROUND 4 - SINGLES'!$B:$AC,18,false))</f>
        <v>6</v>
      </c>
      <c r="Q25" s="241">
        <f>iferror(vlookup('ROUND 4 - SINGLES'!$B44,'ROUND 4 - SINGLES'!$B:$AC,19,false))</f>
        <v>5</v>
      </c>
      <c r="R25" s="241">
        <f>iferror(vlookup('ROUND 4 - SINGLES'!$B44,'ROUND 4 - SINGLES'!$B:$AC,20,false))</f>
        <v>4</v>
      </c>
      <c r="S25" s="241">
        <f>iferror(vlookup('ROUND 4 - SINGLES'!$B44,'ROUND 4 - SINGLES'!$B:$AC,21,false))</f>
        <v>3</v>
      </c>
      <c r="T25" s="241">
        <f>iferror(vlookup('ROUND 4 - SINGLES'!$B44,'ROUND 4 - SINGLES'!$B:$AC,22,false))</f>
        <v>6</v>
      </c>
      <c r="U25" s="241">
        <f>iferror(vlookup('ROUND 4 - SINGLES'!$B44,'ROUND 4 - SINGLES'!$B:$AC,23,false))</f>
        <v>5</v>
      </c>
      <c r="V25" s="241">
        <f>iferror(vlookup('ROUND 4 - SINGLES'!$B44,'ROUND 4 - SINGLES'!$B:$AC,24,false))</f>
        <v>4</v>
      </c>
      <c r="W25" s="241">
        <f>iferror(vlookup('ROUND 4 - SINGLES'!$B44,'ROUND 4 - SINGLES'!$B:$AC,25,false))</f>
        <v>3</v>
      </c>
      <c r="X25" s="242">
        <f>iferror(vlookup('ROUND 4 - SINGLES'!$B44,'ROUND 4 - SINGLES'!$B:$AC,26,false))</f>
        <v>4</v>
      </c>
      <c r="Y25" s="243">
        <f>iferror(if(isblank(X25),"",sum(P25:X25)))</f>
        <v>40</v>
      </c>
      <c r="Z25" s="245">
        <f>if(isblank(X25),"",sum(N25,Y25))</f>
        <v>80</v>
      </c>
      <c r="AA25" s="300"/>
      <c r="AB25" s="1"/>
    </row>
    <row r="26">
      <c r="B26" s="1"/>
      <c r="C26" s="247" t="s">
        <v>171</v>
      </c>
      <c r="D26" s="248"/>
      <c r="E26" s="249">
        <f t="shared" ref="E26:M26" si="24">iferror(if(isblank(E25),"",if(and(18-$D24&lt;0,18+E$7&lt;$D24),E25-2-E$6,if(or(E$7&lt;$D24,E$7=$D24),E25-1-E$6,E25-E$6))))</f>
        <v>2</v>
      </c>
      <c r="F26" s="250">
        <f t="shared" si="24"/>
        <v>0</v>
      </c>
      <c r="G26" s="250">
        <f t="shared" si="24"/>
        <v>0</v>
      </c>
      <c r="H26" s="250">
        <f t="shared" si="24"/>
        <v>-2</v>
      </c>
      <c r="I26" s="250">
        <f t="shared" si="24"/>
        <v>-1</v>
      </c>
      <c r="J26" s="250">
        <f t="shared" si="24"/>
        <v>1</v>
      </c>
      <c r="K26" s="250">
        <f t="shared" si="24"/>
        <v>-1</v>
      </c>
      <c r="L26" s="250">
        <f t="shared" si="24"/>
        <v>1</v>
      </c>
      <c r="M26" s="251">
        <f t="shared" si="24"/>
        <v>0</v>
      </c>
      <c r="N26" s="243">
        <f>iferror(if(isblank(M25),"",if(or(N$7&lt;$D24,N$7=$D24),N25-1-N$6,N25-N$6)))</f>
        <v>3</v>
      </c>
      <c r="O26" s="244"/>
      <c r="P26" s="249">
        <f t="shared" ref="P26:X26" si="25">iferror(if(isblank(P25),"",if(and(18-$D24&lt;0,18+P$7&lt;$D24),P25-2-P$6,if(or(P$7&lt;$D24,P$7=$D24),P25-1-P$6,P25-P$6))))</f>
        <v>1</v>
      </c>
      <c r="Q26" s="250">
        <f t="shared" si="25"/>
        <v>1</v>
      </c>
      <c r="R26" s="250">
        <f t="shared" si="25"/>
        <v>-1</v>
      </c>
      <c r="S26" s="250">
        <f t="shared" si="25"/>
        <v>-1</v>
      </c>
      <c r="T26" s="250">
        <f t="shared" si="25"/>
        <v>1</v>
      </c>
      <c r="U26" s="250">
        <f t="shared" si="25"/>
        <v>1</v>
      </c>
      <c r="V26" s="250">
        <f t="shared" si="25"/>
        <v>0</v>
      </c>
      <c r="W26" s="250">
        <f t="shared" si="25"/>
        <v>0</v>
      </c>
      <c r="X26" s="251">
        <f t="shared" si="25"/>
        <v>-1</v>
      </c>
      <c r="Y26" s="243">
        <f>iferror(if(isblank(X25),"",if(or(Y$7&lt;$D24,Y$7=$D24),Y25-1-Y$6,Y25-Y$6)))</f>
        <v>3</v>
      </c>
      <c r="Z26" s="252">
        <f>if(isblank(X25),"",sum(N26,Y26))</f>
        <v>6</v>
      </c>
      <c r="AA26" s="1"/>
      <c r="AB26" s="1"/>
    </row>
    <row r="27">
      <c r="B27" s="1"/>
      <c r="C27" s="253" t="s">
        <v>172</v>
      </c>
      <c r="D27" s="253">
        <f>iferror(vlookup($C24,'TILT Round 2'!$C:$AA,25,false),"")</f>
        <v>3</v>
      </c>
      <c r="E27" s="255">
        <f t="shared" ref="E27:M27" si="26">iferror(if(isblank(E25),"",if(E26=-1,D27+1,if(E26=-2,D27+2,if(E26=-3,D27+3,1)))))</f>
        <v>1</v>
      </c>
      <c r="F27" s="256">
        <f t="shared" si="26"/>
        <v>1</v>
      </c>
      <c r="G27" s="256">
        <f t="shared" si="26"/>
        <v>1</v>
      </c>
      <c r="H27" s="256">
        <f t="shared" si="26"/>
        <v>3</v>
      </c>
      <c r="I27" s="256">
        <f t="shared" si="26"/>
        <v>4</v>
      </c>
      <c r="J27" s="256">
        <f t="shared" si="26"/>
        <v>1</v>
      </c>
      <c r="K27" s="256">
        <f t="shared" si="26"/>
        <v>2</v>
      </c>
      <c r="L27" s="256">
        <f t="shared" si="26"/>
        <v>1</v>
      </c>
      <c r="M27" s="257">
        <f t="shared" si="26"/>
        <v>1</v>
      </c>
      <c r="N27" s="258"/>
      <c r="O27" s="259">
        <f>iferror(if(isblank(N25),"",if(N26=-1,M27+1,if(N26=-2,M27+2,if(N26=-3,M27+3,1)))))</f>
        <v>1</v>
      </c>
      <c r="P27" s="255">
        <f t="shared" ref="P27:X27" si="27">iferror(if(isblank(P25),"",if(P26=-1,O27+1,if(P26=-2,O27+2,if(P26=-3,O27+3,1)))))</f>
        <v>1</v>
      </c>
      <c r="Q27" s="256">
        <f t="shared" si="27"/>
        <v>1</v>
      </c>
      <c r="R27" s="256">
        <f t="shared" si="27"/>
        <v>2</v>
      </c>
      <c r="S27" s="256">
        <f t="shared" si="27"/>
        <v>3</v>
      </c>
      <c r="T27" s="256">
        <f t="shared" si="27"/>
        <v>1</v>
      </c>
      <c r="U27" s="256">
        <f t="shared" si="27"/>
        <v>1</v>
      </c>
      <c r="V27" s="256">
        <f t="shared" si="27"/>
        <v>1</v>
      </c>
      <c r="W27" s="256">
        <f t="shared" si="27"/>
        <v>1</v>
      </c>
      <c r="X27" s="257">
        <f t="shared" si="27"/>
        <v>2</v>
      </c>
      <c r="Y27" s="258"/>
      <c r="Z27" s="234">
        <f>if(isblank(Y25),"",if(Y26=-1,X27+1,if(Y26=-2,X27+2,if(Y26=-3,X27+3,1))))</f>
        <v>1</v>
      </c>
      <c r="AA27" s="1"/>
      <c r="AB27" s="1"/>
    </row>
    <row r="28">
      <c r="B28" s="1"/>
      <c r="C28" s="1"/>
      <c r="D28" s="1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1"/>
      <c r="AB28" s="1"/>
    </row>
    <row r="29">
      <c r="B29" s="1"/>
      <c r="C29" s="229" t="str">
        <f>'ROUND 4 - SINGLES'!F60</f>
        <v>DYLAN</v>
      </c>
      <c r="D29" s="229">
        <f>iferror(vlookup($C29,HANDICAPS!$B$33:$G$48,6,false),"")</f>
        <v>13</v>
      </c>
      <c r="E29" s="231">
        <f>iferror(if(isblank(E30),"",if(E31=-3,16*D32,if(E31=-2,8*D32,if(E31=-1,4*D32,if(E31=0,2*D32,if(E31=1,0,if(E31&gt;1,-4*D32))))))+D30))</f>
        <v>2</v>
      </c>
      <c r="F29" s="232">
        <f t="shared" ref="F29:M29" si="28">iferror(if(isblank(F30),"",if(F31=-3,16*E32+E29,if(F31=-2,8*E32+E29,if(F31=-1,4*E32+E29,if(F31=0,2*E32+E29,if(F31=1,0+E29,if(F31&gt;1,-4*E32+E29))))))))</f>
        <v>4</v>
      </c>
      <c r="G29" s="232">
        <f t="shared" si="28"/>
        <v>8</v>
      </c>
      <c r="H29" s="232">
        <f t="shared" si="28"/>
        <v>16</v>
      </c>
      <c r="I29" s="232">
        <f t="shared" si="28"/>
        <v>22</v>
      </c>
      <c r="J29" s="232">
        <f t="shared" si="28"/>
        <v>18</v>
      </c>
      <c r="K29" s="232">
        <f t="shared" si="28"/>
        <v>20</v>
      </c>
      <c r="L29" s="232">
        <f t="shared" si="28"/>
        <v>24</v>
      </c>
      <c r="M29" s="233">
        <f t="shared" si="28"/>
        <v>24</v>
      </c>
      <c r="N29" s="234">
        <f>M29</f>
        <v>24</v>
      </c>
      <c r="O29" s="235"/>
      <c r="P29" s="231">
        <f>iferror(if(isblank(P30),"",if(P31=-3,16*O32+O30+N29,if(P31=-2,8*O32+O30+N29,if(P31=-1,4*O32+O30+N29,if(P31=0,2*O32+O30+N29,if(P31=1,0+N29,if(P31&gt;1,-4*O32+O30+N29))))))))</f>
        <v>24</v>
      </c>
      <c r="Q29" s="232">
        <f t="shared" ref="Q29:X29" si="29">iferror(if(isblank(Q30),"",if(Q31=-3,16*P32+P29,if(Q31=-2,8*P32+P29,if(Q31=-1,4*P32+P29,if(Q31=0,2*P32+P29,if(Q31=1,0+P29,if(Q31&gt;1,-4*P32+P29))))))))</f>
        <v>28</v>
      </c>
      <c r="R29" s="232">
        <f t="shared" si="29"/>
        <v>28</v>
      </c>
      <c r="S29" s="232">
        <f t="shared" si="29"/>
        <v>30</v>
      </c>
      <c r="T29" s="232">
        <f t="shared" si="29"/>
        <v>26</v>
      </c>
      <c r="U29" s="232">
        <f t="shared" si="29"/>
        <v>22</v>
      </c>
      <c r="V29" s="232">
        <f t="shared" si="29"/>
        <v>24</v>
      </c>
      <c r="W29" s="232">
        <f t="shared" si="29"/>
        <v>26</v>
      </c>
      <c r="X29" s="233">
        <f t="shared" si="29"/>
        <v>26</v>
      </c>
      <c r="Y29" s="234">
        <f>iferror(if(isblank(X30),"",X29-N29))</f>
        <v>2</v>
      </c>
      <c r="Z29" s="234">
        <f>if(isblank(X30),0,X29)</f>
        <v>26</v>
      </c>
      <c r="AA29" s="1"/>
      <c r="AB29" s="1"/>
    </row>
    <row r="30">
      <c r="A30" s="237"/>
      <c r="B30" s="39"/>
      <c r="C30" s="238" t="s">
        <v>170</v>
      </c>
      <c r="D30" s="239"/>
      <c r="E30" s="240">
        <f>iferror(vlookup('ROUND 4 - SINGLES'!$B61,'ROUND 4 - SINGLES'!$B:$AC,7,false))</f>
        <v>5</v>
      </c>
      <c r="F30" s="241">
        <f>iferror(vlookup('ROUND 4 - SINGLES'!$B61,'ROUND 4 - SINGLES'!$B:$AC,8,false))</f>
        <v>5</v>
      </c>
      <c r="G30" s="241">
        <f>iferror(vlookup('ROUND 4 - SINGLES'!$B61,'ROUND 4 - SINGLES'!$B:$AC,9,false))</f>
        <v>3</v>
      </c>
      <c r="H30" s="241">
        <f>iferror(vlookup('ROUND 4 - SINGLES'!$B61,'ROUND 4 - SINGLES'!$B:$AC,10,false))</f>
        <v>4</v>
      </c>
      <c r="I30" s="241">
        <f>iferror(vlookup('ROUND 4 - SINGLES'!$B61,'ROUND 4 - SINGLES'!$B:$AC,11,false))</f>
        <v>6</v>
      </c>
      <c r="J30" s="241">
        <f>iferror(vlookup('ROUND 4 - SINGLES'!$B61,'ROUND 4 - SINGLES'!$B:$AC,12,false))</f>
        <v>6</v>
      </c>
      <c r="K30" s="241">
        <f>iferror(vlookup('ROUND 4 - SINGLES'!$B61,'ROUND 4 - SINGLES'!$B:$AC,13,false))</f>
        <v>5</v>
      </c>
      <c r="L30" s="241">
        <f>iferror(vlookup('ROUND 4 - SINGLES'!$B61,'ROUND 4 - SINGLES'!$B:$AC,14,false))</f>
        <v>4</v>
      </c>
      <c r="M30" s="242">
        <f>iferror(vlookup('ROUND 4 - SINGLES'!$B61,'ROUND 4 - SINGLES'!$B:$AC,15,false))</f>
        <v>5</v>
      </c>
      <c r="N30" s="243">
        <f>iferror(if(isblank(M30),"",sum(E30:M30)))</f>
        <v>43</v>
      </c>
      <c r="O30" s="244"/>
      <c r="P30" s="240">
        <f>iferror(vlookup('ROUND 4 - SINGLES'!$B61,'ROUND 4 - SINGLES'!$B:$AC,18,false))</f>
        <v>7</v>
      </c>
      <c r="Q30" s="241">
        <f>iferror(vlookup('ROUND 4 - SINGLES'!$B61,'ROUND 4 - SINGLES'!$B:$AC,19,false))</f>
        <v>4</v>
      </c>
      <c r="R30" s="241">
        <f>iferror(vlookup('ROUND 4 - SINGLES'!$B61,'ROUND 4 - SINGLES'!$B:$AC,20,false))</f>
        <v>6</v>
      </c>
      <c r="S30" s="241">
        <f>iferror(vlookup('ROUND 4 - SINGLES'!$B61,'ROUND 4 - SINGLES'!$B:$AC,21,false))</f>
        <v>4</v>
      </c>
      <c r="T30" s="241">
        <f>iferror(vlookup('ROUND 4 - SINGLES'!$B61,'ROUND 4 - SINGLES'!$B:$AC,22,false))</f>
        <v>7</v>
      </c>
      <c r="U30" s="241">
        <f>iferror(vlookup('ROUND 4 - SINGLES'!$B61,'ROUND 4 - SINGLES'!$B:$AC,23,false))</f>
        <v>6</v>
      </c>
      <c r="V30" s="241">
        <f>iferror(vlookup('ROUND 4 - SINGLES'!$B61,'ROUND 4 - SINGLES'!$B:$AC,24,false))</f>
        <v>4</v>
      </c>
      <c r="W30" s="241">
        <f>iferror(vlookup('ROUND 4 - SINGLES'!$B61,'ROUND 4 - SINGLES'!$B:$AC,25,false))</f>
        <v>4</v>
      </c>
      <c r="X30" s="242">
        <f>iferror(vlookup('ROUND 4 - SINGLES'!$B61,'ROUND 4 - SINGLES'!$B:$AC,26,false))</f>
        <v>6</v>
      </c>
      <c r="Y30" s="243">
        <f>iferror(if(isblank(X30),"",sum(P30:X30)))</f>
        <v>48</v>
      </c>
      <c r="Z30" s="245">
        <f>if(isblank(X30),"",sum(N30,Y30))</f>
        <v>91</v>
      </c>
      <c r="AA30" s="299"/>
      <c r="AB30" s="39"/>
    </row>
    <row r="31">
      <c r="A31" s="237"/>
      <c r="B31" s="39"/>
      <c r="C31" s="247" t="s">
        <v>171</v>
      </c>
      <c r="D31" s="248"/>
      <c r="E31" s="249">
        <f t="shared" ref="E31:M31" si="30">iferror(if(isblank(E30),"",if(and(18-$D29&lt;0,18+E$7&lt;$D29),E30-2-E$6,if(or(E$7&lt;$D29,E$7=$D29),E30-1-E$6,E30-E$6))))</f>
        <v>0</v>
      </c>
      <c r="F31" s="250">
        <f t="shared" si="30"/>
        <v>0</v>
      </c>
      <c r="G31" s="250">
        <f t="shared" si="30"/>
        <v>-1</v>
      </c>
      <c r="H31" s="250">
        <f t="shared" si="30"/>
        <v>-1</v>
      </c>
      <c r="I31" s="250">
        <f t="shared" si="30"/>
        <v>0</v>
      </c>
      <c r="J31" s="250">
        <f t="shared" si="30"/>
        <v>2</v>
      </c>
      <c r="K31" s="250">
        <f t="shared" si="30"/>
        <v>0</v>
      </c>
      <c r="L31" s="250">
        <f t="shared" si="30"/>
        <v>-1</v>
      </c>
      <c r="M31" s="251">
        <f t="shared" si="30"/>
        <v>1</v>
      </c>
      <c r="N31" s="243">
        <f>iferror(if(isblank(M30),"",if(or(N$7&lt;$D29,N$7=$D29),N30-1-N$6,N30-N$6)))</f>
        <v>6</v>
      </c>
      <c r="O31" s="244"/>
      <c r="P31" s="249">
        <f t="shared" ref="P31:X31" si="31">iferror(if(isblank(P30),"",if(and(18-$D29&lt;0,18+P$7&lt;$D29),P30-2-P$6,if(or(P$7&lt;$D29,P$7=$D29),P30-1-P$6,P30-P$6))))</f>
        <v>1</v>
      </c>
      <c r="Q31" s="250">
        <f t="shared" si="31"/>
        <v>-1</v>
      </c>
      <c r="R31" s="250">
        <f t="shared" si="31"/>
        <v>1</v>
      </c>
      <c r="S31" s="250">
        <f t="shared" si="31"/>
        <v>0</v>
      </c>
      <c r="T31" s="250">
        <f t="shared" si="31"/>
        <v>2</v>
      </c>
      <c r="U31" s="250">
        <f t="shared" si="31"/>
        <v>2</v>
      </c>
      <c r="V31" s="250">
        <f t="shared" si="31"/>
        <v>0</v>
      </c>
      <c r="W31" s="250">
        <f t="shared" si="31"/>
        <v>0</v>
      </c>
      <c r="X31" s="251">
        <f t="shared" si="31"/>
        <v>1</v>
      </c>
      <c r="Y31" s="243">
        <f>iferror(if(isblank(X30),"",if(or(Y$7&lt;$D29,Y$7=$D29),Y30-1-Y$6,Y30-Y$6)))</f>
        <v>11</v>
      </c>
      <c r="Z31" s="252">
        <f>if(isblank(X30),"",sum(N31,Y31))</f>
        <v>17</v>
      </c>
      <c r="AA31" s="39"/>
      <c r="AB31" s="39"/>
    </row>
    <row r="32">
      <c r="B32" s="1"/>
      <c r="C32" s="253" t="s">
        <v>172</v>
      </c>
      <c r="D32" s="253">
        <f>iferror(vlookup($C29,'TILT Round 2'!$C:$AA,25,false),"")</f>
        <v>1</v>
      </c>
      <c r="E32" s="255">
        <f t="shared" ref="E32:M32" si="32">iferror(if(isblank(E30),"",if(E31=-1,D32+1,if(E31=-2,D32+2,if(E31=-3,D32+3,1)))))</f>
        <v>1</v>
      </c>
      <c r="F32" s="256">
        <f t="shared" si="32"/>
        <v>1</v>
      </c>
      <c r="G32" s="256">
        <f t="shared" si="32"/>
        <v>2</v>
      </c>
      <c r="H32" s="256">
        <f t="shared" si="32"/>
        <v>3</v>
      </c>
      <c r="I32" s="256">
        <f t="shared" si="32"/>
        <v>1</v>
      </c>
      <c r="J32" s="256">
        <f t="shared" si="32"/>
        <v>1</v>
      </c>
      <c r="K32" s="256">
        <f t="shared" si="32"/>
        <v>1</v>
      </c>
      <c r="L32" s="256">
        <f t="shared" si="32"/>
        <v>2</v>
      </c>
      <c r="M32" s="257">
        <f t="shared" si="32"/>
        <v>1</v>
      </c>
      <c r="N32" s="258"/>
      <c r="O32" s="259">
        <f>iferror(if(isblank(N30),"",if(N31=-1,M32+1,if(N31=-2,M32+2,if(N31=-3,M32+3,1)))))</f>
        <v>1</v>
      </c>
      <c r="P32" s="255">
        <f t="shared" ref="P32:X32" si="33">iferror(if(isblank(P30),"",if(P31=-1,O32+1,if(P31=-2,O32+2,if(P31=-3,O32+3,1)))))</f>
        <v>1</v>
      </c>
      <c r="Q32" s="256">
        <f t="shared" si="33"/>
        <v>2</v>
      </c>
      <c r="R32" s="256">
        <f t="shared" si="33"/>
        <v>1</v>
      </c>
      <c r="S32" s="256">
        <f t="shared" si="33"/>
        <v>1</v>
      </c>
      <c r="T32" s="256">
        <f t="shared" si="33"/>
        <v>1</v>
      </c>
      <c r="U32" s="256">
        <f t="shared" si="33"/>
        <v>1</v>
      </c>
      <c r="V32" s="256">
        <f t="shared" si="33"/>
        <v>1</v>
      </c>
      <c r="W32" s="256">
        <f t="shared" si="33"/>
        <v>1</v>
      </c>
      <c r="X32" s="257">
        <f t="shared" si="33"/>
        <v>1</v>
      </c>
      <c r="Y32" s="258"/>
      <c r="Z32" s="234">
        <f>if(isblank(Y30),"",if(Y31=-1,X32+1,if(Y31=-2,X32+2,if(Y31=-3,X32+3,1))))</f>
        <v>1</v>
      </c>
      <c r="AA32" s="1"/>
      <c r="AB32" s="1"/>
    </row>
    <row r="33">
      <c r="B33" s="1"/>
      <c r="C33" s="261"/>
      <c r="D33" s="261"/>
      <c r="E33" s="262"/>
      <c r="F33" s="262"/>
      <c r="G33" s="262"/>
      <c r="H33" s="263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3"/>
      <c r="W33" s="262"/>
      <c r="X33" s="262"/>
      <c r="Y33" s="262"/>
      <c r="Z33" s="262"/>
      <c r="AA33" s="1"/>
      <c r="AB33" s="1"/>
    </row>
    <row r="34">
      <c r="B34" s="1"/>
      <c r="C34" s="229" t="str">
        <f>'ROUND 4 - SINGLES'!F68</f>
        <v>TOM</v>
      </c>
      <c r="D34" s="229">
        <f>iferror(vlookup($C34,HANDICAPS!$B$33:$G$48,6,false),"")</f>
        <v>14</v>
      </c>
      <c r="E34" s="231">
        <f>iferror(if(isblank(E35),"",if(E36=-3,16*D37,if(E36=-2,8*D37,if(E36=-1,4*D37,if(E36=0,2*D37,if(E36=1,0,if(E36&gt;1,-4*D37))))))+D35))</f>
        <v>-4</v>
      </c>
      <c r="F34" s="232">
        <f t="shared" ref="F34:M34" si="34">iferror(if(isblank(F35),"",if(F36=-3,16*E37+E34,if(F36=-2,8*E37+E34,if(F36=-1,4*E37+E34,if(F36=0,2*E37+E34,if(F36=1,0+E34,if(F36&gt;1,-4*E37+E34))))))))</f>
        <v>-8</v>
      </c>
      <c r="G34" s="232">
        <f t="shared" si="34"/>
        <v>-6</v>
      </c>
      <c r="H34" s="232">
        <f t="shared" si="34"/>
        <v>-2</v>
      </c>
      <c r="I34" s="232">
        <f t="shared" si="34"/>
        <v>-2</v>
      </c>
      <c r="J34" s="232">
        <f t="shared" si="34"/>
        <v>-2</v>
      </c>
      <c r="K34" s="232">
        <f t="shared" si="34"/>
        <v>2</v>
      </c>
      <c r="L34" s="232">
        <f t="shared" si="34"/>
        <v>-6</v>
      </c>
      <c r="M34" s="233">
        <f t="shared" si="34"/>
        <v>-2</v>
      </c>
      <c r="N34" s="234">
        <f>M34</f>
        <v>-2</v>
      </c>
      <c r="O34" s="235"/>
      <c r="P34" s="231">
        <f>iferror(if(isblank(P35),"",if(P36=-3,16*O37+O35+N34,if(P36=-2,8*O37+O35+N34,if(P36=-1,4*O37+O35+N34,if(P36=0,2*O37+O35+N34,if(P36=1,0+N34,if(P36&gt;1,-4*O37+O35+N34))))))))</f>
        <v>-6</v>
      </c>
      <c r="Q34" s="232">
        <f t="shared" ref="Q34:X34" si="35">iferror(if(isblank(Q35),"",if(Q36=-3,16*P37+P34,if(Q36=-2,8*P37+P34,if(Q36=-1,4*P37+P34,if(Q36=0,2*P37+P34,if(Q36=1,0+P34,if(Q36&gt;1,-4*P37+P34))))))))</f>
        <v>-4</v>
      </c>
      <c r="R34" s="232">
        <f t="shared" si="35"/>
        <v>0</v>
      </c>
      <c r="S34" s="232">
        <f t="shared" si="35"/>
        <v>4</v>
      </c>
      <c r="T34" s="232">
        <f t="shared" si="35"/>
        <v>8</v>
      </c>
      <c r="U34" s="232">
        <f t="shared" si="35"/>
        <v>12</v>
      </c>
      <c r="V34" s="232">
        <f t="shared" si="35"/>
        <v>14</v>
      </c>
      <c r="W34" s="232">
        <f t="shared" si="35"/>
        <v>16</v>
      </c>
      <c r="X34" s="233">
        <f t="shared" si="35"/>
        <v>18</v>
      </c>
      <c r="Y34" s="234">
        <f>iferror(if(isblank(X35),"",X34-N34))</f>
        <v>20</v>
      </c>
      <c r="Z34" s="234">
        <f>if(isblank(X35),0,X34)</f>
        <v>18</v>
      </c>
      <c r="AA34" s="1"/>
      <c r="AB34" s="1"/>
    </row>
    <row r="35">
      <c r="B35" s="1"/>
      <c r="C35" s="238" t="s">
        <v>170</v>
      </c>
      <c r="D35" s="239"/>
      <c r="E35" s="240">
        <f>iferror(vlookup('ROUND 4 - SINGLES'!$B69,'ROUND 4 - SINGLES'!$B:$AC,7,false))</f>
        <v>8</v>
      </c>
      <c r="F35" s="241">
        <f>iferror(vlookup('ROUND 4 - SINGLES'!$B69,'ROUND 4 - SINGLES'!$B:$AC,8,false))</f>
        <v>8</v>
      </c>
      <c r="G35" s="241">
        <f>iferror(vlookup('ROUND 4 - SINGLES'!$B69,'ROUND 4 - SINGLES'!$B:$AC,9,false))</f>
        <v>4</v>
      </c>
      <c r="H35" s="241">
        <f>iferror(vlookup('ROUND 4 - SINGLES'!$B69,'ROUND 4 - SINGLES'!$B:$AC,10,false))</f>
        <v>4</v>
      </c>
      <c r="I35" s="241">
        <f>iferror(vlookup('ROUND 4 - SINGLES'!$B69,'ROUND 4 - SINGLES'!$B:$AC,11,false))</f>
        <v>7</v>
      </c>
      <c r="J35" s="241">
        <f>iferror(vlookup('ROUND 4 - SINGLES'!$B69,'ROUND 4 - SINGLES'!$B:$AC,12,false))</f>
        <v>5</v>
      </c>
      <c r="K35" s="241">
        <f>iferror(vlookup('ROUND 4 - SINGLES'!$B69,'ROUND 4 - SINGLES'!$B:$AC,13,false))</f>
        <v>4</v>
      </c>
      <c r="L35" s="241">
        <f>iferror(vlookup('ROUND 4 - SINGLES'!$B69,'ROUND 4 - SINGLES'!$B:$AC,14,false))</f>
        <v>7</v>
      </c>
      <c r="M35" s="242">
        <f>iferror(vlookup('ROUND 4 - SINGLES'!$B69,'ROUND 4 - SINGLES'!$B:$AC,15,false))</f>
        <v>3</v>
      </c>
      <c r="N35" s="243">
        <f>iferror(if(isblank(M35),"",sum(E35:M35)))</f>
        <v>50</v>
      </c>
      <c r="O35" s="244"/>
      <c r="P35" s="240">
        <f>iferror(vlookup('ROUND 4 - SINGLES'!$B69,'ROUND 4 - SINGLES'!$B:$AC,18,false))</f>
        <v>8</v>
      </c>
      <c r="Q35" s="241">
        <f>iferror(vlookup('ROUND 4 - SINGLES'!$B69,'ROUND 4 - SINGLES'!$B:$AC,19,false))</f>
        <v>5</v>
      </c>
      <c r="R35" s="241">
        <f>iferror(vlookup('ROUND 4 - SINGLES'!$B69,'ROUND 4 - SINGLES'!$B:$AC,20,false))</f>
        <v>4</v>
      </c>
      <c r="S35" s="241">
        <f>iferror(vlookup('ROUND 4 - SINGLES'!$B69,'ROUND 4 - SINGLES'!$B:$AC,21,false))</f>
        <v>4</v>
      </c>
      <c r="T35" s="241">
        <f>iferror(vlookup('ROUND 4 - SINGLES'!$B69,'ROUND 4 - SINGLES'!$B:$AC,22,false))</f>
        <v>5</v>
      </c>
      <c r="U35" s="241">
        <f>iferror(vlookup('ROUND 4 - SINGLES'!$B69,'ROUND 4 - SINGLES'!$B:$AC,23,false))</f>
        <v>4</v>
      </c>
      <c r="V35" s="241">
        <f>iferror(vlookup('ROUND 4 - SINGLES'!$B69,'ROUND 4 - SINGLES'!$B:$AC,24,false))</f>
        <v>4</v>
      </c>
      <c r="W35" s="241">
        <f>iferror(vlookup('ROUND 4 - SINGLES'!$B69,'ROUND 4 - SINGLES'!$B:$AC,25,false))</f>
        <v>4</v>
      </c>
      <c r="X35" s="242">
        <f>iferror(vlookup('ROUND 4 - SINGLES'!$B69,'ROUND 4 - SINGLES'!$B:$AC,26,false))</f>
        <v>5</v>
      </c>
      <c r="Y35" s="243">
        <f>iferror(if(isblank(X35),"",sum(P35:X35)))</f>
        <v>43</v>
      </c>
      <c r="Z35" s="245">
        <f>if(isblank(X35),"",sum(N35,Y35))</f>
        <v>93</v>
      </c>
      <c r="AA35" s="300"/>
      <c r="AB35" s="1"/>
    </row>
    <row r="36">
      <c r="B36" s="1"/>
      <c r="C36" s="247" t="s">
        <v>171</v>
      </c>
      <c r="D36" s="248"/>
      <c r="E36" s="249">
        <f t="shared" ref="E36:M36" si="36">iferror(if(isblank(E35),"",if(and(18-$D34&lt;0,18+E$7&lt;$D34),E35-2-E$6,if(or(E$7&lt;$D34,E$7=$D34),E35-1-E$6,E35-E$6))))</f>
        <v>3</v>
      </c>
      <c r="F36" s="250">
        <f t="shared" si="36"/>
        <v>3</v>
      </c>
      <c r="G36" s="250">
        <f t="shared" si="36"/>
        <v>0</v>
      </c>
      <c r="H36" s="250">
        <f t="shared" si="36"/>
        <v>-1</v>
      </c>
      <c r="I36" s="250">
        <f t="shared" si="36"/>
        <v>1</v>
      </c>
      <c r="J36" s="250">
        <f t="shared" si="36"/>
        <v>1</v>
      </c>
      <c r="K36" s="250">
        <f t="shared" si="36"/>
        <v>-1</v>
      </c>
      <c r="L36" s="250">
        <f t="shared" si="36"/>
        <v>2</v>
      </c>
      <c r="M36" s="251">
        <f t="shared" si="36"/>
        <v>-1</v>
      </c>
      <c r="N36" s="243">
        <f>iferror(if(isblank(M35),"",if(or(N$7&lt;$D34,N$7=$D34),N35-1-N$6,N35-N$6)))</f>
        <v>13</v>
      </c>
      <c r="O36" s="244"/>
      <c r="P36" s="249">
        <f t="shared" ref="P36:X36" si="37">iferror(if(isblank(P35),"",if(and(18-$D34&lt;0,18+P$7&lt;$D34),P35-2-P$6,if(or(P$7&lt;$D34,P$7=$D34),P35-1-P$6,P35-P$6))))</f>
        <v>2</v>
      </c>
      <c r="Q36" s="250">
        <f t="shared" si="37"/>
        <v>0</v>
      </c>
      <c r="R36" s="250">
        <f t="shared" si="37"/>
        <v>-1</v>
      </c>
      <c r="S36" s="250">
        <f t="shared" si="37"/>
        <v>0</v>
      </c>
      <c r="T36" s="250">
        <f t="shared" si="37"/>
        <v>-1</v>
      </c>
      <c r="U36" s="250">
        <f t="shared" si="37"/>
        <v>0</v>
      </c>
      <c r="V36" s="250">
        <f t="shared" si="37"/>
        <v>0</v>
      </c>
      <c r="W36" s="250">
        <f t="shared" si="37"/>
        <v>0</v>
      </c>
      <c r="X36" s="251">
        <f t="shared" si="37"/>
        <v>0</v>
      </c>
      <c r="Y36" s="243">
        <f>iferror(if(isblank(X35),"",if(or(Y$7&lt;$D34,Y$7=$D34),Y35-1-Y$6,Y35-Y$6)))</f>
        <v>6</v>
      </c>
      <c r="Z36" s="252">
        <f>if(isblank(X35),"",sum(N36,Y36))</f>
        <v>19</v>
      </c>
      <c r="AA36" s="1"/>
      <c r="AB36" s="1"/>
    </row>
    <row r="37">
      <c r="B37" s="1"/>
      <c r="C37" s="253" t="s">
        <v>172</v>
      </c>
      <c r="D37" s="253">
        <f>iferror(vlookup($C34,'TILT Round 2'!$C:$AA,25,false),"")</f>
        <v>1</v>
      </c>
      <c r="E37" s="255">
        <f t="shared" ref="E37:M37" si="38">iferror(if(isblank(E35),"",if(E36=-1,D37+1,if(E36=-2,D37+2,if(E36=-3,D37+3,1)))))</f>
        <v>1</v>
      </c>
      <c r="F37" s="256">
        <f t="shared" si="38"/>
        <v>1</v>
      </c>
      <c r="G37" s="256">
        <f t="shared" si="38"/>
        <v>1</v>
      </c>
      <c r="H37" s="256">
        <f t="shared" si="38"/>
        <v>2</v>
      </c>
      <c r="I37" s="256">
        <f t="shared" si="38"/>
        <v>1</v>
      </c>
      <c r="J37" s="256">
        <f t="shared" si="38"/>
        <v>1</v>
      </c>
      <c r="K37" s="256">
        <f t="shared" si="38"/>
        <v>2</v>
      </c>
      <c r="L37" s="256">
        <f t="shared" si="38"/>
        <v>1</v>
      </c>
      <c r="M37" s="257">
        <f t="shared" si="38"/>
        <v>2</v>
      </c>
      <c r="N37" s="258"/>
      <c r="O37" s="259">
        <f>iferror(if(isblank(N35),"",if(N36=-1,M37+1,if(N36=-2,M37+2,if(N36=-3,M37+3,1)))))</f>
        <v>1</v>
      </c>
      <c r="P37" s="255">
        <f t="shared" ref="P37:X37" si="39">iferror(if(isblank(P35),"",if(P36=-1,O37+1,if(P36=-2,O37+2,if(P36=-3,O37+3,1)))))</f>
        <v>1</v>
      </c>
      <c r="Q37" s="256">
        <f t="shared" si="39"/>
        <v>1</v>
      </c>
      <c r="R37" s="256">
        <f t="shared" si="39"/>
        <v>2</v>
      </c>
      <c r="S37" s="256">
        <f t="shared" si="39"/>
        <v>1</v>
      </c>
      <c r="T37" s="256">
        <f t="shared" si="39"/>
        <v>2</v>
      </c>
      <c r="U37" s="256">
        <f t="shared" si="39"/>
        <v>1</v>
      </c>
      <c r="V37" s="256">
        <f t="shared" si="39"/>
        <v>1</v>
      </c>
      <c r="W37" s="256">
        <f t="shared" si="39"/>
        <v>1</v>
      </c>
      <c r="X37" s="257">
        <f t="shared" si="39"/>
        <v>1</v>
      </c>
      <c r="Y37" s="258"/>
      <c r="Z37" s="234">
        <f>if(isblank(Y35),"",if(Y36=-1,X37+1,if(Y36=-2,X37+2,if(Y36=-3,X37+3,1))))</f>
        <v>1</v>
      </c>
      <c r="AA37" s="1"/>
      <c r="AB37" s="1"/>
    </row>
    <row r="38">
      <c r="B38" s="1"/>
      <c r="C38" s="1"/>
      <c r="D38" s="1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1"/>
      <c r="AB38" s="1"/>
    </row>
    <row r="39">
      <c r="B39" s="1"/>
      <c r="C39" s="229" t="str">
        <f>'ROUND 4 - SINGLES'!F85</f>
        <v>ERIC</v>
      </c>
      <c r="D39" s="229">
        <f>iferror(vlookup($C39,HANDICAPS!$B$33:$G$48,6,false),"")</f>
        <v>15</v>
      </c>
      <c r="E39" s="231">
        <f>iferror(if(isblank(E40),"",if(E41=-3,16*D42,if(E41=-2,8*D42,if(E41=-1,4*D42,if(E41=0,2*D42,if(E41=1,0,if(E41&gt;1,-4*D42))))))+D40))</f>
        <v>-4</v>
      </c>
      <c r="F39" s="232">
        <f t="shared" ref="F39:M39" si="40">iferror(if(isblank(F40),"",if(F41=-3,16*E42+E39,if(F41=-2,8*E42+E39,if(F41=-1,4*E42+E39,if(F41=0,2*E42+E39,if(F41=1,0+E39,if(F41&gt;1,-4*E42+E39))))))))</f>
        <v>-4</v>
      </c>
      <c r="G39" s="232">
        <f t="shared" si="40"/>
        <v>-2</v>
      </c>
      <c r="H39" s="232">
        <f t="shared" si="40"/>
        <v>2</v>
      </c>
      <c r="I39" s="232">
        <f t="shared" si="40"/>
        <v>2</v>
      </c>
      <c r="J39" s="232">
        <f t="shared" si="40"/>
        <v>4</v>
      </c>
      <c r="K39" s="232">
        <f t="shared" si="40"/>
        <v>4</v>
      </c>
      <c r="L39" s="232">
        <f t="shared" si="40"/>
        <v>8</v>
      </c>
      <c r="M39" s="233">
        <f t="shared" si="40"/>
        <v>8</v>
      </c>
      <c r="N39" s="234">
        <f>M39</f>
        <v>8</v>
      </c>
      <c r="O39" s="235"/>
      <c r="P39" s="231">
        <f>iferror(if(isblank(P40),"",if(P41=-3,16*O42+O40+N39,if(P41=-2,8*O42+O40+N39,if(P41=-1,4*O42+O40+N39,if(P41=0,2*O42+O40+N39,if(P41=1,0+N39,if(P41&gt;1,-4*O42+O40+N39))))))))</f>
        <v>12</v>
      </c>
      <c r="Q39" s="232">
        <f t="shared" ref="Q39:X39" si="41">iferror(if(isblank(Q40),"",if(Q41=-3,16*P42+P39,if(Q41=-2,8*P42+P39,if(Q41=-1,4*P42+P39,if(Q41=0,2*P42+P39,if(Q41=1,0+P39,if(Q41&gt;1,-4*P42+P39))))))))</f>
        <v>16</v>
      </c>
      <c r="R39" s="232">
        <f t="shared" si="41"/>
        <v>16</v>
      </c>
      <c r="S39" s="232">
        <f t="shared" si="41"/>
        <v>20</v>
      </c>
      <c r="T39" s="232">
        <f t="shared" si="41"/>
        <v>20</v>
      </c>
      <c r="U39" s="232">
        <f t="shared" si="41"/>
        <v>16</v>
      </c>
      <c r="V39" s="232">
        <f t="shared" si="41"/>
        <v>16</v>
      </c>
      <c r="W39" s="232">
        <f t="shared" si="41"/>
        <v>24</v>
      </c>
      <c r="X39" s="233">
        <f t="shared" si="41"/>
        <v>12</v>
      </c>
      <c r="Y39" s="234">
        <f>iferror(if(isblank(X40),"",X39-N39))</f>
        <v>4</v>
      </c>
      <c r="Z39" s="234">
        <f>if(isblank(X40),0,X39)</f>
        <v>12</v>
      </c>
      <c r="AA39" s="1"/>
      <c r="AB39" s="1"/>
    </row>
    <row r="40">
      <c r="A40" s="237"/>
      <c r="B40" s="39"/>
      <c r="C40" s="238" t="s">
        <v>170</v>
      </c>
      <c r="D40" s="239"/>
      <c r="E40" s="240">
        <f>iferror(vlookup('ROUND 4 - SINGLES'!$B86,'ROUND 4 - SINGLES'!$B:$AC,7,false))</f>
        <v>8</v>
      </c>
      <c r="F40" s="241">
        <f>iferror(vlookup('ROUND 4 - SINGLES'!$B86,'ROUND 4 - SINGLES'!$B:$AC,8,false))</f>
        <v>6</v>
      </c>
      <c r="G40" s="241">
        <f>iferror(vlookup('ROUND 4 - SINGLES'!$B86,'ROUND 4 - SINGLES'!$B:$AC,9,false))</f>
        <v>4</v>
      </c>
      <c r="H40" s="241">
        <f>iferror(vlookup('ROUND 4 - SINGLES'!$B86,'ROUND 4 - SINGLES'!$B:$AC,10,false))</f>
        <v>4</v>
      </c>
      <c r="I40" s="241">
        <f>iferror(vlookup('ROUND 4 - SINGLES'!$B86,'ROUND 4 - SINGLES'!$B:$AC,11,false))</f>
        <v>7</v>
      </c>
      <c r="J40" s="241">
        <f>iferror(vlookup('ROUND 4 - SINGLES'!$B86,'ROUND 4 - SINGLES'!$B:$AC,12,false))</f>
        <v>4</v>
      </c>
      <c r="K40" s="241">
        <f>iferror(vlookup('ROUND 4 - SINGLES'!$B86,'ROUND 4 - SINGLES'!$B:$AC,13,false))</f>
        <v>6</v>
      </c>
      <c r="L40" s="241">
        <f>iferror(vlookup('ROUND 4 - SINGLES'!$B86,'ROUND 4 - SINGLES'!$B:$AC,14,false))</f>
        <v>4</v>
      </c>
      <c r="M40" s="242">
        <f>iferror(vlookup('ROUND 4 - SINGLES'!$B86,'ROUND 4 - SINGLES'!$B:$AC,15,false))</f>
        <v>5</v>
      </c>
      <c r="N40" s="243">
        <f>iferror(if(isblank(M40),"",sum(E40:M40)))</f>
        <v>48</v>
      </c>
      <c r="O40" s="244"/>
      <c r="P40" s="240">
        <f>iferror(vlookup('ROUND 4 - SINGLES'!$B86,'ROUND 4 - SINGLES'!$B:$AC,18,false))</f>
        <v>5</v>
      </c>
      <c r="Q40" s="241">
        <f>iferror(vlookup('ROUND 4 - SINGLES'!$B86,'ROUND 4 - SINGLES'!$B:$AC,19,false))</f>
        <v>5</v>
      </c>
      <c r="R40" s="241">
        <f>iferror(vlookup('ROUND 4 - SINGLES'!$B86,'ROUND 4 - SINGLES'!$B:$AC,20,false))</f>
        <v>6</v>
      </c>
      <c r="S40" s="241">
        <f>iferror(vlookup('ROUND 4 - SINGLES'!$B86,'ROUND 4 - SINGLES'!$B:$AC,21,false))</f>
        <v>3</v>
      </c>
      <c r="T40" s="241">
        <f>iferror(vlookup('ROUND 4 - SINGLES'!$B86,'ROUND 4 - SINGLES'!$B:$AC,22,false))</f>
        <v>7</v>
      </c>
      <c r="U40" s="241">
        <f>iferror(vlookup('ROUND 4 - SINGLES'!$B86,'ROUND 4 - SINGLES'!$B:$AC,23,false))</f>
        <v>6</v>
      </c>
      <c r="V40" s="241">
        <f>iferror(vlookup('ROUND 4 - SINGLES'!$B86,'ROUND 4 - SINGLES'!$B:$AC,24,false))</f>
        <v>5</v>
      </c>
      <c r="W40" s="241">
        <f>iferror(vlookup('ROUND 4 - SINGLES'!$B86,'ROUND 4 - SINGLES'!$B:$AC,25,false))</f>
        <v>2</v>
      </c>
      <c r="X40" s="242">
        <f>iferror(vlookup('ROUND 4 - SINGLES'!$B86,'ROUND 4 - SINGLES'!$B:$AC,26,false))</f>
        <v>7</v>
      </c>
      <c r="Y40" s="243">
        <f>iferror(if(isblank(X40),"",sum(P40:X40)))</f>
        <v>46</v>
      </c>
      <c r="Z40" s="245">
        <f>if(isblank(X40),"",sum(N40,Y40))</f>
        <v>94</v>
      </c>
      <c r="AA40" s="299"/>
      <c r="AB40" s="39"/>
    </row>
    <row r="41">
      <c r="A41" s="237"/>
      <c r="B41" s="39"/>
      <c r="C41" s="247" t="s">
        <v>171</v>
      </c>
      <c r="D41" s="248"/>
      <c r="E41" s="249">
        <f t="shared" ref="E41:M41" si="42">iferror(if(isblank(E40),"",if(and(18-$D39&lt;0,18+E$7&lt;$D39),E40-2-E$6,if(or(E$7&lt;$D39,E$7=$D39),E40-1-E$6,E40-E$6))))</f>
        <v>2</v>
      </c>
      <c r="F41" s="250">
        <f t="shared" si="42"/>
        <v>1</v>
      </c>
      <c r="G41" s="250">
        <f t="shared" si="42"/>
        <v>0</v>
      </c>
      <c r="H41" s="250">
        <f t="shared" si="42"/>
        <v>-1</v>
      </c>
      <c r="I41" s="250">
        <f t="shared" si="42"/>
        <v>1</v>
      </c>
      <c r="J41" s="250">
        <f t="shared" si="42"/>
        <v>0</v>
      </c>
      <c r="K41" s="250">
        <f t="shared" si="42"/>
        <v>1</v>
      </c>
      <c r="L41" s="250">
        <f t="shared" si="42"/>
        <v>-1</v>
      </c>
      <c r="M41" s="251">
        <f t="shared" si="42"/>
        <v>1</v>
      </c>
      <c r="N41" s="243">
        <f>iferror(if(isblank(M40),"",if(or(N$7&lt;$D39,N$7=$D39),N40-1-N$6,N40-N$6)))</f>
        <v>11</v>
      </c>
      <c r="O41" s="244"/>
      <c r="P41" s="249">
        <f t="shared" ref="P41:X41" si="43">iferror(if(isblank(P40),"",if(and(18-$D39&lt;0,18+P$7&lt;$D39),P40-2-P$6,if(or(P$7&lt;$D39,P$7=$D39),P40-1-P$6,P40-P$6))))</f>
        <v>-1</v>
      </c>
      <c r="Q41" s="250">
        <f t="shared" si="43"/>
        <v>0</v>
      </c>
      <c r="R41" s="250">
        <f t="shared" si="43"/>
        <v>1</v>
      </c>
      <c r="S41" s="250">
        <f t="shared" si="43"/>
        <v>-1</v>
      </c>
      <c r="T41" s="250">
        <f t="shared" si="43"/>
        <v>1</v>
      </c>
      <c r="U41" s="250">
        <f t="shared" si="43"/>
        <v>2</v>
      </c>
      <c r="V41" s="250">
        <f t="shared" si="43"/>
        <v>1</v>
      </c>
      <c r="W41" s="250">
        <f t="shared" si="43"/>
        <v>-2</v>
      </c>
      <c r="X41" s="251">
        <f t="shared" si="43"/>
        <v>2</v>
      </c>
      <c r="Y41" s="243">
        <f>iferror(if(isblank(X40),"",if(or(Y$7&lt;$D39,Y$7=$D39),Y40-1-Y$6,Y40-Y$6)))</f>
        <v>9</v>
      </c>
      <c r="Z41" s="252">
        <f>if(isblank(X40),"",sum(N41,Y41))</f>
        <v>20</v>
      </c>
      <c r="AA41" s="39"/>
      <c r="AB41" s="39"/>
    </row>
    <row r="42">
      <c r="B42" s="1"/>
      <c r="C42" s="253" t="s">
        <v>172</v>
      </c>
      <c r="D42" s="253">
        <f>iferror(vlookup($C39,'TILT Round 2'!$C:$AA,25,false),"")</f>
        <v>1</v>
      </c>
      <c r="E42" s="255">
        <f t="shared" ref="E42:M42" si="44">iferror(if(isblank(E40),"",if(E41=-1,D42+1,if(E41=-2,D42+2,if(E41=-3,D42+3,1)))))</f>
        <v>1</v>
      </c>
      <c r="F42" s="256">
        <f t="shared" si="44"/>
        <v>1</v>
      </c>
      <c r="G42" s="256">
        <f t="shared" si="44"/>
        <v>1</v>
      </c>
      <c r="H42" s="256">
        <f t="shared" si="44"/>
        <v>2</v>
      </c>
      <c r="I42" s="256">
        <f t="shared" si="44"/>
        <v>1</v>
      </c>
      <c r="J42" s="256">
        <f t="shared" si="44"/>
        <v>1</v>
      </c>
      <c r="K42" s="256">
        <f t="shared" si="44"/>
        <v>1</v>
      </c>
      <c r="L42" s="256">
        <f t="shared" si="44"/>
        <v>2</v>
      </c>
      <c r="M42" s="257">
        <f t="shared" si="44"/>
        <v>1</v>
      </c>
      <c r="N42" s="258"/>
      <c r="O42" s="259">
        <f>iferror(if(isblank(N40),"",if(N41=-1,M42+1,if(N41=-2,M42+2,if(N41=-3,M42+3,1)))))</f>
        <v>1</v>
      </c>
      <c r="P42" s="255">
        <f t="shared" ref="P42:X42" si="45">iferror(if(isblank(P40),"",if(P41=-1,O42+1,if(P41=-2,O42+2,if(P41=-3,O42+3,1)))))</f>
        <v>2</v>
      </c>
      <c r="Q42" s="256">
        <f t="shared" si="45"/>
        <v>1</v>
      </c>
      <c r="R42" s="256">
        <f t="shared" si="45"/>
        <v>1</v>
      </c>
      <c r="S42" s="256">
        <f t="shared" si="45"/>
        <v>2</v>
      </c>
      <c r="T42" s="256">
        <f t="shared" si="45"/>
        <v>1</v>
      </c>
      <c r="U42" s="256">
        <f t="shared" si="45"/>
        <v>1</v>
      </c>
      <c r="V42" s="256">
        <f t="shared" si="45"/>
        <v>1</v>
      </c>
      <c r="W42" s="256">
        <f t="shared" si="45"/>
        <v>3</v>
      </c>
      <c r="X42" s="257">
        <f t="shared" si="45"/>
        <v>1</v>
      </c>
      <c r="Y42" s="258"/>
      <c r="Z42" s="234">
        <f>if(isblank(Y40),"",if(Y41=-1,X42+1,if(Y41=-2,X42+2,if(Y41=-3,X42+3,1))))</f>
        <v>1</v>
      </c>
      <c r="AA42" s="1"/>
      <c r="AB42" s="1"/>
    </row>
    <row r="43">
      <c r="B43" s="1"/>
      <c r="C43" s="261"/>
      <c r="D43" s="261"/>
      <c r="E43" s="262"/>
      <c r="F43" s="262"/>
      <c r="G43" s="262"/>
      <c r="H43" s="263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3"/>
      <c r="W43" s="262"/>
      <c r="X43" s="262"/>
      <c r="Y43" s="262"/>
      <c r="Z43" s="234"/>
      <c r="AA43" s="1"/>
      <c r="AB43" s="1"/>
    </row>
    <row r="44">
      <c r="B44" s="1"/>
      <c r="C44" s="229" t="str">
        <f>'ROUND 4 - SINGLES'!F93</f>
        <v>DANNY</v>
      </c>
      <c r="D44" s="229">
        <f>iferror(vlookup($C44,HANDICAPS!$B$33:$G$48,6,false),"")</f>
        <v>7</v>
      </c>
      <c r="E44" s="231">
        <f>iferror(if(isblank(E45),"",if(E46=-3,16*D47,if(E46=-2,8*D47,if(E46=-1,4*D47,if(E46=0,2*D47,if(E46=1,0,if(E46&gt;1,-4*D47))))))+D45))</f>
        <v>0</v>
      </c>
      <c r="F44" s="232">
        <f t="shared" ref="F44:M44" si="46">iferror(if(isblank(F45),"",if(F46=-3,16*E47+E44,if(F46=-2,8*E47+E44,if(F46=-1,4*E47+E44,if(F46=0,2*E47+E44,if(F46=1,0+E44,if(F46&gt;1,-4*E47+E44))))))))</f>
        <v>4</v>
      </c>
      <c r="G44" s="232">
        <f t="shared" si="46"/>
        <v>4</v>
      </c>
      <c r="H44" s="232">
        <f t="shared" si="46"/>
        <v>4</v>
      </c>
      <c r="I44" s="232">
        <f t="shared" si="46"/>
        <v>4</v>
      </c>
      <c r="J44" s="232">
        <f t="shared" si="46"/>
        <v>0</v>
      </c>
      <c r="K44" s="232">
        <f t="shared" si="46"/>
        <v>4</v>
      </c>
      <c r="L44" s="232">
        <f t="shared" si="46"/>
        <v>4</v>
      </c>
      <c r="M44" s="233">
        <f t="shared" si="46"/>
        <v>6</v>
      </c>
      <c r="N44" s="234">
        <f>M44</f>
        <v>6</v>
      </c>
      <c r="O44" s="235"/>
      <c r="P44" s="231">
        <f>iferror(if(isblank(P45),"",if(P46=-3,16*O47+O45+N44,if(P46=-2,8*O47+O45+N44,if(P46=-1,4*O47+O45+N44,if(P46=0,2*O47+O45+N44,if(P46=1,0+N44,if(P46&gt;1,-4*O47+O45+N44))))))))</f>
        <v>6</v>
      </c>
      <c r="Q44" s="232">
        <f t="shared" ref="Q44:X44" si="47">iferror(if(isblank(Q45),"",if(Q46=-3,16*P47+P44,if(Q46=-2,8*P47+P44,if(Q46=-1,4*P47+P44,if(Q46=0,2*P47+P44,if(Q46=1,0+P44,if(Q46&gt;1,-4*P47+P44))))))))</f>
        <v>6</v>
      </c>
      <c r="R44" s="232">
        <f t="shared" si="47"/>
        <v>10</v>
      </c>
      <c r="S44" s="232">
        <f t="shared" si="47"/>
        <v>14</v>
      </c>
      <c r="T44" s="232">
        <f t="shared" si="47"/>
        <v>10</v>
      </c>
      <c r="U44" s="232">
        <f t="shared" si="47"/>
        <v>12</v>
      </c>
      <c r="V44" s="232">
        <f t="shared" si="47"/>
        <v>14</v>
      </c>
      <c r="W44" s="232">
        <f t="shared" si="47"/>
        <v>14</v>
      </c>
      <c r="X44" s="233">
        <f t="shared" si="47"/>
        <v>14</v>
      </c>
      <c r="Y44" s="234">
        <f>iferror(if(isblank(X45),"",X44-N44))</f>
        <v>8</v>
      </c>
      <c r="Z44" s="234">
        <f>if(isblank(X45),0,Y44)</f>
        <v>8</v>
      </c>
      <c r="AA44" s="1"/>
      <c r="AB44" s="1"/>
    </row>
    <row r="45">
      <c r="B45" s="1"/>
      <c r="C45" s="238" t="s">
        <v>170</v>
      </c>
      <c r="D45" s="239"/>
      <c r="E45" s="240">
        <f>iferror(vlookup('ROUND 4 - SINGLES'!$B94,'ROUND 4 - SINGLES'!$B:$AC,7,false))</f>
        <v>6</v>
      </c>
      <c r="F45" s="241">
        <f>iferror(vlookup('ROUND 4 - SINGLES'!$B94,'ROUND 4 - SINGLES'!$B:$AC,8,false))</f>
        <v>4</v>
      </c>
      <c r="G45" s="241">
        <f>iferror(vlookup('ROUND 4 - SINGLES'!$B94,'ROUND 4 - SINGLES'!$B:$AC,9,false))</f>
        <v>4</v>
      </c>
      <c r="H45" s="241">
        <f>iferror(vlookup('ROUND 4 - SINGLES'!$B94,'ROUND 4 - SINGLES'!$B:$AC,10,false))</f>
        <v>6</v>
      </c>
      <c r="I45" s="241">
        <f>iferror(vlookup('ROUND 4 - SINGLES'!$B94,'ROUND 4 - SINGLES'!$B:$AC,11,false))</f>
        <v>7</v>
      </c>
      <c r="J45" s="241">
        <f>iferror(vlookup('ROUND 4 - SINGLES'!$B94,'ROUND 4 - SINGLES'!$B:$AC,12,false))</f>
        <v>6</v>
      </c>
      <c r="K45" s="241">
        <f>iferror(vlookup('ROUND 4 - SINGLES'!$B94,'ROUND 4 - SINGLES'!$B:$AC,13,false))</f>
        <v>4</v>
      </c>
      <c r="L45" s="241">
        <f>iferror(vlookup('ROUND 4 - SINGLES'!$B94,'ROUND 4 - SINGLES'!$B:$AC,14,false))</f>
        <v>5</v>
      </c>
      <c r="M45" s="242">
        <f>iferror(vlookup('ROUND 4 - SINGLES'!$B94,'ROUND 4 - SINGLES'!$B:$AC,15,false))</f>
        <v>3</v>
      </c>
      <c r="N45" s="243">
        <f>iferror(if(isblank(M45),"",sum(E45:M45)))</f>
        <v>45</v>
      </c>
      <c r="O45" s="244"/>
      <c r="P45" s="240">
        <f>iferror(vlookup('ROUND 4 - SINGLES'!$B94,'ROUND 4 - SINGLES'!$B:$AC,18,false))</f>
        <v>6</v>
      </c>
      <c r="Q45" s="241">
        <f>iferror(vlookup('ROUND 4 - SINGLES'!$B94,'ROUND 4 - SINGLES'!$B:$AC,19,false))</f>
        <v>5</v>
      </c>
      <c r="R45" s="241">
        <f>iferror(vlookup('ROUND 4 - SINGLES'!$B94,'ROUND 4 - SINGLES'!$B:$AC,20,false))</f>
        <v>4</v>
      </c>
      <c r="S45" s="241">
        <f>iferror(vlookup('ROUND 4 - SINGLES'!$B94,'ROUND 4 - SINGLES'!$B:$AC,21,false))</f>
        <v>4</v>
      </c>
      <c r="T45" s="241">
        <f>iferror(vlookup('ROUND 4 - SINGLES'!$B94,'ROUND 4 - SINGLES'!$B:$AC,22,false))</f>
        <v>7</v>
      </c>
      <c r="U45" s="241">
        <f>iferror(vlookup('ROUND 4 - SINGLES'!$B94,'ROUND 4 - SINGLES'!$B:$AC,23,false))</f>
        <v>4</v>
      </c>
      <c r="V45" s="241">
        <f>iferror(vlookup('ROUND 4 - SINGLES'!$B94,'ROUND 4 - SINGLES'!$B:$AC,24,false))</f>
        <v>4</v>
      </c>
      <c r="W45" s="241">
        <f>iferror(vlookup('ROUND 4 - SINGLES'!$B94,'ROUND 4 - SINGLES'!$B:$AC,25,false))</f>
        <v>4</v>
      </c>
      <c r="X45" s="242">
        <f>iferror(vlookup('ROUND 4 - SINGLES'!$B94,'ROUND 4 - SINGLES'!$B:$AC,26,false))</f>
        <v>6</v>
      </c>
      <c r="Y45" s="243">
        <f>iferror(if(isblank(X45),"",sum(P45:X45)))</f>
        <v>44</v>
      </c>
      <c r="Z45" s="245">
        <f>if(isblank(X45),"",sum(N45,Y45))</f>
        <v>89</v>
      </c>
      <c r="AA45" s="300"/>
      <c r="AB45" s="1"/>
    </row>
    <row r="46">
      <c r="B46" s="1"/>
      <c r="C46" s="247" t="s">
        <v>171</v>
      </c>
      <c r="D46" s="248"/>
      <c r="E46" s="249">
        <f t="shared" ref="E46:M46" si="48">iferror(if(isblank(E45),"",if(and(18-$D44&lt;0,18+E$7&lt;$D44),E45-2-E$6,if(or(E$7&lt;$D44,E$7=$D44),E45-1-E$6,E45-E$6))))</f>
        <v>1</v>
      </c>
      <c r="F46" s="250">
        <f t="shared" si="48"/>
        <v>-1</v>
      </c>
      <c r="G46" s="250">
        <f t="shared" si="48"/>
        <v>1</v>
      </c>
      <c r="H46" s="250">
        <f t="shared" si="48"/>
        <v>1</v>
      </c>
      <c r="I46" s="250">
        <f t="shared" si="48"/>
        <v>1</v>
      </c>
      <c r="J46" s="250">
        <f t="shared" si="48"/>
        <v>2</v>
      </c>
      <c r="K46" s="250">
        <f t="shared" si="48"/>
        <v>-1</v>
      </c>
      <c r="L46" s="250">
        <f t="shared" si="48"/>
        <v>1</v>
      </c>
      <c r="M46" s="251">
        <f t="shared" si="48"/>
        <v>0</v>
      </c>
      <c r="N46" s="243">
        <f>iferror(if(isblank(M45),"",if(or(N$7&lt;$D44,N$7=$D44),N45-1-N$6,N45-N$6)))</f>
        <v>8</v>
      </c>
      <c r="O46" s="244"/>
      <c r="P46" s="249">
        <f t="shared" ref="P46:X46" si="49">iferror(if(isblank(P45),"",if(and(18-$D44&lt;0,18+P$7&lt;$D44),P45-2-P$6,if(or(P$7&lt;$D44,P$7=$D44),P45-1-P$6,P45-P$6))))</f>
        <v>1</v>
      </c>
      <c r="Q46" s="250">
        <f t="shared" si="49"/>
        <v>1</v>
      </c>
      <c r="R46" s="250">
        <f t="shared" si="49"/>
        <v>-1</v>
      </c>
      <c r="S46" s="250">
        <f t="shared" si="49"/>
        <v>0</v>
      </c>
      <c r="T46" s="250">
        <f t="shared" si="49"/>
        <v>2</v>
      </c>
      <c r="U46" s="250">
        <f t="shared" si="49"/>
        <v>0</v>
      </c>
      <c r="V46" s="250">
        <f t="shared" si="49"/>
        <v>0</v>
      </c>
      <c r="W46" s="250">
        <f t="shared" si="49"/>
        <v>1</v>
      </c>
      <c r="X46" s="251">
        <f t="shared" si="49"/>
        <v>1</v>
      </c>
      <c r="Y46" s="243">
        <f>iferror(if(isblank(X45),"",if(or(Y$7&lt;$D44,Y$7=$D44),Y45-1-Y$6,Y45-Y$6)))</f>
        <v>7</v>
      </c>
      <c r="Z46" s="252">
        <f>if(isblank(X45),"",sum(N46,Y46))</f>
        <v>15</v>
      </c>
      <c r="AA46" s="1"/>
      <c r="AB46" s="1"/>
    </row>
    <row r="47">
      <c r="B47" s="1"/>
      <c r="C47" s="253" t="s">
        <v>172</v>
      </c>
      <c r="D47" s="253">
        <f>iferror(vlookup($C44,'TILT Round 2'!$C:$AA,25,false),"")</f>
        <v>1</v>
      </c>
      <c r="E47" s="255">
        <f t="shared" ref="E47:M47" si="50">iferror(if(isblank(E45),"",if(E46=-1,D47+1,if(E46=-2,D47+2,if(E46=-3,D47+3,1)))))</f>
        <v>1</v>
      </c>
      <c r="F47" s="256">
        <f t="shared" si="50"/>
        <v>2</v>
      </c>
      <c r="G47" s="256">
        <f t="shared" si="50"/>
        <v>1</v>
      </c>
      <c r="H47" s="256">
        <f t="shared" si="50"/>
        <v>1</v>
      </c>
      <c r="I47" s="256">
        <f t="shared" si="50"/>
        <v>1</v>
      </c>
      <c r="J47" s="256">
        <f t="shared" si="50"/>
        <v>1</v>
      </c>
      <c r="K47" s="256">
        <f t="shared" si="50"/>
        <v>2</v>
      </c>
      <c r="L47" s="256">
        <f t="shared" si="50"/>
        <v>1</v>
      </c>
      <c r="M47" s="257">
        <f t="shared" si="50"/>
        <v>1</v>
      </c>
      <c r="N47" s="258"/>
      <c r="O47" s="259">
        <f>iferror(if(isblank(N45),"",if(N46=-1,M47+1,if(N46=-2,M47+2,if(N46=-3,M47+3,1)))))</f>
        <v>1</v>
      </c>
      <c r="P47" s="255">
        <f t="shared" ref="P47:X47" si="51">iferror(if(isblank(P45),"",if(P46=-1,O47+1,if(P46=-2,O47+2,if(P46=-3,O47+3,1)))))</f>
        <v>1</v>
      </c>
      <c r="Q47" s="256">
        <f t="shared" si="51"/>
        <v>1</v>
      </c>
      <c r="R47" s="256">
        <f t="shared" si="51"/>
        <v>2</v>
      </c>
      <c r="S47" s="256">
        <f t="shared" si="51"/>
        <v>1</v>
      </c>
      <c r="T47" s="256">
        <f t="shared" si="51"/>
        <v>1</v>
      </c>
      <c r="U47" s="256">
        <f t="shared" si="51"/>
        <v>1</v>
      </c>
      <c r="V47" s="256">
        <f t="shared" si="51"/>
        <v>1</v>
      </c>
      <c r="W47" s="256">
        <f t="shared" si="51"/>
        <v>1</v>
      </c>
      <c r="X47" s="257">
        <f t="shared" si="51"/>
        <v>1</v>
      </c>
      <c r="Y47" s="258"/>
      <c r="Z47" s="234">
        <f>if(isblank(Y45),"",if(Y46=-1,X47+1,if(Y46=-2,X47+2,if(Y46=-3,X47+3,1))))</f>
        <v>1</v>
      </c>
      <c r="AA47" s="1"/>
      <c r="AB47" s="1"/>
    </row>
    <row r="48">
      <c r="B48" s="1"/>
      <c r="C48" s="1"/>
      <c r="D48" s="1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1"/>
      <c r="AB48" s="1"/>
    </row>
    <row r="49">
      <c r="B49" s="1"/>
      <c r="C49" s="229" t="str">
        <f>'ROUND 4 - SINGLES'!F110</f>
        <v>RYAN</v>
      </c>
      <c r="D49" s="229">
        <f>iferror(vlookup($C49,HANDICAPS!$B$33:$G$48,6,false),"")</f>
        <v>25</v>
      </c>
      <c r="E49" s="231">
        <f>iferror(if(isblank(E50),"",if(E51=-3,16*D52,if(E51=-2,8*D52,if(E51=-1,4*D52,if(E51=0,2*D52,if(E51=1,0,if(E51&gt;1,-4*D52))))))+D50))</f>
        <v>4</v>
      </c>
      <c r="F49" s="232">
        <f t="shared" ref="F49:M49" si="52">iferror(if(isblank(F50),"",if(F51=-3,16*E52+E49,if(F51=-2,8*E52+E49,if(F51=-1,4*E52+E49,if(F51=0,2*E52+E49,if(F51=1,0+E49,if(F51&gt;1,-4*E52+E49))))))))</f>
        <v>8</v>
      </c>
      <c r="G49" s="232">
        <f t="shared" si="52"/>
        <v>10</v>
      </c>
      <c r="H49" s="232">
        <f t="shared" si="52"/>
        <v>10</v>
      </c>
      <c r="I49" s="232">
        <f t="shared" si="52"/>
        <v>10</v>
      </c>
      <c r="J49" s="232">
        <f t="shared" si="52"/>
        <v>12</v>
      </c>
      <c r="K49" s="232">
        <f t="shared" si="52"/>
        <v>14</v>
      </c>
      <c r="L49" s="232">
        <f t="shared" si="52"/>
        <v>10</v>
      </c>
      <c r="M49" s="233">
        <f t="shared" si="52"/>
        <v>12</v>
      </c>
      <c r="N49" s="234">
        <f>M49</f>
        <v>12</v>
      </c>
      <c r="O49" s="235"/>
      <c r="P49" s="231">
        <f>iferror(if(isblank(P50),"",if(P51=-3,16*O52+O50+N49,if(P51=-2,8*O52+O50+N49,if(P51=-1,4*O52+O50+N49,if(P51=0,2*O52+O50+N49,if(P51=1,0+N49,if(P51&gt;1,-4*O52+O50+N49))))))))</f>
        <v>8</v>
      </c>
      <c r="Q49" s="232">
        <f t="shared" ref="Q49:X49" si="53">iferror(if(isblank(Q50),"",if(Q51=-3,16*P52+P49,if(Q51=-2,8*P52+P49,if(Q51=-1,4*P52+P49,if(Q51=0,2*P52+P49,if(Q51=1,0+P49,if(Q51&gt;1,-4*P52+P49))))))))</f>
        <v>8</v>
      </c>
      <c r="R49" s="232">
        <f t="shared" si="53"/>
        <v>10</v>
      </c>
      <c r="S49" s="232">
        <f t="shared" si="53"/>
        <v>10</v>
      </c>
      <c r="T49" s="232">
        <f t="shared" si="53"/>
        <v>14</v>
      </c>
      <c r="U49" s="232">
        <f t="shared" si="53"/>
        <v>6</v>
      </c>
      <c r="V49" s="232">
        <f t="shared" si="53"/>
        <v>8</v>
      </c>
      <c r="W49" s="232">
        <f t="shared" si="53"/>
        <v>10</v>
      </c>
      <c r="X49" s="233">
        <f t="shared" si="53"/>
        <v>14</v>
      </c>
      <c r="Y49" s="234">
        <f>iferror(if(isblank(X50),"",X49-N49))</f>
        <v>2</v>
      </c>
      <c r="Z49" s="234">
        <f>if(isblank(X50),0,X49)</f>
        <v>14</v>
      </c>
      <c r="AA49" s="1"/>
      <c r="AB49" s="1"/>
    </row>
    <row r="50">
      <c r="A50" s="237"/>
      <c r="B50" s="39"/>
      <c r="C50" s="238" t="s">
        <v>170</v>
      </c>
      <c r="D50" s="239"/>
      <c r="E50" s="240">
        <f>iferror(vlookup('ROUND 4 - SINGLES'!$B111,'ROUND 4 - SINGLES'!$B:$AC,7,false))</f>
        <v>5</v>
      </c>
      <c r="F50" s="241">
        <f>iferror(vlookup('ROUND 4 - SINGLES'!$B111,'ROUND 4 - SINGLES'!$B:$AC,8,false))</f>
        <v>6</v>
      </c>
      <c r="G50" s="241">
        <f>iferror(vlookup('ROUND 4 - SINGLES'!$B111,'ROUND 4 - SINGLES'!$B:$AC,9,false))</f>
        <v>4</v>
      </c>
      <c r="H50" s="241">
        <f>iferror(vlookup('ROUND 4 - SINGLES'!$B111,'ROUND 4 - SINGLES'!$B:$AC,10,false))</f>
        <v>6</v>
      </c>
      <c r="I50" s="241">
        <f>iferror(vlookup('ROUND 4 - SINGLES'!$B111,'ROUND 4 - SINGLES'!$B:$AC,11,false))</f>
        <v>8</v>
      </c>
      <c r="J50" s="241">
        <f>iferror(vlookup('ROUND 4 - SINGLES'!$B111,'ROUND 4 - SINGLES'!$B:$AC,12,false))</f>
        <v>5</v>
      </c>
      <c r="K50" s="241">
        <f>iferror(vlookup('ROUND 4 - SINGLES'!$B111,'ROUND 4 - SINGLES'!$B:$AC,13,false))</f>
        <v>6</v>
      </c>
      <c r="L50" s="241">
        <f>iferror(vlookup('ROUND 4 - SINGLES'!$B111,'ROUND 4 - SINGLES'!$B:$AC,14,false))</f>
        <v>7</v>
      </c>
      <c r="M50" s="242">
        <f>iferror(vlookup('ROUND 4 - SINGLES'!$B111,'ROUND 4 - SINGLES'!$B:$AC,15,false))</f>
        <v>4</v>
      </c>
      <c r="N50" s="243">
        <f>iferror(if(isblank(M50),"",sum(E50:M50)))</f>
        <v>51</v>
      </c>
      <c r="O50" s="244"/>
      <c r="P50" s="240">
        <f>iferror(vlookup('ROUND 4 - SINGLES'!$B111,'ROUND 4 - SINGLES'!$B:$AC,18,false))</f>
        <v>8</v>
      </c>
      <c r="Q50" s="241">
        <f>iferror(vlookup('ROUND 4 - SINGLES'!$B111,'ROUND 4 - SINGLES'!$B:$AC,19,false))</f>
        <v>6</v>
      </c>
      <c r="R50" s="241">
        <f>iferror(vlookup('ROUND 4 - SINGLES'!$B111,'ROUND 4 - SINGLES'!$B:$AC,20,false))</f>
        <v>6</v>
      </c>
      <c r="S50" s="241">
        <f>iferror(vlookup('ROUND 4 - SINGLES'!$B111,'ROUND 4 - SINGLES'!$B:$AC,21,false))</f>
        <v>6</v>
      </c>
      <c r="T50" s="241">
        <f>iferror(vlookup('ROUND 4 - SINGLES'!$B111,'ROUND 4 - SINGLES'!$B:$AC,22,false))</f>
        <v>5</v>
      </c>
      <c r="U50" s="241">
        <f>iferror(vlookup('ROUND 4 - SINGLES'!$B111,'ROUND 4 - SINGLES'!$B:$AC,23,false))</f>
        <v>8</v>
      </c>
      <c r="V50" s="241">
        <f>iferror(vlookup('ROUND 4 - SINGLES'!$B111,'ROUND 4 - SINGLES'!$B:$AC,24,false))</f>
        <v>5</v>
      </c>
      <c r="W50" s="241">
        <f>iferror(vlookup('ROUND 4 - SINGLES'!$B111,'ROUND 4 - SINGLES'!$B:$AC,25,false))</f>
        <v>4</v>
      </c>
      <c r="X50" s="242">
        <f>iferror(vlookup('ROUND 4 - SINGLES'!$B111,'ROUND 4 - SINGLES'!$B:$AC,26,false))</f>
        <v>5</v>
      </c>
      <c r="Y50" s="243">
        <f>iferror(if(isblank(X50),"",sum(P50:X50)))</f>
        <v>53</v>
      </c>
      <c r="Z50" s="245">
        <f>if(isblank(X50),"",sum(N50,Y50))</f>
        <v>104</v>
      </c>
      <c r="AA50" s="39"/>
      <c r="AB50" s="39"/>
    </row>
    <row r="51">
      <c r="A51" s="237"/>
      <c r="B51" s="39"/>
      <c r="C51" s="247" t="s">
        <v>171</v>
      </c>
      <c r="D51" s="248"/>
      <c r="E51" s="249">
        <f t="shared" ref="E51:M51" si="54">iferror(if(isblank(E50),"",if(and(18-$D49&lt;0,18+E$7&lt;$D49),E50-2-E$6,if(or(E$7&lt;$D49,E$7=$D49),E50-1-E$6,E50-E$6))))</f>
        <v>-1</v>
      </c>
      <c r="F51" s="250">
        <f t="shared" si="54"/>
        <v>0</v>
      </c>
      <c r="G51" s="250">
        <f t="shared" si="54"/>
        <v>0</v>
      </c>
      <c r="H51" s="250">
        <f t="shared" si="54"/>
        <v>1</v>
      </c>
      <c r="I51" s="250">
        <f t="shared" si="54"/>
        <v>1</v>
      </c>
      <c r="J51" s="250">
        <f t="shared" si="54"/>
        <v>0</v>
      </c>
      <c r="K51" s="250">
        <f t="shared" si="54"/>
        <v>0</v>
      </c>
      <c r="L51" s="250">
        <f t="shared" si="54"/>
        <v>2</v>
      </c>
      <c r="M51" s="251">
        <f t="shared" si="54"/>
        <v>0</v>
      </c>
      <c r="N51" s="243">
        <f>iferror(if(isblank(M50),"",if(or(N$7&lt;$D49,N$7=$D49),N50-1-N$6,N50-N$6)))</f>
        <v>14</v>
      </c>
      <c r="O51" s="244"/>
      <c r="P51" s="249">
        <f t="shared" ref="P51:X51" si="55">iferror(if(isblank(P50),"",if(and(18-$D49&lt;0,18+P$7&lt;$D49),P50-2-P$6,if(or(P$7&lt;$D49,P$7=$D49),P50-1-P$6,P50-P$6))))</f>
        <v>2</v>
      </c>
      <c r="Q51" s="250">
        <f t="shared" si="55"/>
        <v>1</v>
      </c>
      <c r="R51" s="250">
        <f t="shared" si="55"/>
        <v>0</v>
      </c>
      <c r="S51" s="250">
        <f t="shared" si="55"/>
        <v>1</v>
      </c>
      <c r="T51" s="250">
        <f t="shared" si="55"/>
        <v>-1</v>
      </c>
      <c r="U51" s="250">
        <f t="shared" si="55"/>
        <v>3</v>
      </c>
      <c r="V51" s="250">
        <f t="shared" si="55"/>
        <v>0</v>
      </c>
      <c r="W51" s="250">
        <f t="shared" si="55"/>
        <v>0</v>
      </c>
      <c r="X51" s="251">
        <f t="shared" si="55"/>
        <v>-1</v>
      </c>
      <c r="Y51" s="243">
        <f>iferror(if(isblank(X50),"",if(or(Y$7&lt;$D49,Y$7=$D49),Y50-1-Y$6,Y50-Y$6)))</f>
        <v>16</v>
      </c>
      <c r="Z51" s="252">
        <f>if(isblank(X50),"",sum(N51,Y51))</f>
        <v>30</v>
      </c>
      <c r="AA51" s="39"/>
      <c r="AB51" s="39"/>
    </row>
    <row r="52">
      <c r="B52" s="1"/>
      <c r="C52" s="253" t="s">
        <v>172</v>
      </c>
      <c r="D52" s="253">
        <f>iferror(vlookup($C49,'TILT Round 2'!$C:$AA,25,false),"")</f>
        <v>1</v>
      </c>
      <c r="E52" s="255">
        <f t="shared" ref="E52:M52" si="56">iferror(if(isblank(E50),"",if(E51=-1,D52+1,if(E51=-2,D52+2,if(E51=-3,D52+3,1)))))</f>
        <v>2</v>
      </c>
      <c r="F52" s="256">
        <f t="shared" si="56"/>
        <v>1</v>
      </c>
      <c r="G52" s="256">
        <f t="shared" si="56"/>
        <v>1</v>
      </c>
      <c r="H52" s="256">
        <f t="shared" si="56"/>
        <v>1</v>
      </c>
      <c r="I52" s="256">
        <f t="shared" si="56"/>
        <v>1</v>
      </c>
      <c r="J52" s="256">
        <f t="shared" si="56"/>
        <v>1</v>
      </c>
      <c r="K52" s="256">
        <f t="shared" si="56"/>
        <v>1</v>
      </c>
      <c r="L52" s="256">
        <f t="shared" si="56"/>
        <v>1</v>
      </c>
      <c r="M52" s="257">
        <f t="shared" si="56"/>
        <v>1</v>
      </c>
      <c r="N52" s="258"/>
      <c r="O52" s="259">
        <f>iferror(if(isblank(N50),"",if(N51=-1,M52+1,if(N51=-2,M52+2,if(N51=-3,M52+3,1)))))</f>
        <v>1</v>
      </c>
      <c r="P52" s="255">
        <f t="shared" ref="P52:X52" si="57">iferror(if(isblank(P50),"",if(P51=-1,O52+1,if(P51=-2,O52+2,if(P51=-3,O52+3,1)))))</f>
        <v>1</v>
      </c>
      <c r="Q52" s="256">
        <f t="shared" si="57"/>
        <v>1</v>
      </c>
      <c r="R52" s="256">
        <f t="shared" si="57"/>
        <v>1</v>
      </c>
      <c r="S52" s="256">
        <f t="shared" si="57"/>
        <v>1</v>
      </c>
      <c r="T52" s="256">
        <f t="shared" si="57"/>
        <v>2</v>
      </c>
      <c r="U52" s="256">
        <f t="shared" si="57"/>
        <v>1</v>
      </c>
      <c r="V52" s="256">
        <f t="shared" si="57"/>
        <v>1</v>
      </c>
      <c r="W52" s="256">
        <f t="shared" si="57"/>
        <v>1</v>
      </c>
      <c r="X52" s="257">
        <f t="shared" si="57"/>
        <v>2</v>
      </c>
      <c r="Y52" s="258"/>
      <c r="Z52" s="234">
        <f>if(isblank(Y50),"",if(Y51=-1,X52+1,if(Y51=-2,X52+2,if(Y51=-3,X52+3,1))))</f>
        <v>1</v>
      </c>
      <c r="AA52" s="1"/>
      <c r="AB52" s="1"/>
    </row>
    <row r="53">
      <c r="B53" s="1"/>
      <c r="C53" s="261"/>
      <c r="D53" s="261"/>
      <c r="E53" s="262"/>
      <c r="F53" s="262"/>
      <c r="G53" s="262"/>
      <c r="H53" s="263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3"/>
      <c r="W53" s="262"/>
      <c r="X53" s="262"/>
      <c r="Y53" s="262"/>
      <c r="Z53" s="262"/>
      <c r="AA53" s="1"/>
      <c r="AB53" s="1"/>
    </row>
    <row r="54">
      <c r="B54" s="1"/>
      <c r="C54" s="229" t="str">
        <f>'ROUND 4 - SINGLES'!F118</f>
        <v>SHEPP</v>
      </c>
      <c r="D54" s="229">
        <f>iferror(vlookup($C54,HANDICAPS!$B$33:$G$48,6,false),"")</f>
        <v>21</v>
      </c>
      <c r="E54" s="231">
        <f>iferror(if(isblank(E55),"",if(E56=-3,16*D57,if(E56=-2,8*D57,if(E56=-1,4*D57,if(E56=0,2*D57,if(E56=1,0,if(E56&gt;1,-4*D57))))))+D55))</f>
        <v>0</v>
      </c>
      <c r="F54" s="232">
        <f t="shared" ref="F54:M54" si="58">iferror(if(isblank(F55),"",if(F56=-3,16*E57+E54,if(F56=-2,8*E57+E54,if(F56=-1,4*E57+E54,if(F56=0,2*E57+E54,if(F56=1,0+E54,if(F56&gt;1,-4*E57+E54))))))))</f>
        <v>-4</v>
      </c>
      <c r="G54" s="232">
        <f t="shared" si="58"/>
        <v>-2</v>
      </c>
      <c r="H54" s="232">
        <f t="shared" si="58"/>
        <v>-2</v>
      </c>
      <c r="I54" s="232">
        <f t="shared" si="58"/>
        <v>-2</v>
      </c>
      <c r="J54" s="232">
        <f t="shared" si="58"/>
        <v>0</v>
      </c>
      <c r="K54" s="232">
        <f t="shared" si="58"/>
        <v>-4</v>
      </c>
      <c r="L54" s="232">
        <f t="shared" si="58"/>
        <v>-8</v>
      </c>
      <c r="M54" s="233">
        <f t="shared" si="58"/>
        <v>-12</v>
      </c>
      <c r="N54" s="234">
        <f>M54</f>
        <v>-12</v>
      </c>
      <c r="O54" s="235"/>
      <c r="P54" s="231">
        <f>iferror(if(isblank(P55),"",if(P56=-3,16*O57+O55+N54,if(P56=-2,8*O57+O55+N54,if(P56=-1,4*O57+O55+N54,if(P56=0,2*O57+O55+N54,if(P56=1,0+N54,if(P56&gt;1,-4*O57+O55+N54))))))))</f>
        <v>-16</v>
      </c>
      <c r="Q54" s="232">
        <f t="shared" ref="Q54:X54" si="59">iferror(if(isblank(Q55),"",if(Q56=-3,16*P57+P54,if(Q56=-2,8*P57+P54,if(Q56=-1,4*P57+P54,if(Q56=0,2*P57+P54,if(Q56=1,0+P54,if(Q56&gt;1,-4*P57+P54))))))))</f>
        <v>-20</v>
      </c>
      <c r="R54" s="232">
        <f t="shared" si="59"/>
        <v>-24</v>
      </c>
      <c r="S54" s="232">
        <f t="shared" si="59"/>
        <v>-22</v>
      </c>
      <c r="T54" s="232">
        <f t="shared" si="59"/>
        <v>-22</v>
      </c>
      <c r="U54" s="232">
        <f t="shared" si="59"/>
        <v>-26</v>
      </c>
      <c r="V54" s="232">
        <f t="shared" si="59"/>
        <v>-26</v>
      </c>
      <c r="W54" s="232">
        <f t="shared" si="59"/>
        <v>-24</v>
      </c>
      <c r="X54" s="233">
        <f t="shared" si="59"/>
        <v>-28</v>
      </c>
      <c r="Y54" s="234">
        <f>iferror(if(isblank(X55),"",X54-N54))</f>
        <v>-16</v>
      </c>
      <c r="Z54" s="234">
        <f>if(isblank(X55),0,Y54)</f>
        <v>-16</v>
      </c>
      <c r="AA54" s="1"/>
      <c r="AB54" s="1"/>
    </row>
    <row r="55">
      <c r="B55" s="1"/>
      <c r="C55" s="238" t="s">
        <v>170</v>
      </c>
      <c r="D55" s="239"/>
      <c r="E55" s="240">
        <f>iferror(vlookup('ROUND 4 - SINGLES'!$B119,'ROUND 4 - SINGLES'!$B:$AC,7,false))</f>
        <v>7</v>
      </c>
      <c r="F55" s="241">
        <f>iferror(vlookup('ROUND 4 - SINGLES'!$B119,'ROUND 4 - SINGLES'!$B:$AC,8,false))</f>
        <v>7</v>
      </c>
      <c r="G55" s="241">
        <f>iferror(vlookup('ROUND 4 - SINGLES'!$B119,'ROUND 4 - SINGLES'!$B:$AC,9,false))</f>
        <v>4</v>
      </c>
      <c r="H55" s="241">
        <f>iferror(vlookup('ROUND 4 - SINGLES'!$B119,'ROUND 4 - SINGLES'!$B:$AC,10,false))</f>
        <v>6</v>
      </c>
      <c r="I55" s="241">
        <f>iferror(vlookup('ROUND 4 - SINGLES'!$B119,'ROUND 4 - SINGLES'!$B:$AC,11,false))</f>
        <v>8</v>
      </c>
      <c r="J55" s="241">
        <f>iferror(vlookup('ROUND 4 - SINGLES'!$B119,'ROUND 4 - SINGLES'!$B:$AC,12,false))</f>
        <v>5</v>
      </c>
      <c r="K55" s="241">
        <f>iferror(vlookup('ROUND 4 - SINGLES'!$B119,'ROUND 4 - SINGLES'!$B:$AC,13,false))</f>
        <v>8</v>
      </c>
      <c r="L55" s="241">
        <f>iferror(vlookup('ROUND 4 - SINGLES'!$B119,'ROUND 4 - SINGLES'!$B:$AC,14,false))</f>
        <v>7</v>
      </c>
      <c r="M55" s="242">
        <f>iferror(vlookup('ROUND 4 - SINGLES'!$B119,'ROUND 4 - SINGLES'!$B:$AC,15,false))</f>
        <v>6</v>
      </c>
      <c r="N55" s="243">
        <f>iferror(if(isblank(M55),"",sum(E55:M55)))</f>
        <v>58</v>
      </c>
      <c r="O55" s="244"/>
      <c r="P55" s="240">
        <f>iferror(vlookup('ROUND 4 - SINGLES'!$B119,'ROUND 4 - SINGLES'!$B:$AC,18,false))</f>
        <v>8</v>
      </c>
      <c r="Q55" s="241">
        <f>iferror(vlookup('ROUND 4 - SINGLES'!$B119,'ROUND 4 - SINGLES'!$B:$AC,19,false))</f>
        <v>7</v>
      </c>
      <c r="R55" s="241">
        <f>iferror(vlookup('ROUND 4 - SINGLES'!$B119,'ROUND 4 - SINGLES'!$B:$AC,20,false))</f>
        <v>7</v>
      </c>
      <c r="S55" s="241">
        <f>iferror(vlookup('ROUND 4 - SINGLES'!$B119,'ROUND 4 - SINGLES'!$B:$AC,21,false))</f>
        <v>5</v>
      </c>
      <c r="T55" s="241">
        <f>iferror(vlookup('ROUND 4 - SINGLES'!$B119,'ROUND 4 - SINGLES'!$B:$AC,22,false))</f>
        <v>7</v>
      </c>
      <c r="U55" s="241">
        <f>iferror(vlookup('ROUND 4 - SINGLES'!$B119,'ROUND 4 - SINGLES'!$B:$AC,23,false))</f>
        <v>8</v>
      </c>
      <c r="V55" s="241">
        <f>iferror(vlookup('ROUND 4 - SINGLES'!$B119,'ROUND 4 - SINGLES'!$B:$AC,24,false))</f>
        <v>6</v>
      </c>
      <c r="W55" s="241">
        <f>iferror(vlookup('ROUND 4 - SINGLES'!$B119,'ROUND 4 - SINGLES'!$B:$AC,25,false))</f>
        <v>4</v>
      </c>
      <c r="X55" s="242">
        <f>iferror(vlookup('ROUND 4 - SINGLES'!$B119,'ROUND 4 - SINGLES'!$B:$AC,26,false))</f>
        <v>7</v>
      </c>
      <c r="Y55" s="243">
        <f>iferror(if(isblank(X55),"",sum(P55:X55)))</f>
        <v>59</v>
      </c>
      <c r="Z55" s="245">
        <f>if(isblank(X55),"",sum(N55,Y55))</f>
        <v>117</v>
      </c>
      <c r="AA55" s="1"/>
      <c r="AB55" s="1"/>
    </row>
    <row r="56">
      <c r="B56" s="1"/>
      <c r="C56" s="247"/>
      <c r="D56" s="248"/>
      <c r="E56" s="250">
        <f t="shared" ref="E56:M56" si="60">iferror(if(isblank(E55),"",if(and(18-$D54&lt;0,18+E$7&lt;$D54),E55-2-E$6,if(or(E$7&lt;$D54,E$7=$D54),E55-1-E$6,E55-E$6))))</f>
        <v>1</v>
      </c>
      <c r="F56" s="250">
        <f t="shared" si="60"/>
        <v>2</v>
      </c>
      <c r="G56" s="250">
        <f t="shared" si="60"/>
        <v>0</v>
      </c>
      <c r="H56" s="250">
        <f t="shared" si="60"/>
        <v>1</v>
      </c>
      <c r="I56" s="250">
        <f t="shared" si="60"/>
        <v>1</v>
      </c>
      <c r="J56" s="250">
        <f t="shared" si="60"/>
        <v>0</v>
      </c>
      <c r="K56" s="250">
        <f t="shared" si="60"/>
        <v>3</v>
      </c>
      <c r="L56" s="250">
        <f t="shared" si="60"/>
        <v>2</v>
      </c>
      <c r="M56" s="250">
        <f t="shared" si="60"/>
        <v>2</v>
      </c>
      <c r="N56" s="243">
        <f>iferror(if(isblank(M55),"",if(or(N$7&lt;$D54,N$7=$D54),N55-1-N$6,N55-N$6)))</f>
        <v>21</v>
      </c>
      <c r="O56" s="244"/>
      <c r="P56" s="249">
        <f t="shared" ref="P56:X56" si="61">iferror(if(isblank(P55),"",if(and(18-$D54&lt;0,18+P$7&lt;$D54),P55-2-P$6,if(or(P$7&lt;$D54,P$7=$D54),P55-1-P$6,P55-P$6))))</f>
        <v>2</v>
      </c>
      <c r="Q56" s="250">
        <f t="shared" si="61"/>
        <v>2</v>
      </c>
      <c r="R56" s="250">
        <f t="shared" si="61"/>
        <v>2</v>
      </c>
      <c r="S56" s="250">
        <f t="shared" si="61"/>
        <v>0</v>
      </c>
      <c r="T56" s="250">
        <f t="shared" si="61"/>
        <v>1</v>
      </c>
      <c r="U56" s="250">
        <f t="shared" si="61"/>
        <v>3</v>
      </c>
      <c r="V56" s="250">
        <f t="shared" si="61"/>
        <v>1</v>
      </c>
      <c r="W56" s="250">
        <f t="shared" si="61"/>
        <v>0</v>
      </c>
      <c r="X56" s="251">
        <f t="shared" si="61"/>
        <v>2</v>
      </c>
      <c r="Y56" s="243">
        <f>iferror(if(isblank(X55),"",if(or(Y$7&lt;$D54,Y$7=$D54),Y55-1-Y$6,Y55-Y$6)))</f>
        <v>22</v>
      </c>
      <c r="Z56" s="252">
        <f>if(isblank(X55),"",sum(N56,Y56))</f>
        <v>43</v>
      </c>
      <c r="AA56" s="1"/>
      <c r="AB56" s="1"/>
    </row>
    <row r="57">
      <c r="B57" s="1"/>
      <c r="C57" s="253" t="s">
        <v>172</v>
      </c>
      <c r="D57" s="253">
        <f>iferror(vlookup($C54,'TILT Round 2'!$C:$AA,25,false),"")</f>
        <v>1</v>
      </c>
      <c r="E57" s="255">
        <f t="shared" ref="E57:M57" si="62">iferror(if(isblank(E55),"",if(E56=-1,D57+1,if(E56=-2,D57+2,if(E56=-3,D57+3,1)))))</f>
        <v>1</v>
      </c>
      <c r="F57" s="256">
        <f t="shared" si="62"/>
        <v>1</v>
      </c>
      <c r="G57" s="256">
        <f t="shared" si="62"/>
        <v>1</v>
      </c>
      <c r="H57" s="256">
        <f t="shared" si="62"/>
        <v>1</v>
      </c>
      <c r="I57" s="256">
        <f t="shared" si="62"/>
        <v>1</v>
      </c>
      <c r="J57" s="256">
        <f t="shared" si="62"/>
        <v>1</v>
      </c>
      <c r="K57" s="256">
        <f t="shared" si="62"/>
        <v>1</v>
      </c>
      <c r="L57" s="256">
        <f t="shared" si="62"/>
        <v>1</v>
      </c>
      <c r="M57" s="257">
        <f t="shared" si="62"/>
        <v>1</v>
      </c>
      <c r="N57" s="258"/>
      <c r="O57" s="259">
        <f>iferror(if(isblank(N55),"",if(N56=-1,M57+1,if(N56=-2,M57+2,if(N56=-3,M57+3,1)))))</f>
        <v>1</v>
      </c>
      <c r="P57" s="255">
        <f t="shared" ref="P57:X57" si="63">iferror(if(isblank(P55),"",if(P56=-1,O57+1,if(P56=-2,O57+2,if(P56=-3,O57+3,1)))))</f>
        <v>1</v>
      </c>
      <c r="Q57" s="256">
        <f t="shared" si="63"/>
        <v>1</v>
      </c>
      <c r="R57" s="256">
        <f t="shared" si="63"/>
        <v>1</v>
      </c>
      <c r="S57" s="256">
        <f t="shared" si="63"/>
        <v>1</v>
      </c>
      <c r="T57" s="256">
        <f t="shared" si="63"/>
        <v>1</v>
      </c>
      <c r="U57" s="256">
        <f t="shared" si="63"/>
        <v>1</v>
      </c>
      <c r="V57" s="256">
        <f t="shared" si="63"/>
        <v>1</v>
      </c>
      <c r="W57" s="256">
        <f t="shared" si="63"/>
        <v>1</v>
      </c>
      <c r="X57" s="257">
        <f t="shared" si="63"/>
        <v>1</v>
      </c>
      <c r="Y57" s="258"/>
      <c r="Z57" s="234">
        <f>if(isblank(Y55),"",if(Y56=-1,X57+1,if(Y56=-2,X57+2,if(Y56=-3,X57+3,1))))</f>
        <v>1</v>
      </c>
      <c r="AA57" s="1"/>
      <c r="AB57" s="1"/>
    </row>
    <row r="58">
      <c r="B58" s="1"/>
      <c r="C58" s="1"/>
      <c r="D58" s="1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1"/>
      <c r="AB58" s="1"/>
    </row>
    <row r="59">
      <c r="B59" s="1"/>
      <c r="C59" s="229" t="str">
        <f>'ROUND 4 - SINGLES'!F135</f>
        <v>KIP</v>
      </c>
      <c r="D59" s="229">
        <f>iferror(vlookup($C59,HANDICAPS!$B$33:$G$48,6,false),"")</f>
        <v>21</v>
      </c>
      <c r="E59" s="231">
        <f>iferror(if(isblank(E60),"",if(E61=-3,16*D62,if(E61=-2,8*D62,if(E61=-1,4*D62,if(E61=0,2*D62,if(E61=1,0,if(E61&gt;1,-4*D62))))))+D60))</f>
        <v>-4</v>
      </c>
      <c r="F59" s="232">
        <f t="shared" ref="F59:M59" si="64">iferror(if(isblank(F60),"",if(F61=-3,16*E62+E59,if(F61=-2,8*E62+E59,if(F61=-1,4*E62+E59,if(F61=0,2*E62+E59,if(F61=1,0+E59,if(F61&gt;1,-4*E62+E59))))))))</f>
        <v>-2</v>
      </c>
      <c r="G59" s="232">
        <f t="shared" si="64"/>
        <v>0</v>
      </c>
      <c r="H59" s="232">
        <f t="shared" si="64"/>
        <v>-4</v>
      </c>
      <c r="I59" s="232">
        <f t="shared" si="64"/>
        <v>-4</v>
      </c>
      <c r="J59" s="232">
        <f t="shared" si="64"/>
        <v>-4</v>
      </c>
      <c r="K59" s="232">
        <f t="shared" si="64"/>
        <v>-4</v>
      </c>
      <c r="L59" s="232">
        <f t="shared" si="64"/>
        <v>-8</v>
      </c>
      <c r="M59" s="233">
        <f t="shared" si="64"/>
        <v>-6</v>
      </c>
      <c r="N59" s="234">
        <f>M59</f>
        <v>-6</v>
      </c>
      <c r="O59" s="235"/>
      <c r="P59" s="231">
        <f>iferror(if(isblank(P60),"",if(P61=-3,16*O62+O60+N59,if(P61=-2,8*O62+O60+N59,if(P61=-1,4*O62+O60+N59,if(P61=0,2*O62+O60+N59,if(P61=1,0+N59,if(P61&gt;1,-4*O62+O60+N59))))))))</f>
        <v>-4</v>
      </c>
      <c r="Q59" s="232">
        <f t="shared" ref="Q59:X59" si="65">iferror(if(isblank(Q60),"",if(Q61=-3,16*P62+P59,if(Q61=-2,8*P62+P59,if(Q61=-1,4*P62+P59,if(Q61=0,2*P62+P59,if(Q61=1,0+P59,if(Q61&gt;1,-4*P62+P59))))))))</f>
        <v>-2</v>
      </c>
      <c r="R59" s="232">
        <f t="shared" si="65"/>
        <v>0</v>
      </c>
      <c r="S59" s="232">
        <f t="shared" si="65"/>
        <v>4</v>
      </c>
      <c r="T59" s="232">
        <f t="shared" si="65"/>
        <v>8</v>
      </c>
      <c r="U59" s="232">
        <f t="shared" si="65"/>
        <v>4</v>
      </c>
      <c r="V59" s="232">
        <f t="shared" si="65"/>
        <v>8</v>
      </c>
      <c r="W59" s="232">
        <f t="shared" si="65"/>
        <v>8</v>
      </c>
      <c r="X59" s="233">
        <f t="shared" si="65"/>
        <v>8</v>
      </c>
      <c r="Y59" s="234">
        <f>iferror(if(isblank(X60),"",X59-N59))</f>
        <v>14</v>
      </c>
      <c r="Z59" s="234">
        <f>if(isblank(X60),0,X59)</f>
        <v>8</v>
      </c>
      <c r="AA59" s="1"/>
      <c r="AB59" s="1"/>
    </row>
    <row r="60">
      <c r="A60" s="237"/>
      <c r="B60" s="39"/>
      <c r="C60" s="238" t="s">
        <v>170</v>
      </c>
      <c r="D60" s="239"/>
      <c r="E60" s="240">
        <f>iferror(vlookup('ROUND 4 - SINGLES'!$B136,'ROUND 4 - SINGLES'!$B:$AC,7,false))</f>
        <v>8</v>
      </c>
      <c r="F60" s="241">
        <f>iferror(vlookup('ROUND 4 - SINGLES'!$B136,'ROUND 4 - SINGLES'!$B:$AC,8,false))</f>
        <v>5</v>
      </c>
      <c r="G60" s="241">
        <f>iferror(vlookup('ROUND 4 - SINGLES'!$B136,'ROUND 4 - SINGLES'!$B:$AC,9,false))</f>
        <v>4</v>
      </c>
      <c r="H60" s="241">
        <f>iferror(vlookup('ROUND 4 - SINGLES'!$B136,'ROUND 4 - SINGLES'!$B:$AC,10,false))</f>
        <v>8</v>
      </c>
      <c r="I60" s="241">
        <f>iferror(vlookup('ROUND 4 - SINGLES'!$B136,'ROUND 4 - SINGLES'!$B:$AC,11,false))</f>
        <v>8</v>
      </c>
      <c r="J60" s="241">
        <f>iferror(vlookup('ROUND 4 - SINGLES'!$B136,'ROUND 4 - SINGLES'!$B:$AC,12,false))</f>
        <v>6</v>
      </c>
      <c r="K60" s="241">
        <f>iferror(vlookup('ROUND 4 - SINGLES'!$B136,'ROUND 4 - SINGLES'!$B:$AC,13,false))</f>
        <v>6</v>
      </c>
      <c r="L60" s="241">
        <f>iferror(vlookup('ROUND 4 - SINGLES'!$B136,'ROUND 4 - SINGLES'!$B:$AC,14,false))</f>
        <v>7</v>
      </c>
      <c r="M60" s="242">
        <f>iferror(vlookup('ROUND 4 - SINGLES'!$B136,'ROUND 4 - SINGLES'!$B:$AC,15,false))</f>
        <v>4</v>
      </c>
      <c r="N60" s="243">
        <f>iferror(if(isblank(M60),"",sum(E60:M60)))</f>
        <v>56</v>
      </c>
      <c r="O60" s="244"/>
      <c r="P60" s="240">
        <f>iferror(vlookup('ROUND 4 - SINGLES'!$B136,'ROUND 4 - SINGLES'!$B:$AC,18,false))</f>
        <v>6</v>
      </c>
      <c r="Q60" s="241">
        <f>iferror(vlookup('ROUND 4 - SINGLES'!$B136,'ROUND 4 - SINGLES'!$B:$AC,19,false))</f>
        <v>5</v>
      </c>
      <c r="R60" s="241">
        <f>iferror(vlookup('ROUND 4 - SINGLES'!$B136,'ROUND 4 - SINGLES'!$B:$AC,20,false))</f>
        <v>5</v>
      </c>
      <c r="S60" s="241">
        <f>iferror(vlookup('ROUND 4 - SINGLES'!$B136,'ROUND 4 - SINGLES'!$B:$AC,21,false))</f>
        <v>4</v>
      </c>
      <c r="T60" s="241">
        <f>iferror(vlookup('ROUND 4 - SINGLES'!$B136,'ROUND 4 - SINGLES'!$B:$AC,22,false))</f>
        <v>6</v>
      </c>
      <c r="U60" s="241">
        <f>iferror(vlookup('ROUND 4 - SINGLES'!$B136,'ROUND 4 - SINGLES'!$B:$AC,23,false))</f>
        <v>7</v>
      </c>
      <c r="V60" s="241">
        <f>iferror(vlookup('ROUND 4 - SINGLES'!$B136,'ROUND 4 - SINGLES'!$B:$AC,24,false))</f>
        <v>4</v>
      </c>
      <c r="W60" s="241">
        <f>iferror(vlookup('ROUND 4 - SINGLES'!$B136,'ROUND 4 - SINGLES'!$B:$AC,25,false))</f>
        <v>5</v>
      </c>
      <c r="X60" s="242">
        <f>iferror(vlookup('ROUND 4 - SINGLES'!$B136,'ROUND 4 - SINGLES'!$B:$AC,26,false))</f>
        <v>6</v>
      </c>
      <c r="Y60" s="243">
        <f>iferror(if(isblank(X60),"",sum(P60:X60)))</f>
        <v>48</v>
      </c>
      <c r="Z60" s="245">
        <f>if(isblank(X60),"",sum(N60,Y60))</f>
        <v>104</v>
      </c>
      <c r="AA60" s="39"/>
      <c r="AB60" s="39"/>
    </row>
    <row r="61">
      <c r="A61" s="237"/>
      <c r="B61" s="39"/>
      <c r="C61" s="247" t="s">
        <v>171</v>
      </c>
      <c r="D61" s="248"/>
      <c r="E61" s="249">
        <f t="shared" ref="E61:M61" si="66">iferror(if(isblank(E60),"",if(and(18-$D59&lt;0,18+E$7&lt;$D59),E60-2-E$6,if(or(E$7&lt;$D59,E$7=$D59),E60-1-E$6,E60-E$6))))</f>
        <v>2</v>
      </c>
      <c r="F61" s="250">
        <f t="shared" si="66"/>
        <v>0</v>
      </c>
      <c r="G61" s="250">
        <f t="shared" si="66"/>
        <v>0</v>
      </c>
      <c r="H61" s="250">
        <f t="shared" si="66"/>
        <v>3</v>
      </c>
      <c r="I61" s="250">
        <f t="shared" si="66"/>
        <v>1</v>
      </c>
      <c r="J61" s="250">
        <f t="shared" si="66"/>
        <v>1</v>
      </c>
      <c r="K61" s="250">
        <f t="shared" si="66"/>
        <v>1</v>
      </c>
      <c r="L61" s="250">
        <f t="shared" si="66"/>
        <v>2</v>
      </c>
      <c r="M61" s="251">
        <f t="shared" si="66"/>
        <v>0</v>
      </c>
      <c r="N61" s="243">
        <f>iferror(if(isblank(M60),"",if(or(N$7&lt;$D59,N$7=$D59),N60-1-N$6,N60-N$6)))</f>
        <v>19</v>
      </c>
      <c r="O61" s="244"/>
      <c r="P61" s="249">
        <f t="shared" ref="P61:X61" si="67">iferror(if(isblank(P60),"",if(and(18-$D59&lt;0,18+P$7&lt;$D59),P60-2-P$6,if(or(P$7&lt;$D59,P$7=$D59),P60-1-P$6,P60-P$6))))</f>
        <v>0</v>
      </c>
      <c r="Q61" s="250">
        <f t="shared" si="67"/>
        <v>0</v>
      </c>
      <c r="R61" s="250">
        <f t="shared" si="67"/>
        <v>0</v>
      </c>
      <c r="S61" s="250">
        <f t="shared" si="67"/>
        <v>-1</v>
      </c>
      <c r="T61" s="250">
        <f t="shared" si="67"/>
        <v>0</v>
      </c>
      <c r="U61" s="250">
        <f t="shared" si="67"/>
        <v>2</v>
      </c>
      <c r="V61" s="250">
        <f t="shared" si="67"/>
        <v>-1</v>
      </c>
      <c r="W61" s="250">
        <f t="shared" si="67"/>
        <v>1</v>
      </c>
      <c r="X61" s="251">
        <f t="shared" si="67"/>
        <v>1</v>
      </c>
      <c r="Y61" s="243">
        <f>iferror(if(isblank(X60),"",if(or(Y$7&lt;$D59,Y$7=$D59),Y60-1-Y$6,Y60-Y$6)))</f>
        <v>11</v>
      </c>
      <c r="Z61" s="252">
        <f>if(isblank(X60),"",sum(N61,Y61))</f>
        <v>30</v>
      </c>
      <c r="AA61" s="39"/>
      <c r="AB61" s="39"/>
    </row>
    <row r="62">
      <c r="B62" s="1"/>
      <c r="C62" s="253" t="s">
        <v>172</v>
      </c>
      <c r="D62" s="253">
        <f>iferror(vlookup($C59,'TILT Round 2'!$C:$AA,25,false),"")</f>
        <v>1</v>
      </c>
      <c r="E62" s="255">
        <f t="shared" ref="E62:M62" si="68">iferror(if(isblank(E60),"",if(E61=-1,D62+1,if(E61=-2,D62+2,if(E61=-3,D62+3,1)))))</f>
        <v>1</v>
      </c>
      <c r="F62" s="256">
        <f t="shared" si="68"/>
        <v>1</v>
      </c>
      <c r="G62" s="256">
        <f t="shared" si="68"/>
        <v>1</v>
      </c>
      <c r="H62" s="256">
        <f t="shared" si="68"/>
        <v>1</v>
      </c>
      <c r="I62" s="256">
        <f t="shared" si="68"/>
        <v>1</v>
      </c>
      <c r="J62" s="256">
        <f t="shared" si="68"/>
        <v>1</v>
      </c>
      <c r="K62" s="256">
        <f t="shared" si="68"/>
        <v>1</v>
      </c>
      <c r="L62" s="256">
        <f t="shared" si="68"/>
        <v>1</v>
      </c>
      <c r="M62" s="257">
        <f t="shared" si="68"/>
        <v>1</v>
      </c>
      <c r="N62" s="258"/>
      <c r="O62" s="259">
        <f>iferror(if(isblank(N60),"",if(N61=-1,M62+1,if(N61=-2,M62+2,if(N61=-3,M62+3,1)))))</f>
        <v>1</v>
      </c>
      <c r="P62" s="255">
        <f t="shared" ref="P62:X62" si="69">iferror(if(isblank(P60),"",if(P61=-1,O62+1,if(P61=-2,O62+2,if(P61=-3,O62+3,1)))))</f>
        <v>1</v>
      </c>
      <c r="Q62" s="256">
        <f t="shared" si="69"/>
        <v>1</v>
      </c>
      <c r="R62" s="256">
        <f t="shared" si="69"/>
        <v>1</v>
      </c>
      <c r="S62" s="256">
        <f t="shared" si="69"/>
        <v>2</v>
      </c>
      <c r="T62" s="256">
        <f t="shared" si="69"/>
        <v>1</v>
      </c>
      <c r="U62" s="256">
        <f t="shared" si="69"/>
        <v>1</v>
      </c>
      <c r="V62" s="256">
        <f t="shared" si="69"/>
        <v>2</v>
      </c>
      <c r="W62" s="256">
        <f t="shared" si="69"/>
        <v>1</v>
      </c>
      <c r="X62" s="257">
        <f t="shared" si="69"/>
        <v>1</v>
      </c>
      <c r="Y62" s="258"/>
      <c r="Z62" s="234">
        <f>if(isblank(Y60),"",if(Y61=-1,X62+1,if(Y61=-2,X62+2,if(Y61=-3,X62+3,1))))</f>
        <v>1</v>
      </c>
      <c r="AA62" s="1"/>
      <c r="AB62" s="1"/>
    </row>
    <row r="63">
      <c r="B63" s="1"/>
      <c r="C63" s="261"/>
      <c r="D63" s="261"/>
      <c r="E63" s="262"/>
      <c r="F63" s="262"/>
      <c r="G63" s="262"/>
      <c r="H63" s="263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3"/>
      <c r="W63" s="262"/>
      <c r="X63" s="262"/>
      <c r="Y63" s="262"/>
      <c r="Z63" s="262"/>
      <c r="AA63" s="1"/>
      <c r="AB63" s="1"/>
    </row>
    <row r="64">
      <c r="B64" s="1"/>
      <c r="C64" s="229" t="str">
        <f>'ROUND 4 - SINGLES'!F143</f>
        <v>SKYLAR</v>
      </c>
      <c r="D64" s="229">
        <f>iferror(vlookup($C64,HANDICAPS!$B$33:$G$48,6,false),"")</f>
        <v>21</v>
      </c>
      <c r="E64" s="231">
        <f>iferror(if(isblank(E65),"",if(E66=-3,16*D67,if(E66=-2,8*D67,if(E66=-1,4*D67,if(E66=0,2*D67,if(E66=1,0,if(E66&gt;1,-4*D67))))))+D65))</f>
        <v>8</v>
      </c>
      <c r="F64" s="232">
        <f t="shared" ref="F64:M64" si="70">iferror(if(isblank(F65),"",if(F66=-3,16*E67+E64,if(F66=-2,8*E67+E64,if(F66=-1,4*E67+E64,if(F66=0,2*E67+E64,if(F66=1,0+E64,if(F66&gt;1,-4*E67+E64))))))))</f>
        <v>-4</v>
      </c>
      <c r="G64" s="232">
        <f t="shared" si="70"/>
        <v>-2</v>
      </c>
      <c r="H64" s="232">
        <f t="shared" si="70"/>
        <v>2</v>
      </c>
      <c r="I64" s="232">
        <f t="shared" si="70"/>
        <v>2</v>
      </c>
      <c r="J64" s="232">
        <f t="shared" si="70"/>
        <v>2</v>
      </c>
      <c r="K64" s="232">
        <f t="shared" si="70"/>
        <v>4</v>
      </c>
      <c r="L64" s="232">
        <f t="shared" si="70"/>
        <v>4</v>
      </c>
      <c r="M64" s="233">
        <f t="shared" si="70"/>
        <v>4</v>
      </c>
      <c r="N64" s="234">
        <f>M64</f>
        <v>4</v>
      </c>
      <c r="O64" s="235"/>
      <c r="P64" s="231">
        <f>iferror(if(isblank(P65),"",if(P66=-3,16*O67+O65+N64,if(P66=-2,8*O67+O65+N64,if(P66=-1,4*O67+O65+N64,if(P66=0,2*O67+O65+N64,if(P66=1,0+N64,if(P66&gt;1,-4*O67+O65+N64))))))))</f>
        <v>4</v>
      </c>
      <c r="Q64" s="232">
        <f t="shared" ref="Q64:X64" si="71">iferror(if(isblank(Q65),"",if(Q66=-3,16*P67+P64,if(Q66=-2,8*P67+P64,if(Q66=-1,4*P67+P64,if(Q66=0,2*P67+P64,if(Q66=1,0+P64,if(Q66&gt;1,-4*P67+P64))))))))</f>
        <v>0</v>
      </c>
      <c r="R64" s="232">
        <f t="shared" si="71"/>
        <v>4</v>
      </c>
      <c r="S64" s="232">
        <f t="shared" si="71"/>
        <v>8</v>
      </c>
      <c r="T64" s="232">
        <f t="shared" si="71"/>
        <v>4</v>
      </c>
      <c r="U64" s="232">
        <f t="shared" si="71"/>
        <v>8</v>
      </c>
      <c r="V64" s="232">
        <f t="shared" si="71"/>
        <v>8</v>
      </c>
      <c r="W64" s="232">
        <f t="shared" si="71"/>
        <v>8</v>
      </c>
      <c r="X64" s="233">
        <f t="shared" si="71"/>
        <v>10</v>
      </c>
      <c r="Y64" s="234">
        <f>iferror(if(isblank(X65),"",X64-N64))</f>
        <v>6</v>
      </c>
      <c r="Z64" s="234">
        <f>if(isblank(X65),0,X64)</f>
        <v>10</v>
      </c>
      <c r="AA64" s="1"/>
      <c r="AB64" s="1"/>
    </row>
    <row r="65">
      <c r="B65" s="1"/>
      <c r="C65" s="238" t="s">
        <v>170</v>
      </c>
      <c r="D65" s="239"/>
      <c r="E65" s="240">
        <f>iferror(vlookup('ROUND 4 - SINGLES'!$B144,'ROUND 4 - SINGLES'!$B:$AC,7,false))</f>
        <v>5</v>
      </c>
      <c r="F65" s="241">
        <f>iferror(vlookup('ROUND 4 - SINGLES'!$B144,'ROUND 4 - SINGLES'!$B:$AC,8,false))</f>
        <v>7</v>
      </c>
      <c r="G65" s="241">
        <f>iferror(vlookup('ROUND 4 - SINGLES'!$B144,'ROUND 4 - SINGLES'!$B:$AC,9,false))</f>
        <v>4</v>
      </c>
      <c r="H65" s="241">
        <f>iferror(vlookup('ROUND 4 - SINGLES'!$B144,'ROUND 4 - SINGLES'!$B:$AC,10,false))</f>
        <v>4</v>
      </c>
      <c r="I65" s="241">
        <f>iferror(vlookup('ROUND 4 - SINGLES'!$B144,'ROUND 4 - SINGLES'!$B:$AC,11,false))</f>
        <v>8</v>
      </c>
      <c r="J65" s="241">
        <f>iferror(vlookup('ROUND 4 - SINGLES'!$B144,'ROUND 4 - SINGLES'!$B:$AC,12,false))</f>
        <v>6</v>
      </c>
      <c r="K65" s="241">
        <f>iferror(vlookup('ROUND 4 - SINGLES'!$B144,'ROUND 4 - SINGLES'!$B:$AC,13,false))</f>
        <v>5</v>
      </c>
      <c r="L65" s="241">
        <f>iferror(vlookup('ROUND 4 - SINGLES'!$B144,'ROUND 4 - SINGLES'!$B:$AC,14,false))</f>
        <v>6</v>
      </c>
      <c r="M65" s="242">
        <f>iferror(vlookup('ROUND 4 - SINGLES'!$B144,'ROUND 4 - SINGLES'!$B:$AC,15,false))</f>
        <v>5</v>
      </c>
      <c r="N65" s="243">
        <f>iferror(if(isblank(M65),"",sum(E65:M65)))</f>
        <v>50</v>
      </c>
      <c r="O65" s="244"/>
      <c r="P65" s="240">
        <f>iferror(vlookup('ROUND 4 - SINGLES'!$B144,'ROUND 4 - SINGLES'!$B:$AC,18,false))</f>
        <v>7</v>
      </c>
      <c r="Q65" s="241">
        <f>iferror(vlookup('ROUND 4 - SINGLES'!$B144,'ROUND 4 - SINGLES'!$B:$AC,19,false))</f>
        <v>7</v>
      </c>
      <c r="R65" s="241">
        <f>iferror(vlookup('ROUND 4 - SINGLES'!$B144,'ROUND 4 - SINGLES'!$B:$AC,20,false))</f>
        <v>4</v>
      </c>
      <c r="S65" s="241">
        <f>iferror(vlookup('ROUND 4 - SINGLES'!$B144,'ROUND 4 - SINGLES'!$B:$AC,21,false))</f>
        <v>5</v>
      </c>
      <c r="T65" s="241">
        <f>iferror(vlookup('ROUND 4 - SINGLES'!$B144,'ROUND 4 - SINGLES'!$B:$AC,22,false))</f>
        <v>8</v>
      </c>
      <c r="U65" s="241">
        <f>iferror(vlookup('ROUND 4 - SINGLES'!$B144,'ROUND 4 - SINGLES'!$B:$AC,23,false))</f>
        <v>4</v>
      </c>
      <c r="V65" s="241">
        <f>iferror(vlookup('ROUND 4 - SINGLES'!$B144,'ROUND 4 - SINGLES'!$B:$AC,24,false))</f>
        <v>6</v>
      </c>
      <c r="W65" s="241">
        <f>iferror(vlookup('ROUND 4 - SINGLES'!$B144,'ROUND 4 - SINGLES'!$B:$AC,25,false))</f>
        <v>5</v>
      </c>
      <c r="X65" s="242">
        <f>iferror(vlookup('ROUND 4 - SINGLES'!$B144,'ROUND 4 - SINGLES'!$B:$AC,26,false))</f>
        <v>5</v>
      </c>
      <c r="Y65" s="243">
        <f>iferror(if(isblank(X65),"",sum(P65:X65)))</f>
        <v>51</v>
      </c>
      <c r="Z65" s="245">
        <f>if(isblank(X65),"",sum(N65,Y65))</f>
        <v>101</v>
      </c>
      <c r="AA65" s="1"/>
      <c r="AB65" s="1"/>
    </row>
    <row r="66">
      <c r="B66" s="1"/>
      <c r="C66" s="247" t="s">
        <v>171</v>
      </c>
      <c r="D66" s="248"/>
      <c r="E66" s="249">
        <f t="shared" ref="E66:M66" si="72">iferror(if(isblank(E65),"",if(and(18-$D64&lt;0,18+E$7&lt;$D64),E65-2-E$6,if(or(E$7&lt;$D64,E$7=$D64),E65-1-E$6,E65-E$6))))</f>
        <v>-1</v>
      </c>
      <c r="F66" s="250">
        <f t="shared" si="72"/>
        <v>2</v>
      </c>
      <c r="G66" s="250">
        <f t="shared" si="72"/>
        <v>0</v>
      </c>
      <c r="H66" s="250">
        <f t="shared" si="72"/>
        <v>-1</v>
      </c>
      <c r="I66" s="250">
        <f t="shared" si="72"/>
        <v>1</v>
      </c>
      <c r="J66" s="250">
        <f t="shared" si="72"/>
        <v>1</v>
      </c>
      <c r="K66" s="250">
        <f t="shared" si="72"/>
        <v>0</v>
      </c>
      <c r="L66" s="250">
        <f t="shared" si="72"/>
        <v>1</v>
      </c>
      <c r="M66" s="251">
        <f t="shared" si="72"/>
        <v>1</v>
      </c>
      <c r="N66" s="243">
        <f>iferror(if(isblank(M65),"",if(or(N$7&lt;$D64,N$7=$D64),N65-1-N$6,N65-N$6)))</f>
        <v>13</v>
      </c>
      <c r="O66" s="244"/>
      <c r="P66" s="249">
        <f t="shared" ref="P66:X66" si="73">iferror(if(isblank(P65),"",if(and(18-$D64&lt;0,18+P$7&lt;$D64),P65-2-P$6,if(or(P$7&lt;$D64,P$7=$D64),P65-1-P$6,P65-P$6))))</f>
        <v>1</v>
      </c>
      <c r="Q66" s="250">
        <f t="shared" si="73"/>
        <v>2</v>
      </c>
      <c r="R66" s="250">
        <f t="shared" si="73"/>
        <v>-1</v>
      </c>
      <c r="S66" s="250">
        <f t="shared" si="73"/>
        <v>0</v>
      </c>
      <c r="T66" s="250">
        <f t="shared" si="73"/>
        <v>2</v>
      </c>
      <c r="U66" s="250">
        <f t="shared" si="73"/>
        <v>-1</v>
      </c>
      <c r="V66" s="250">
        <f t="shared" si="73"/>
        <v>1</v>
      </c>
      <c r="W66" s="250">
        <f t="shared" si="73"/>
        <v>1</v>
      </c>
      <c r="X66" s="251">
        <f t="shared" si="73"/>
        <v>0</v>
      </c>
      <c r="Y66" s="243">
        <f>iferror(if(isblank(X65),"",if(or(Y$7&lt;$D64,Y$7=$D64),Y65-1-Y$6,Y65-Y$6)))</f>
        <v>14</v>
      </c>
      <c r="Z66" s="252">
        <f>if(isblank(X65),"",sum(N66,Y66))</f>
        <v>27</v>
      </c>
      <c r="AA66" s="1"/>
      <c r="AB66" s="1"/>
    </row>
    <row r="67">
      <c r="B67" s="1"/>
      <c r="C67" s="253" t="s">
        <v>172</v>
      </c>
      <c r="D67" s="253">
        <f>iferror(vlookup($C64,'TILT Round 2'!$C:$AA,25,false),"")</f>
        <v>2</v>
      </c>
      <c r="E67" s="255">
        <f t="shared" ref="E67:M67" si="74">iferror(if(isblank(E65),"",if(E66=-1,D67+1,if(E66=-2,D67+2,if(E66=-3,D67+3,1)))))</f>
        <v>3</v>
      </c>
      <c r="F67" s="256">
        <f t="shared" si="74"/>
        <v>1</v>
      </c>
      <c r="G67" s="256">
        <f t="shared" si="74"/>
        <v>1</v>
      </c>
      <c r="H67" s="256">
        <f t="shared" si="74"/>
        <v>2</v>
      </c>
      <c r="I67" s="256">
        <f t="shared" si="74"/>
        <v>1</v>
      </c>
      <c r="J67" s="256">
        <f t="shared" si="74"/>
        <v>1</v>
      </c>
      <c r="K67" s="256">
        <f t="shared" si="74"/>
        <v>1</v>
      </c>
      <c r="L67" s="256">
        <f t="shared" si="74"/>
        <v>1</v>
      </c>
      <c r="M67" s="257">
        <f t="shared" si="74"/>
        <v>1</v>
      </c>
      <c r="N67" s="258"/>
      <c r="O67" s="259">
        <f>iferror(if(isblank(N65),"",if(N66=-1,M67+1,if(N66=-2,M67+2,if(N66=-3,M67+3,1)))))</f>
        <v>1</v>
      </c>
      <c r="P67" s="255">
        <f t="shared" ref="P67:X67" si="75">iferror(if(isblank(P65),"",if(P66=-1,O67+1,if(P66=-2,O67+2,if(P66=-3,O67+3,1)))))</f>
        <v>1</v>
      </c>
      <c r="Q67" s="256">
        <f t="shared" si="75"/>
        <v>1</v>
      </c>
      <c r="R67" s="256">
        <f t="shared" si="75"/>
        <v>2</v>
      </c>
      <c r="S67" s="256">
        <f t="shared" si="75"/>
        <v>1</v>
      </c>
      <c r="T67" s="256">
        <f t="shared" si="75"/>
        <v>1</v>
      </c>
      <c r="U67" s="256">
        <f t="shared" si="75"/>
        <v>2</v>
      </c>
      <c r="V67" s="256">
        <f t="shared" si="75"/>
        <v>1</v>
      </c>
      <c r="W67" s="256">
        <f t="shared" si="75"/>
        <v>1</v>
      </c>
      <c r="X67" s="257">
        <f t="shared" si="75"/>
        <v>1</v>
      </c>
      <c r="Y67" s="258"/>
      <c r="Z67" s="234">
        <f>if(isblank(Y65),"",if(Y66=-1,X67+1,if(Y66=-2,X67+2,if(Y66=-3,X67+3,1))))</f>
        <v>1</v>
      </c>
      <c r="AA67" s="1"/>
      <c r="AB67" s="1"/>
    </row>
    <row r="68">
      <c r="B68" s="1"/>
      <c r="C68" s="1"/>
      <c r="D68" s="1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1"/>
      <c r="AB68" s="1"/>
    </row>
    <row r="69">
      <c r="B69" s="1"/>
      <c r="C69" s="229" t="str">
        <f>'ROUND 4 - SINGLES'!F160</f>
        <v>PAXTON</v>
      </c>
      <c r="D69" s="229">
        <f>iferror(vlookup($C69,HANDICAPS!$B$33:$G$48,6,false),"")</f>
        <v>11</v>
      </c>
      <c r="E69" s="231">
        <f>iferror(if(isblank(E70),"",if(E71=-3,16*D72,if(E71=-2,8*D72,if(E71=-1,4*D72,if(E71=0,2*D72,if(E71=1,0,if(E71&gt;1,-4*D72))))))+D70))</f>
        <v>0</v>
      </c>
      <c r="F69" s="232">
        <f t="shared" ref="F69:M69" si="76">iferror(if(isblank(F70),"",if(F71=-3,16*E72+E69,if(F71=-2,8*E72+E69,if(F71=-1,4*E72+E69,if(F71=0,2*E72+E69,if(F71=1,0+E69,if(F71&gt;1,-4*E72+E69))))))))</f>
        <v>0</v>
      </c>
      <c r="G69" s="232">
        <f t="shared" si="76"/>
        <v>0</v>
      </c>
      <c r="H69" s="232">
        <f t="shared" si="76"/>
        <v>-4</v>
      </c>
      <c r="I69" s="232">
        <f t="shared" si="76"/>
        <v>-4</v>
      </c>
      <c r="J69" s="232">
        <f t="shared" si="76"/>
        <v>-4</v>
      </c>
      <c r="K69" s="232">
        <f t="shared" si="76"/>
        <v>-2</v>
      </c>
      <c r="L69" s="232">
        <f t="shared" si="76"/>
        <v>0</v>
      </c>
      <c r="M69" s="233">
        <f t="shared" si="76"/>
        <v>4</v>
      </c>
      <c r="N69" s="234">
        <f>M69</f>
        <v>4</v>
      </c>
      <c r="O69" s="235"/>
      <c r="P69" s="231">
        <f>iferror(if(isblank(P70),"",if(P71=-3,16*O72+O70+N69,if(P71=-2,8*O72+O70+N69,if(P71=-1,4*O72+O70+N69,if(P71=0,2*O72+O70+N69,if(P71=1,0+N69,if(P71&gt;1,-4*O72+O70+N69))))))))</f>
        <v>8</v>
      </c>
      <c r="Q69" s="232">
        <f t="shared" ref="Q69:X69" si="77">iferror(if(isblank(Q70),"",if(Q71=-3,16*P72+P69,if(Q71=-2,8*P72+P69,if(Q71=-1,4*P72+P69,if(Q71=0,2*P72+P69,if(Q71=1,0+P69,if(Q71&gt;1,-4*P72+P69))))))))</f>
        <v>12</v>
      </c>
      <c r="R69" s="232">
        <f t="shared" si="77"/>
        <v>12</v>
      </c>
      <c r="S69" s="232">
        <f t="shared" si="77"/>
        <v>14</v>
      </c>
      <c r="T69" s="232">
        <f t="shared" si="77"/>
        <v>16</v>
      </c>
      <c r="U69" s="232">
        <f t="shared" si="77"/>
        <v>18</v>
      </c>
      <c r="V69" s="232">
        <f t="shared" si="77"/>
        <v>18</v>
      </c>
      <c r="W69" s="232">
        <f t="shared" si="77"/>
        <v>20</v>
      </c>
      <c r="X69" s="233">
        <f t="shared" si="77"/>
        <v>22</v>
      </c>
      <c r="Y69" s="234">
        <f>iferror(if(isblank(X70),"",X69-N69))</f>
        <v>18</v>
      </c>
      <c r="Z69" s="234">
        <f>if(isblank(X70),0,X69)</f>
        <v>22</v>
      </c>
      <c r="AA69" s="1"/>
      <c r="AB69" s="1"/>
    </row>
    <row r="70">
      <c r="A70" s="237"/>
      <c r="B70" s="39"/>
      <c r="C70" s="238" t="s">
        <v>170</v>
      </c>
      <c r="D70" s="239"/>
      <c r="E70" s="240">
        <f>iferror(vlookup('ROUND 4 - SINGLES'!$B161,'ROUND 4 - SINGLES'!$B:$AC,7,false))</f>
        <v>6</v>
      </c>
      <c r="F70" s="241">
        <f>iferror(vlookup('ROUND 4 - SINGLES'!$B161,'ROUND 4 - SINGLES'!$B:$AC,8,false))</f>
        <v>6</v>
      </c>
      <c r="G70" s="241">
        <f>iferror(vlookup('ROUND 4 - SINGLES'!$B161,'ROUND 4 - SINGLES'!$B:$AC,9,false))</f>
        <v>4</v>
      </c>
      <c r="H70" s="241">
        <f>iferror(vlookup('ROUND 4 - SINGLES'!$B161,'ROUND 4 - SINGLES'!$B:$AC,10,false))</f>
        <v>7</v>
      </c>
      <c r="I70" s="241">
        <f>iferror(vlookup('ROUND 4 - SINGLES'!$B161,'ROUND 4 - SINGLES'!$B:$AC,11,false))</f>
        <v>7</v>
      </c>
      <c r="J70" s="241">
        <f>iferror(vlookup('ROUND 4 - SINGLES'!$B161,'ROUND 4 - SINGLES'!$B:$AC,12,false))</f>
        <v>5</v>
      </c>
      <c r="K70" s="241">
        <f>iferror(vlookup('ROUND 4 - SINGLES'!$B161,'ROUND 4 - SINGLES'!$B:$AC,13,false))</f>
        <v>5</v>
      </c>
      <c r="L70" s="241">
        <f>iferror(vlookup('ROUND 4 - SINGLES'!$B161,'ROUND 4 - SINGLES'!$B:$AC,14,false))</f>
        <v>5</v>
      </c>
      <c r="M70" s="242">
        <f>iferror(vlookup('ROUND 4 - SINGLES'!$B161,'ROUND 4 - SINGLES'!$B:$AC,15,false))</f>
        <v>3</v>
      </c>
      <c r="N70" s="243">
        <f>iferror(if(isblank(M70),"",sum(E70:M70)))</f>
        <v>48</v>
      </c>
      <c r="O70" s="244"/>
      <c r="P70" s="240">
        <f>iferror(vlookup('ROUND 4 - SINGLES'!$B161,'ROUND 4 - SINGLES'!$B:$AC,18,false))</f>
        <v>5</v>
      </c>
      <c r="Q70" s="241">
        <f>iferror(vlookup('ROUND 4 - SINGLES'!$B161,'ROUND 4 - SINGLES'!$B:$AC,19,false))</f>
        <v>5</v>
      </c>
      <c r="R70" s="241">
        <f>iferror(vlookup('ROUND 4 - SINGLES'!$B161,'ROUND 4 - SINGLES'!$B:$AC,20,false))</f>
        <v>6</v>
      </c>
      <c r="S70" s="241">
        <f>iferror(vlookup('ROUND 4 - SINGLES'!$B161,'ROUND 4 - SINGLES'!$B:$AC,21,false))</f>
        <v>4</v>
      </c>
      <c r="T70" s="241">
        <f>iferror(vlookup('ROUND 4 - SINGLES'!$B161,'ROUND 4 - SINGLES'!$B:$AC,22,false))</f>
        <v>5</v>
      </c>
      <c r="U70" s="241">
        <f>iferror(vlookup('ROUND 4 - SINGLES'!$B161,'ROUND 4 - SINGLES'!$B:$AC,23,false))</f>
        <v>4</v>
      </c>
      <c r="V70" s="241">
        <f>iferror(vlookup('ROUND 4 - SINGLES'!$B161,'ROUND 4 - SINGLES'!$B:$AC,24,false))</f>
        <v>5</v>
      </c>
      <c r="W70" s="241">
        <f>iferror(vlookup('ROUND 4 - SINGLES'!$B161,'ROUND 4 - SINGLES'!$B:$AC,25,false))</f>
        <v>3</v>
      </c>
      <c r="X70" s="242">
        <f>iferror(vlookup('ROUND 4 - SINGLES'!$B161,'ROUND 4 - SINGLES'!$B:$AC,26,false))</f>
        <v>5</v>
      </c>
      <c r="Y70" s="243">
        <f>iferror(if(isblank(X70),"",sum(P70:X70)))</f>
        <v>42</v>
      </c>
      <c r="Z70" s="245">
        <f>if(isblank(X70),"",sum(N70,Y70))</f>
        <v>90</v>
      </c>
      <c r="AA70" s="39"/>
      <c r="AB70" s="39"/>
    </row>
    <row r="71">
      <c r="A71" s="237"/>
      <c r="B71" s="39"/>
      <c r="C71" s="247" t="s">
        <v>171</v>
      </c>
      <c r="D71" s="248"/>
      <c r="E71" s="249">
        <f t="shared" ref="E71:M71" si="78">iferror(if(isblank(E70),"",if(and(18-$D69&lt;0,18+E$7&lt;$D69),E70-2-E$6,if(or(E$7&lt;$D69,E$7=$D69),E70-1-E$6,E70-E$6))))</f>
        <v>1</v>
      </c>
      <c r="F71" s="250">
        <f t="shared" si="78"/>
        <v>1</v>
      </c>
      <c r="G71" s="250">
        <f t="shared" si="78"/>
        <v>1</v>
      </c>
      <c r="H71" s="250">
        <f t="shared" si="78"/>
        <v>2</v>
      </c>
      <c r="I71" s="250">
        <f t="shared" si="78"/>
        <v>1</v>
      </c>
      <c r="J71" s="250">
        <f t="shared" si="78"/>
        <v>1</v>
      </c>
      <c r="K71" s="250">
        <f t="shared" si="78"/>
        <v>0</v>
      </c>
      <c r="L71" s="250">
        <f t="shared" si="78"/>
        <v>0</v>
      </c>
      <c r="M71" s="251">
        <f t="shared" si="78"/>
        <v>-1</v>
      </c>
      <c r="N71" s="243">
        <f>iferror(if(isblank(M70),"",if(or(N$7&lt;$D69,N$7=$D69),N70-1-N$6,N70-N$6)))</f>
        <v>11</v>
      </c>
      <c r="O71" s="244"/>
      <c r="P71" s="249">
        <f t="shared" ref="P71:X71" si="79">iferror(if(isblank(P70),"",if(and(18-$D69&lt;0,18+P$7&lt;$D69),P70-2-P$6,if(or(P$7&lt;$D69,P$7=$D69),P70-1-P$6,P70-P$6))))</f>
        <v>-1</v>
      </c>
      <c r="Q71" s="250">
        <f t="shared" si="79"/>
        <v>0</v>
      </c>
      <c r="R71" s="250">
        <f t="shared" si="79"/>
        <v>1</v>
      </c>
      <c r="S71" s="250">
        <f t="shared" si="79"/>
        <v>0</v>
      </c>
      <c r="T71" s="250">
        <f t="shared" si="79"/>
        <v>0</v>
      </c>
      <c r="U71" s="250">
        <f t="shared" si="79"/>
        <v>0</v>
      </c>
      <c r="V71" s="250">
        <f t="shared" si="79"/>
        <v>1</v>
      </c>
      <c r="W71" s="250">
        <f t="shared" si="79"/>
        <v>0</v>
      </c>
      <c r="X71" s="251">
        <f t="shared" si="79"/>
        <v>0</v>
      </c>
      <c r="Y71" s="243">
        <f>iferror(if(isblank(X70),"",if(or(Y$7&lt;$D69,Y$7=$D69),Y70-1-Y$6,Y70-Y$6)))</f>
        <v>5</v>
      </c>
      <c r="Z71" s="252">
        <f>if(isblank(X70),"",sum(N71,Y71))</f>
        <v>16</v>
      </c>
      <c r="AA71" s="39"/>
      <c r="AB71" s="39"/>
    </row>
    <row r="72">
      <c r="B72" s="1"/>
      <c r="C72" s="253" t="s">
        <v>172</v>
      </c>
      <c r="D72" s="253">
        <f>iferror(vlookup($C69,'TILT Round 2'!$C:$AA,25,false),"")</f>
        <v>1</v>
      </c>
      <c r="E72" s="255">
        <f t="shared" ref="E72:M72" si="80">iferror(if(isblank(E70),"",if(E71=-1,D72+1,if(E71=-2,D72+2,if(E71=-3,D72+3,1)))))</f>
        <v>1</v>
      </c>
      <c r="F72" s="256">
        <f t="shared" si="80"/>
        <v>1</v>
      </c>
      <c r="G72" s="256">
        <f t="shared" si="80"/>
        <v>1</v>
      </c>
      <c r="H72" s="256">
        <f t="shared" si="80"/>
        <v>1</v>
      </c>
      <c r="I72" s="256">
        <f t="shared" si="80"/>
        <v>1</v>
      </c>
      <c r="J72" s="256">
        <f t="shared" si="80"/>
        <v>1</v>
      </c>
      <c r="K72" s="256">
        <f t="shared" si="80"/>
        <v>1</v>
      </c>
      <c r="L72" s="256">
        <f t="shared" si="80"/>
        <v>1</v>
      </c>
      <c r="M72" s="257">
        <f t="shared" si="80"/>
        <v>2</v>
      </c>
      <c r="N72" s="258"/>
      <c r="O72" s="259">
        <f>iferror(if(isblank(N70),"",if(N71=-1,M72+1,if(N71=-2,M72+2,if(N71=-3,M72+3,1)))))</f>
        <v>1</v>
      </c>
      <c r="P72" s="255">
        <f t="shared" ref="P72:X72" si="81">iferror(if(isblank(P70),"",if(P71=-1,O72+1,if(P71=-2,O72+2,if(P71=-3,O72+3,1)))))</f>
        <v>2</v>
      </c>
      <c r="Q72" s="256">
        <f t="shared" si="81"/>
        <v>1</v>
      </c>
      <c r="R72" s="256">
        <f t="shared" si="81"/>
        <v>1</v>
      </c>
      <c r="S72" s="256">
        <f t="shared" si="81"/>
        <v>1</v>
      </c>
      <c r="T72" s="256">
        <f t="shared" si="81"/>
        <v>1</v>
      </c>
      <c r="U72" s="256">
        <f t="shared" si="81"/>
        <v>1</v>
      </c>
      <c r="V72" s="256">
        <f t="shared" si="81"/>
        <v>1</v>
      </c>
      <c r="W72" s="256">
        <f t="shared" si="81"/>
        <v>1</v>
      </c>
      <c r="X72" s="257">
        <f t="shared" si="81"/>
        <v>1</v>
      </c>
      <c r="Y72" s="258"/>
      <c r="Z72" s="234">
        <f>if(isblank(Y70),"",if(Y71=-1,X72+1,if(Y71=-2,X72+2,if(Y71=-3,X72+3,1))))</f>
        <v>1</v>
      </c>
      <c r="AA72" s="1"/>
      <c r="AB72" s="1"/>
    </row>
    <row r="73">
      <c r="B73" s="1"/>
      <c r="C73" s="261"/>
      <c r="D73" s="261"/>
      <c r="E73" s="262"/>
      <c r="F73" s="262"/>
      <c r="G73" s="262"/>
      <c r="H73" s="263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3"/>
      <c r="W73" s="262"/>
      <c r="X73" s="262"/>
      <c r="Y73" s="262"/>
      <c r="Z73" s="262"/>
      <c r="AA73" s="1"/>
      <c r="AB73" s="1"/>
    </row>
    <row r="74">
      <c r="B74" s="1"/>
      <c r="C74" s="229" t="str">
        <f>'ROUND 4 - SINGLES'!F168</f>
        <v>BEN</v>
      </c>
      <c r="D74" s="229">
        <f>iferror(vlookup($C74,HANDICAPS!$B$33:$G$48,6,false),"")</f>
        <v>7</v>
      </c>
      <c r="E74" s="231">
        <f>iferror(if(isblank(E75),"",if(E76=-3,16*D77,if(E76=-2,8*D77,if(E76=-1,4*D77,if(E76=0,2*D77,if(E76=1,0,if(E76&gt;1,-4*D77))))))+D75))</f>
        <v>0</v>
      </c>
      <c r="F74" s="232">
        <f t="shared" ref="F74:M74" si="82">iferror(if(isblank(F75),"",if(F76=-3,16*E77+E74,if(F76=-2,8*E77+E74,if(F76=-1,4*E77+E74,if(F76=0,2*E77+E74,if(F76=1,0+E74,if(F76&gt;1,-4*E77+E74))))))))</f>
        <v>4</v>
      </c>
      <c r="G74" s="232">
        <f t="shared" si="82"/>
        <v>8</v>
      </c>
      <c r="H74" s="232">
        <f t="shared" si="82"/>
        <v>10</v>
      </c>
      <c r="I74" s="232">
        <f t="shared" si="82"/>
        <v>14</v>
      </c>
      <c r="J74" s="232">
        <f t="shared" si="82"/>
        <v>14</v>
      </c>
      <c r="K74" s="232">
        <f t="shared" si="82"/>
        <v>16</v>
      </c>
      <c r="L74" s="232">
        <f t="shared" si="82"/>
        <v>16</v>
      </c>
      <c r="M74" s="233">
        <f t="shared" si="82"/>
        <v>20</v>
      </c>
      <c r="N74" s="234">
        <f>M74</f>
        <v>20</v>
      </c>
      <c r="O74" s="235"/>
      <c r="P74" s="231">
        <f>iferror(if(isblank(P75),"",if(P76=-3,16*O77+O75+N74,if(P76=-2,8*O77+O75+N74,if(P76=-1,4*O77+O75+N74,if(P76=0,2*O77+O75+N74,if(P76=1,0+N74,if(P76&gt;1,-4*O77+O75+N74))))))))</f>
        <v>22</v>
      </c>
      <c r="Q74" s="232">
        <f t="shared" ref="Q74:X74" si="83">iferror(if(isblank(Q75),"",if(Q76=-3,16*P77+P74,if(Q76=-2,8*P77+P74,if(Q76=-1,4*P77+P74,if(Q76=0,2*P77+P74,if(Q76=1,0+P74,if(Q76&gt;1,-4*P77+P74))))))))</f>
        <v>26</v>
      </c>
      <c r="R74" s="232">
        <f t="shared" si="83"/>
        <v>30</v>
      </c>
      <c r="S74" s="232">
        <f t="shared" si="83"/>
        <v>32</v>
      </c>
      <c r="T74" s="232">
        <f t="shared" si="83"/>
        <v>32</v>
      </c>
      <c r="U74" s="232">
        <f t="shared" si="83"/>
        <v>36</v>
      </c>
      <c r="V74" s="232">
        <f t="shared" si="83"/>
        <v>36</v>
      </c>
      <c r="W74" s="232">
        <f t="shared" si="83"/>
        <v>36</v>
      </c>
      <c r="X74" s="233">
        <f t="shared" si="83"/>
        <v>40</v>
      </c>
      <c r="Y74" s="234">
        <f>iferror(if(isblank(X75),"",X74-N74))</f>
        <v>20</v>
      </c>
      <c r="Z74" s="234">
        <f>if(isblank(X75),0,X74)</f>
        <v>40</v>
      </c>
      <c r="AA74" s="1"/>
      <c r="AB74" s="1"/>
    </row>
    <row r="75">
      <c r="B75" s="1"/>
      <c r="C75" s="238" t="s">
        <v>170</v>
      </c>
      <c r="D75" s="239"/>
      <c r="E75" s="240">
        <f>iferror(vlookup('ROUND 4 - SINGLES'!$B169,'ROUND 4 - SINGLES'!$B:$AC,7,false))</f>
        <v>6</v>
      </c>
      <c r="F75" s="241">
        <f>iferror(vlookup('ROUND 4 - SINGLES'!$B169,'ROUND 4 - SINGLES'!$B:$AC,8,false))</f>
        <v>4</v>
      </c>
      <c r="G75" s="241">
        <f>iferror(vlookup('ROUND 4 - SINGLES'!$B169,'ROUND 4 - SINGLES'!$B:$AC,9,false))</f>
        <v>3</v>
      </c>
      <c r="H75" s="241">
        <f>iferror(vlookup('ROUND 4 - SINGLES'!$B169,'ROUND 4 - SINGLES'!$B:$AC,10,false))</f>
        <v>5</v>
      </c>
      <c r="I75" s="241">
        <f>iferror(vlookup('ROUND 4 - SINGLES'!$B169,'ROUND 4 - SINGLES'!$B:$AC,11,false))</f>
        <v>5</v>
      </c>
      <c r="J75" s="241">
        <f>iferror(vlookup('ROUND 4 - SINGLES'!$B169,'ROUND 4 - SINGLES'!$B:$AC,12,false))</f>
        <v>5</v>
      </c>
      <c r="K75" s="241">
        <f>iferror(vlookup('ROUND 4 - SINGLES'!$B169,'ROUND 4 - SINGLES'!$B:$AC,13,false))</f>
        <v>5</v>
      </c>
      <c r="L75" s="241">
        <f>iferror(vlookup('ROUND 4 - SINGLES'!$B169,'ROUND 4 - SINGLES'!$B:$AC,14,false))</f>
        <v>5</v>
      </c>
      <c r="M75" s="242">
        <f>iferror(vlookup('ROUND 4 - SINGLES'!$B169,'ROUND 4 - SINGLES'!$B:$AC,15,false))</f>
        <v>2</v>
      </c>
      <c r="N75" s="243">
        <f>iferror(if(isblank(M75),"",sum(E75:M75)))</f>
        <v>40</v>
      </c>
      <c r="O75" s="244"/>
      <c r="P75" s="240">
        <f>iferror(vlookup('ROUND 4 - SINGLES'!$B169,'ROUND 4 - SINGLES'!$B:$AC,18,false))</f>
        <v>5</v>
      </c>
      <c r="Q75" s="241">
        <f>iferror(vlookup('ROUND 4 - SINGLES'!$B169,'ROUND 4 - SINGLES'!$B:$AC,19,false))</f>
        <v>3</v>
      </c>
      <c r="R75" s="241">
        <f>iferror(vlookup('ROUND 4 - SINGLES'!$B169,'ROUND 4 - SINGLES'!$B:$AC,20,false))</f>
        <v>5</v>
      </c>
      <c r="S75" s="241">
        <f>iferror(vlookup('ROUND 4 - SINGLES'!$B169,'ROUND 4 - SINGLES'!$B:$AC,21,false))</f>
        <v>4</v>
      </c>
      <c r="T75" s="241">
        <f>iferror(vlookup('ROUND 4 - SINGLES'!$B169,'ROUND 4 - SINGLES'!$B:$AC,22,false))</f>
        <v>6</v>
      </c>
      <c r="U75" s="241">
        <f>iferror(vlookup('ROUND 4 - SINGLES'!$B169,'ROUND 4 - SINGLES'!$B:$AC,23,false))</f>
        <v>3</v>
      </c>
      <c r="V75" s="241">
        <f>iferror(vlookup('ROUND 4 - SINGLES'!$B169,'ROUND 4 - SINGLES'!$B:$AC,24,false))</f>
        <v>5</v>
      </c>
      <c r="W75" s="241">
        <f>iferror(vlookup('ROUND 4 - SINGLES'!$B169,'ROUND 4 - SINGLES'!$B:$AC,25,false))</f>
        <v>4</v>
      </c>
      <c r="X75" s="242">
        <f>iferror(vlookup('ROUND 4 - SINGLES'!$B169,'ROUND 4 - SINGLES'!$B:$AC,26,false))</f>
        <v>4</v>
      </c>
      <c r="Y75" s="243">
        <f>iferror(if(isblank(X75),"",sum(P75:X75)))</f>
        <v>39</v>
      </c>
      <c r="Z75" s="245">
        <f>if(isblank(X75),"",sum(N75,Y75))</f>
        <v>79</v>
      </c>
      <c r="AA75" s="1"/>
      <c r="AB75" s="1"/>
    </row>
    <row r="76">
      <c r="B76" s="1"/>
      <c r="C76" s="247" t="s">
        <v>171</v>
      </c>
      <c r="D76" s="248"/>
      <c r="E76" s="249">
        <f t="shared" ref="E76:M76" si="84">iferror(if(isblank(E75),"",if(and(18-$D74&lt;0,18+E$7&lt;$D74),E75-2-E$6,if(or(E$7&lt;$D74,E$7=$D74),E75-1-E$6,E75-E$6))))</f>
        <v>1</v>
      </c>
      <c r="F76" s="250">
        <f t="shared" si="84"/>
        <v>-1</v>
      </c>
      <c r="G76" s="250">
        <f t="shared" si="84"/>
        <v>0</v>
      </c>
      <c r="H76" s="250">
        <f t="shared" si="84"/>
        <v>0</v>
      </c>
      <c r="I76" s="250">
        <f t="shared" si="84"/>
        <v>-1</v>
      </c>
      <c r="J76" s="250">
        <f t="shared" si="84"/>
        <v>1</v>
      </c>
      <c r="K76" s="250">
        <f t="shared" si="84"/>
        <v>0</v>
      </c>
      <c r="L76" s="250">
        <f t="shared" si="84"/>
        <v>1</v>
      </c>
      <c r="M76" s="251">
        <f t="shared" si="84"/>
        <v>-1</v>
      </c>
      <c r="N76" s="243">
        <f>iferror(if(isblank(M75),"",if(or(N$7&lt;$D74,N$7=$D74),N75-1-N$6,N75-N$6)))</f>
        <v>3</v>
      </c>
      <c r="O76" s="244"/>
      <c r="P76" s="249">
        <f t="shared" ref="P76:X76" si="85">iferror(if(isblank(P75),"",if(and(18-$D74&lt;0,18+P$7&lt;$D74),P75-2-P$6,if(or(P$7&lt;$D74,P$7=$D74),P75-1-P$6,P75-P$6))))</f>
        <v>0</v>
      </c>
      <c r="Q76" s="250">
        <f t="shared" si="85"/>
        <v>-1</v>
      </c>
      <c r="R76" s="250">
        <f t="shared" si="85"/>
        <v>0</v>
      </c>
      <c r="S76" s="250">
        <f t="shared" si="85"/>
        <v>0</v>
      </c>
      <c r="T76" s="250">
        <f t="shared" si="85"/>
        <v>1</v>
      </c>
      <c r="U76" s="250">
        <f t="shared" si="85"/>
        <v>-1</v>
      </c>
      <c r="V76" s="250">
        <f t="shared" si="85"/>
        <v>1</v>
      </c>
      <c r="W76" s="250">
        <f t="shared" si="85"/>
        <v>1</v>
      </c>
      <c r="X76" s="251">
        <f t="shared" si="85"/>
        <v>-1</v>
      </c>
      <c r="Y76" s="243">
        <f>iferror(if(isblank(X75),"",if(or(Y$7&lt;$D74,Y$7=$D74),Y75-1-Y$6,Y75-Y$6)))</f>
        <v>2</v>
      </c>
      <c r="Z76" s="252">
        <f>if(isblank(X75),"",sum(N76,Y76))</f>
        <v>5</v>
      </c>
      <c r="AA76" s="1"/>
      <c r="AB76" s="1"/>
    </row>
    <row r="77">
      <c r="B77" s="1"/>
      <c r="C77" s="253" t="s">
        <v>172</v>
      </c>
      <c r="D77" s="253">
        <f>iferror(vlookup($C74,'TILT Round 2'!$C:$AA,25,false),"")</f>
        <v>4</v>
      </c>
      <c r="E77" s="255">
        <f t="shared" ref="E77:M77" si="86">iferror(if(isblank(E75),"",if(E76=-1,D77+1,if(E76=-2,D77+2,if(E76=-3,D77+3,1)))))</f>
        <v>1</v>
      </c>
      <c r="F77" s="256">
        <f t="shared" si="86"/>
        <v>2</v>
      </c>
      <c r="G77" s="256">
        <f t="shared" si="86"/>
        <v>1</v>
      </c>
      <c r="H77" s="256">
        <f t="shared" si="86"/>
        <v>1</v>
      </c>
      <c r="I77" s="256">
        <f t="shared" si="86"/>
        <v>2</v>
      </c>
      <c r="J77" s="256">
        <f t="shared" si="86"/>
        <v>1</v>
      </c>
      <c r="K77" s="256">
        <f t="shared" si="86"/>
        <v>1</v>
      </c>
      <c r="L77" s="256">
        <f t="shared" si="86"/>
        <v>1</v>
      </c>
      <c r="M77" s="257">
        <f t="shared" si="86"/>
        <v>2</v>
      </c>
      <c r="N77" s="258"/>
      <c r="O77" s="259">
        <f>iferror(if(isblank(N75),"",if(N76=-1,M77+1,if(N76=-2,M77+2,if(N76=-3,M77+3,1)))))</f>
        <v>1</v>
      </c>
      <c r="P77" s="255">
        <f t="shared" ref="P77:X77" si="87">iferror(if(isblank(P75),"",if(P76=-1,O77+1,if(P76=-2,O77+2,if(P76=-3,O77+3,1)))))</f>
        <v>1</v>
      </c>
      <c r="Q77" s="256">
        <f t="shared" si="87"/>
        <v>2</v>
      </c>
      <c r="R77" s="256">
        <f t="shared" si="87"/>
        <v>1</v>
      </c>
      <c r="S77" s="256">
        <f t="shared" si="87"/>
        <v>1</v>
      </c>
      <c r="T77" s="256">
        <f t="shared" si="87"/>
        <v>1</v>
      </c>
      <c r="U77" s="256">
        <f t="shared" si="87"/>
        <v>2</v>
      </c>
      <c r="V77" s="256">
        <f t="shared" si="87"/>
        <v>1</v>
      </c>
      <c r="W77" s="256">
        <f t="shared" si="87"/>
        <v>1</v>
      </c>
      <c r="X77" s="257">
        <f t="shared" si="87"/>
        <v>2</v>
      </c>
      <c r="Y77" s="258"/>
      <c r="Z77" s="234">
        <f>if(isblank(Y75),"",if(Y76=-1,X77+1,if(Y76=-2,X77+2,if(Y76=-3,X77+3,1))))</f>
        <v>1</v>
      </c>
      <c r="AA77" s="1"/>
      <c r="AB77" s="1"/>
    </row>
    <row r="78">
      <c r="B78" s="1"/>
      <c r="C78" s="1"/>
      <c r="D78" s="1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1"/>
      <c r="AB78" s="1"/>
    </row>
    <row r="79">
      <c r="B79" s="1"/>
      <c r="C79" s="229" t="str">
        <f>'ROUND 4 - SINGLES'!F185</f>
        <v>SCOTT</v>
      </c>
      <c r="D79" s="229">
        <f>iferror(vlookup($C79,HANDICAPS!$B$33:$G$48,6,false),"")</f>
        <v>1</v>
      </c>
      <c r="E79" s="231">
        <f>iferror(if(isblank(E80),"",if(E81=-3,16*D82,if(E81=-2,8*D82,if(E81=-1,4*D82,if(E81=0,2*D82,if(E81=1,0,if(E81&gt;1,-4*D82))))))+D80))</f>
        <v>0</v>
      </c>
      <c r="F79" s="232">
        <f t="shared" ref="F79:M79" si="88">iferror(if(isblank(F80),"",if(F81=-3,16*E82+E79,if(F81=-2,8*E82+E79,if(F81=-1,4*E82+E79,if(F81=0,2*E82+E79,if(F81=1,0+E79,if(F81&gt;1,-4*E82+E79))))))))</f>
        <v>-4</v>
      </c>
      <c r="G79" s="232">
        <f t="shared" si="88"/>
        <v>-4</v>
      </c>
      <c r="H79" s="232">
        <f t="shared" si="88"/>
        <v>-2</v>
      </c>
      <c r="I79" s="232">
        <f t="shared" si="88"/>
        <v>2</v>
      </c>
      <c r="J79" s="232">
        <f t="shared" si="88"/>
        <v>6</v>
      </c>
      <c r="K79" s="232">
        <f t="shared" si="88"/>
        <v>8</v>
      </c>
      <c r="L79" s="232">
        <f t="shared" si="88"/>
        <v>8</v>
      </c>
      <c r="M79" s="233">
        <f t="shared" si="88"/>
        <v>4</v>
      </c>
      <c r="N79" s="234">
        <f>M79</f>
        <v>4</v>
      </c>
      <c r="O79" s="235"/>
      <c r="P79" s="231">
        <f>iferror(if(isblank(P80),"",if(P81=-3,16*O82+O80+N79,if(P81=-2,8*O82+O80+N79,if(P81=-1,4*O82+O80+N79,if(P81=0,2*O82+O80+N79,if(P81=1,0+N79,if(P81&gt;1,-4*O82+O80+N79))))))))</f>
        <v>6</v>
      </c>
      <c r="Q79" s="232">
        <f t="shared" ref="Q79:X79" si="89">iferror(if(isblank(Q80),"",if(Q81=-3,16*P82+P79,if(Q81=-2,8*P82+P79,if(Q81=-1,4*P82+P79,if(Q81=0,2*P82+P79,if(Q81=1,0+P79,if(Q81&gt;1,-4*P82+P79))))))))</f>
        <v>8</v>
      </c>
      <c r="R79" s="232">
        <f t="shared" si="89"/>
        <v>8</v>
      </c>
      <c r="S79" s="232">
        <f t="shared" si="89"/>
        <v>10</v>
      </c>
      <c r="T79" s="232">
        <f t="shared" si="89"/>
        <v>10</v>
      </c>
      <c r="U79" s="232">
        <f t="shared" si="89"/>
        <v>10</v>
      </c>
      <c r="V79" s="232">
        <f t="shared" si="89"/>
        <v>12</v>
      </c>
      <c r="W79" s="232">
        <f t="shared" si="89"/>
        <v>14</v>
      </c>
      <c r="X79" s="233">
        <f t="shared" si="89"/>
        <v>16</v>
      </c>
      <c r="Y79" s="234">
        <f>iferror(if(isblank(X80),"",X79-N79))</f>
        <v>12</v>
      </c>
      <c r="Z79" s="234">
        <f>if(isblank(X80),0,X79)</f>
        <v>16</v>
      </c>
      <c r="AA79" s="1"/>
      <c r="AB79" s="1"/>
    </row>
    <row r="80">
      <c r="A80" s="237"/>
      <c r="B80" s="39"/>
      <c r="C80" s="238" t="s">
        <v>170</v>
      </c>
      <c r="D80" s="239"/>
      <c r="E80" s="240">
        <f>iferror(vlookup('ROUND 4 - SINGLES'!$B186,'ROUND 4 - SINGLES'!$B:$AC,7,false))</f>
        <v>6</v>
      </c>
      <c r="F80" s="241">
        <f>iferror(vlookup('ROUND 4 - SINGLES'!$B186,'ROUND 4 - SINGLES'!$B:$AC,8,false))</f>
        <v>6</v>
      </c>
      <c r="G80" s="241">
        <f>iferror(vlookup('ROUND 4 - SINGLES'!$B186,'ROUND 4 - SINGLES'!$B:$AC,9,false))</f>
        <v>4</v>
      </c>
      <c r="H80" s="241">
        <f>iferror(vlookup('ROUND 4 - SINGLES'!$B186,'ROUND 4 - SINGLES'!$B:$AC,10,false))</f>
        <v>4</v>
      </c>
      <c r="I80" s="241">
        <f>iferror(vlookup('ROUND 4 - SINGLES'!$B186,'ROUND 4 - SINGLES'!$B:$AC,11,false))</f>
        <v>5</v>
      </c>
      <c r="J80" s="241">
        <f>iferror(vlookup('ROUND 4 - SINGLES'!$B186,'ROUND 4 - SINGLES'!$B:$AC,12,false))</f>
        <v>4</v>
      </c>
      <c r="K80" s="241">
        <f>iferror(vlookup('ROUND 4 - SINGLES'!$B186,'ROUND 4 - SINGLES'!$B:$AC,13,false))</f>
        <v>4</v>
      </c>
      <c r="L80" s="241">
        <f>iferror(vlookup('ROUND 4 - SINGLES'!$B186,'ROUND 4 - SINGLES'!$B:$AC,14,false))</f>
        <v>5</v>
      </c>
      <c r="M80" s="242">
        <f>iferror(vlookup('ROUND 4 - SINGLES'!$B186,'ROUND 4 - SINGLES'!$B:$AC,15,false))</f>
        <v>5</v>
      </c>
      <c r="N80" s="243">
        <f>iferror(if(isblank(M80),"",sum(E80:M80)))</f>
        <v>43</v>
      </c>
      <c r="O80" s="244"/>
      <c r="P80" s="240">
        <f>iferror(vlookup('ROUND 4 - SINGLES'!$B186,'ROUND 4 - SINGLES'!$B:$AC,18,false))</f>
        <v>5</v>
      </c>
      <c r="Q80" s="241">
        <f>iferror(vlookup('ROUND 4 - SINGLES'!$B186,'ROUND 4 - SINGLES'!$B:$AC,19,false))</f>
        <v>4</v>
      </c>
      <c r="R80" s="241">
        <f>iferror(vlookup('ROUND 4 - SINGLES'!$B186,'ROUND 4 - SINGLES'!$B:$AC,20,false))</f>
        <v>5</v>
      </c>
      <c r="S80" s="241">
        <f>iferror(vlookup('ROUND 4 - SINGLES'!$B186,'ROUND 4 - SINGLES'!$B:$AC,21,false))</f>
        <v>3</v>
      </c>
      <c r="T80" s="241">
        <f>iferror(vlookup('ROUND 4 - SINGLES'!$B186,'ROUND 4 - SINGLES'!$B:$AC,22,false))</f>
        <v>6</v>
      </c>
      <c r="U80" s="241">
        <f>iferror(vlookup('ROUND 4 - SINGLES'!$B186,'ROUND 4 - SINGLES'!$B:$AC,23,false))</f>
        <v>5</v>
      </c>
      <c r="V80" s="241">
        <f>iferror(vlookup('ROUND 4 - SINGLES'!$B186,'ROUND 4 - SINGLES'!$B:$AC,24,false))</f>
        <v>4</v>
      </c>
      <c r="W80" s="241">
        <f>iferror(vlookup('ROUND 4 - SINGLES'!$B186,'ROUND 4 - SINGLES'!$B:$AC,25,false))</f>
        <v>3</v>
      </c>
      <c r="X80" s="242">
        <f>iferror(vlookup('ROUND 4 - SINGLES'!$B186,'ROUND 4 - SINGLES'!$B:$AC,26,false))</f>
        <v>4</v>
      </c>
      <c r="Y80" s="243">
        <f>iferror(if(isblank(X80),"",sum(P80:X80)))</f>
        <v>39</v>
      </c>
      <c r="Z80" s="245">
        <f>if(isblank(X80),"",sum(N80,Y80))</f>
        <v>82</v>
      </c>
      <c r="AA80" s="39"/>
      <c r="AB80" s="39"/>
    </row>
    <row r="81">
      <c r="A81" s="237"/>
      <c r="B81" s="39"/>
      <c r="C81" s="247" t="s">
        <v>171</v>
      </c>
      <c r="D81" s="248"/>
      <c r="E81" s="249">
        <f t="shared" ref="E81:M81" si="90">iferror(if(isblank(E80),"",if(and(18-$D79&lt;0,18+E$7&lt;$D79),E80-2-E$6,if(or(E$7&lt;$D79,E$7=$D79),E80-1-E$6,E80-E$6))))</f>
        <v>1</v>
      </c>
      <c r="F81" s="250">
        <f t="shared" si="90"/>
        <v>2</v>
      </c>
      <c r="G81" s="250">
        <f t="shared" si="90"/>
        <v>1</v>
      </c>
      <c r="H81" s="250">
        <f t="shared" si="90"/>
        <v>0</v>
      </c>
      <c r="I81" s="250">
        <f t="shared" si="90"/>
        <v>-1</v>
      </c>
      <c r="J81" s="250">
        <f t="shared" si="90"/>
        <v>0</v>
      </c>
      <c r="K81" s="250">
        <f t="shared" si="90"/>
        <v>0</v>
      </c>
      <c r="L81" s="250">
        <f t="shared" si="90"/>
        <v>1</v>
      </c>
      <c r="M81" s="251">
        <f t="shared" si="90"/>
        <v>2</v>
      </c>
      <c r="N81" s="243">
        <f>iferror(if(isblank(M80),"",if(or(N$7&lt;$D79,N$7=$D79),N80-1-N$6,N80-N$6)))</f>
        <v>6</v>
      </c>
      <c r="O81" s="244"/>
      <c r="P81" s="249">
        <f t="shared" ref="P81:X81" si="91">iferror(if(isblank(P80),"",if(and(18-$D79&lt;0,18+P$7&lt;$D79),P80-2-P$6,if(or(P$7&lt;$D79,P$7=$D79),P80-1-P$6,P80-P$6))))</f>
        <v>0</v>
      </c>
      <c r="Q81" s="250">
        <f t="shared" si="91"/>
        <v>0</v>
      </c>
      <c r="R81" s="250">
        <f t="shared" si="91"/>
        <v>1</v>
      </c>
      <c r="S81" s="250">
        <f t="shared" si="91"/>
        <v>0</v>
      </c>
      <c r="T81" s="250">
        <f t="shared" si="91"/>
        <v>1</v>
      </c>
      <c r="U81" s="250">
        <f t="shared" si="91"/>
        <v>1</v>
      </c>
      <c r="V81" s="250">
        <f t="shared" si="91"/>
        <v>0</v>
      </c>
      <c r="W81" s="250">
        <f t="shared" si="91"/>
        <v>0</v>
      </c>
      <c r="X81" s="251">
        <f t="shared" si="91"/>
        <v>0</v>
      </c>
      <c r="Y81" s="243">
        <f>iferror(if(isblank(X80),"",if(or(Y$7&lt;$D79,Y$7=$D79),Y80-1-Y$6,Y80-Y$6)))</f>
        <v>2</v>
      </c>
      <c r="Z81" s="252">
        <f>if(isblank(X80),"",sum(N81,Y81))</f>
        <v>8</v>
      </c>
      <c r="AA81" s="39"/>
      <c r="AB81" s="39"/>
    </row>
    <row r="82">
      <c r="B82" s="1"/>
      <c r="C82" s="253" t="s">
        <v>172</v>
      </c>
      <c r="D82" s="253">
        <f>iferror(vlookup($C79,'TILT Round 2'!$C:$AA,25,false),"")</f>
        <v>1</v>
      </c>
      <c r="E82" s="255">
        <f t="shared" ref="E82:M82" si="92">iferror(if(isblank(E80),"",if(E81=-1,D82+1,if(E81=-2,D82+2,if(E81=-3,D82+3,1)))))</f>
        <v>1</v>
      </c>
      <c r="F82" s="256">
        <f t="shared" si="92"/>
        <v>1</v>
      </c>
      <c r="G82" s="256">
        <f t="shared" si="92"/>
        <v>1</v>
      </c>
      <c r="H82" s="256">
        <f t="shared" si="92"/>
        <v>1</v>
      </c>
      <c r="I82" s="256">
        <f t="shared" si="92"/>
        <v>2</v>
      </c>
      <c r="J82" s="256">
        <f t="shared" si="92"/>
        <v>1</v>
      </c>
      <c r="K82" s="256">
        <f t="shared" si="92"/>
        <v>1</v>
      </c>
      <c r="L82" s="256">
        <f t="shared" si="92"/>
        <v>1</v>
      </c>
      <c r="M82" s="257">
        <f t="shared" si="92"/>
        <v>1</v>
      </c>
      <c r="N82" s="258"/>
      <c r="O82" s="259">
        <f>iferror(if(isblank(N80),"",if(N81=-1,M82+1,if(N81=-2,M82+2,if(N81=-3,M82+3,1)))))</f>
        <v>1</v>
      </c>
      <c r="P82" s="255">
        <f t="shared" ref="P82:X82" si="93">iferror(if(isblank(P80),"",if(P81=-1,O82+1,if(P81=-2,O82+2,if(P81=-3,O82+3,1)))))</f>
        <v>1</v>
      </c>
      <c r="Q82" s="256">
        <f t="shared" si="93"/>
        <v>1</v>
      </c>
      <c r="R82" s="256">
        <f t="shared" si="93"/>
        <v>1</v>
      </c>
      <c r="S82" s="256">
        <f t="shared" si="93"/>
        <v>1</v>
      </c>
      <c r="T82" s="256">
        <f t="shared" si="93"/>
        <v>1</v>
      </c>
      <c r="U82" s="256">
        <f t="shared" si="93"/>
        <v>1</v>
      </c>
      <c r="V82" s="256">
        <f t="shared" si="93"/>
        <v>1</v>
      </c>
      <c r="W82" s="256">
        <f t="shared" si="93"/>
        <v>1</v>
      </c>
      <c r="X82" s="257">
        <f t="shared" si="93"/>
        <v>1</v>
      </c>
      <c r="Y82" s="258"/>
      <c r="Z82" s="234">
        <f>if(isblank(Y80),"",if(Y81=-1,X82+1,if(Y81=-2,X82+2,if(Y81=-3,X82+3,1))))</f>
        <v>1</v>
      </c>
      <c r="AA82" s="1"/>
      <c r="AB82" s="1"/>
    </row>
    <row r="83">
      <c r="B83" s="1"/>
      <c r="C83" s="261"/>
      <c r="D83" s="261"/>
      <c r="E83" s="262"/>
      <c r="F83" s="262"/>
      <c r="G83" s="262"/>
      <c r="H83" s="263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3"/>
      <c r="W83" s="262"/>
      <c r="X83" s="262"/>
      <c r="Y83" s="262"/>
      <c r="Z83" s="262"/>
      <c r="AA83" s="1"/>
      <c r="AB83" s="1"/>
    </row>
    <row r="84">
      <c r="B84" s="1"/>
      <c r="C84" s="229" t="str">
        <f>'ROUND 4 - SINGLES'!F193</f>
        <v>ZACH</v>
      </c>
      <c r="D84" s="229">
        <f>iferror(vlookup($C84,HANDICAPS!$B$33:$G$48,6,false),"")</f>
        <v>8</v>
      </c>
      <c r="E84" s="231">
        <f>iferror(if(isblank(E85),"",if(E86=-3,16*D87,if(E86=-2,8*D87,if(E86=-1,4*D87,if(E86=0,2*D87,if(E86=1,0,if(E86&gt;1,-4*D87))))))+D85))</f>
        <v>0</v>
      </c>
      <c r="F84" s="232">
        <f t="shared" ref="F84:M84" si="94">iferror(if(isblank(F85),"",if(F86=-3,16*E87+E84,if(F86=-2,8*E87+E84,if(F86=-1,4*E87+E84,if(F86=0,2*E87+E84,if(F86=1,0+E84,if(F86&gt;1,-4*E87+E84))))))))</f>
        <v>0</v>
      </c>
      <c r="G84" s="232">
        <f t="shared" si="94"/>
        <v>2</v>
      </c>
      <c r="H84" s="232">
        <f t="shared" si="94"/>
        <v>-2</v>
      </c>
      <c r="I84" s="232">
        <f t="shared" si="94"/>
        <v>0</v>
      </c>
      <c r="J84" s="232">
        <f t="shared" si="94"/>
        <v>0</v>
      </c>
      <c r="K84" s="232">
        <f t="shared" si="94"/>
        <v>4</v>
      </c>
      <c r="L84" s="232">
        <f t="shared" si="94"/>
        <v>8</v>
      </c>
      <c r="M84" s="233">
        <f t="shared" si="94"/>
        <v>10</v>
      </c>
      <c r="N84" s="234">
        <f>M84</f>
        <v>10</v>
      </c>
      <c r="O84" s="235"/>
      <c r="P84" s="231">
        <f>iferror(if(isblank(P85),"",if(P86=-3,16*O87+O85+N84,if(P86=-2,8*O87+O85+N84,if(P86=-1,4*O87+O85+N84,if(P86=0,2*O87+O85+N84,if(P86=1,0+N84,if(P86&gt;1,-4*O87+O85+N84))))))))</f>
        <v>6</v>
      </c>
      <c r="Q84" s="232">
        <f t="shared" ref="Q84:X84" si="95">iferror(if(isblank(Q85),"",if(Q86=-3,16*P87+P84,if(Q86=-2,8*P87+P84,if(Q86=-1,4*P87+P84,if(Q86=0,2*P87+P84,if(Q86=1,0+P84,if(Q86&gt;1,-4*P87+P84))))))))</f>
        <v>6</v>
      </c>
      <c r="R84" s="232">
        <f t="shared" si="95"/>
        <v>8</v>
      </c>
      <c r="S84" s="232">
        <f t="shared" si="95"/>
        <v>10</v>
      </c>
      <c r="T84" s="232">
        <f t="shared" si="95"/>
        <v>10</v>
      </c>
      <c r="U84" s="232">
        <f t="shared" si="95"/>
        <v>10</v>
      </c>
      <c r="V84" s="232">
        <f t="shared" si="95"/>
        <v>10</v>
      </c>
      <c r="W84" s="232">
        <f t="shared" si="95"/>
        <v>6</v>
      </c>
      <c r="X84" s="233">
        <f t="shared" si="95"/>
        <v>8</v>
      </c>
      <c r="Y84" s="234">
        <f>iferror(if(isblank(X85),"",X84-N84))</f>
        <v>-2</v>
      </c>
      <c r="Z84" s="234">
        <f>if(isblank(X85),0,X84)</f>
        <v>8</v>
      </c>
      <c r="AA84" s="1"/>
      <c r="AB84" s="1"/>
    </row>
    <row r="85">
      <c r="B85" s="1"/>
      <c r="C85" s="238" t="s">
        <v>170</v>
      </c>
      <c r="D85" s="239"/>
      <c r="E85" s="240">
        <f>iferror(vlookup('ROUND 4 - SINGLES'!$B194,'ROUND 4 - SINGLES'!$B:$AC,7,false))</f>
        <v>6</v>
      </c>
      <c r="F85" s="241">
        <f>iferror(vlookup('ROUND 4 - SINGLES'!$B194,'ROUND 4 - SINGLES'!$B:$AC,8,false))</f>
        <v>6</v>
      </c>
      <c r="G85" s="241">
        <f>iferror(vlookup('ROUND 4 - SINGLES'!$B194,'ROUND 4 - SINGLES'!$B:$AC,9,false))</f>
        <v>3</v>
      </c>
      <c r="H85" s="241">
        <f>iferror(vlookup('ROUND 4 - SINGLES'!$B194,'ROUND 4 - SINGLES'!$B:$AC,10,false))</f>
        <v>7</v>
      </c>
      <c r="I85" s="241">
        <f>iferror(vlookup('ROUND 4 - SINGLES'!$B194,'ROUND 4 - SINGLES'!$B:$AC,11,false))</f>
        <v>6</v>
      </c>
      <c r="J85" s="241">
        <f>iferror(vlookup('ROUND 4 - SINGLES'!$B194,'ROUND 4 - SINGLES'!$B:$AC,12,false))</f>
        <v>5</v>
      </c>
      <c r="K85" s="241">
        <f>iferror(vlookup('ROUND 4 - SINGLES'!$B194,'ROUND 4 - SINGLES'!$B:$AC,13,false))</f>
        <v>4</v>
      </c>
      <c r="L85" s="241">
        <f>iferror(vlookup('ROUND 4 - SINGLES'!$B194,'ROUND 4 - SINGLES'!$B:$AC,14,false))</f>
        <v>4</v>
      </c>
      <c r="M85" s="242">
        <f>iferror(vlookup('ROUND 4 - SINGLES'!$B194,'ROUND 4 - SINGLES'!$B:$AC,15,false))</f>
        <v>3</v>
      </c>
      <c r="N85" s="243">
        <f>iferror(if(isblank(M85),"",sum(E85:M85)))</f>
        <v>44</v>
      </c>
      <c r="O85" s="244"/>
      <c r="P85" s="240">
        <f>iferror(vlookup('ROUND 4 - SINGLES'!$B194,'ROUND 4 - SINGLES'!$B:$AC,18,false))</f>
        <v>7</v>
      </c>
      <c r="Q85" s="241">
        <f>iferror(vlookup('ROUND 4 - SINGLES'!$B194,'ROUND 4 - SINGLES'!$B:$AC,19,false))</f>
        <v>6</v>
      </c>
      <c r="R85" s="241">
        <f>iferror(vlookup('ROUND 4 - SINGLES'!$B194,'ROUND 4 - SINGLES'!$B:$AC,20,false))</f>
        <v>5</v>
      </c>
      <c r="S85" s="241">
        <f>iferror(vlookup('ROUND 4 - SINGLES'!$B194,'ROUND 4 - SINGLES'!$B:$AC,21,false))</f>
        <v>4</v>
      </c>
      <c r="T85" s="241">
        <f>iferror(vlookup('ROUND 4 - SINGLES'!$B194,'ROUND 4 - SINGLES'!$B:$AC,22,false))</f>
        <v>6</v>
      </c>
      <c r="U85" s="241">
        <f>iferror(vlookup('ROUND 4 - SINGLES'!$B194,'ROUND 4 - SINGLES'!$B:$AC,23,false))</f>
        <v>5</v>
      </c>
      <c r="V85" s="241">
        <f>iferror(vlookup('ROUND 4 - SINGLES'!$B194,'ROUND 4 - SINGLES'!$B:$AC,24,false))</f>
        <v>5</v>
      </c>
      <c r="W85" s="241">
        <f>iferror(vlookup('ROUND 4 - SINGLES'!$B194,'ROUND 4 - SINGLES'!$B:$AC,25,false))</f>
        <v>5</v>
      </c>
      <c r="X85" s="242">
        <f>iferror(vlookup('ROUND 4 - SINGLES'!$B194,'ROUND 4 - SINGLES'!$B:$AC,26,false))</f>
        <v>5</v>
      </c>
      <c r="Y85" s="243">
        <f>iferror(if(isblank(X85),"",sum(P85:X85)))</f>
        <v>48</v>
      </c>
      <c r="Z85" s="245">
        <f>if(isblank(X85),"",sum(N85,Y85))</f>
        <v>92</v>
      </c>
      <c r="AA85" s="1"/>
      <c r="AB85" s="1"/>
    </row>
    <row r="86">
      <c r="B86" s="1"/>
      <c r="C86" s="247" t="s">
        <v>171</v>
      </c>
      <c r="D86" s="248"/>
      <c r="E86" s="249">
        <f t="shared" ref="E86:M86" si="96">iferror(if(isblank(E85),"",if(and(18-$D84&lt;0,18+E$7&lt;$D84),E85-2-E$6,if(or(E$7&lt;$D84,E$7=$D84),E85-1-E$6,E85-E$6))))</f>
        <v>1</v>
      </c>
      <c r="F86" s="250">
        <f t="shared" si="96"/>
        <v>1</v>
      </c>
      <c r="G86" s="250">
        <f t="shared" si="96"/>
        <v>0</v>
      </c>
      <c r="H86" s="250">
        <f t="shared" si="96"/>
        <v>2</v>
      </c>
      <c r="I86" s="250">
        <f t="shared" si="96"/>
        <v>0</v>
      </c>
      <c r="J86" s="250">
        <f t="shared" si="96"/>
        <v>1</v>
      </c>
      <c r="K86" s="250">
        <f t="shared" si="96"/>
        <v>-1</v>
      </c>
      <c r="L86" s="250">
        <f t="shared" si="96"/>
        <v>0</v>
      </c>
      <c r="M86" s="251">
        <f t="shared" si="96"/>
        <v>0</v>
      </c>
      <c r="N86" s="243">
        <f>iferror(if(isblank(M85),"",if(or(N$7&lt;$D84,N$7=$D84),N85-1-N$6,N85-N$6)))</f>
        <v>7</v>
      </c>
      <c r="O86" s="244"/>
      <c r="P86" s="249">
        <f t="shared" ref="P86:X86" si="97">iferror(if(isblank(P85),"",if(and(18-$D84&lt;0,18+P$7&lt;$D84),P85-2-P$6,if(or(P$7&lt;$D84,P$7=$D84),P85-1-P$6,P85-P$6))))</f>
        <v>2</v>
      </c>
      <c r="Q86" s="250">
        <f t="shared" si="97"/>
        <v>1</v>
      </c>
      <c r="R86" s="250">
        <f t="shared" si="97"/>
        <v>0</v>
      </c>
      <c r="S86" s="250">
        <f t="shared" si="97"/>
        <v>0</v>
      </c>
      <c r="T86" s="250">
        <f t="shared" si="97"/>
        <v>1</v>
      </c>
      <c r="U86" s="250">
        <f t="shared" si="97"/>
        <v>1</v>
      </c>
      <c r="V86" s="250">
        <f t="shared" si="97"/>
        <v>1</v>
      </c>
      <c r="W86" s="250">
        <f t="shared" si="97"/>
        <v>2</v>
      </c>
      <c r="X86" s="251">
        <f t="shared" si="97"/>
        <v>0</v>
      </c>
      <c r="Y86" s="243">
        <f>iferror(if(isblank(X85),"",if(or(Y$7&lt;$D84,Y$7=$D84),Y85-1-Y$6,Y85-Y$6)))</f>
        <v>11</v>
      </c>
      <c r="Z86" s="252">
        <f>if(isblank(X85),"",sum(N86,Y86))</f>
        <v>18</v>
      </c>
      <c r="AA86" s="1"/>
      <c r="AB86" s="1"/>
    </row>
    <row r="87">
      <c r="B87" s="1"/>
      <c r="C87" s="253" t="s">
        <v>172</v>
      </c>
      <c r="D87" s="253">
        <f>iferror(vlookup($C84,'TILT Round 2'!$C:$AA,25,false),"")</f>
        <v>1</v>
      </c>
      <c r="E87" s="255">
        <f t="shared" ref="E87:M87" si="98">iferror(if(isblank(E85),"",if(E86=-1,D87+1,if(E86=-2,D87+2,if(E86=-3,D87+3,1)))))</f>
        <v>1</v>
      </c>
      <c r="F87" s="256">
        <f t="shared" si="98"/>
        <v>1</v>
      </c>
      <c r="G87" s="256">
        <f t="shared" si="98"/>
        <v>1</v>
      </c>
      <c r="H87" s="256">
        <f t="shared" si="98"/>
        <v>1</v>
      </c>
      <c r="I87" s="256">
        <f t="shared" si="98"/>
        <v>1</v>
      </c>
      <c r="J87" s="256">
        <f t="shared" si="98"/>
        <v>1</v>
      </c>
      <c r="K87" s="256">
        <f t="shared" si="98"/>
        <v>2</v>
      </c>
      <c r="L87" s="256">
        <f t="shared" si="98"/>
        <v>1</v>
      </c>
      <c r="M87" s="257">
        <f t="shared" si="98"/>
        <v>1</v>
      </c>
      <c r="N87" s="258"/>
      <c r="O87" s="259">
        <f>iferror(if(isblank(N85),"",if(N86=-1,M87+1,if(N86=-2,M87+2,if(N86=-3,M87+3,1)))))</f>
        <v>1</v>
      </c>
      <c r="P87" s="255">
        <f t="shared" ref="P87:X87" si="99">iferror(if(isblank(P85),"",if(P86=-1,O87+1,if(P86=-2,O87+2,if(P86=-3,O87+3,1)))))</f>
        <v>1</v>
      </c>
      <c r="Q87" s="256">
        <f t="shared" si="99"/>
        <v>1</v>
      </c>
      <c r="R87" s="256">
        <f t="shared" si="99"/>
        <v>1</v>
      </c>
      <c r="S87" s="256">
        <f t="shared" si="99"/>
        <v>1</v>
      </c>
      <c r="T87" s="256">
        <f t="shared" si="99"/>
        <v>1</v>
      </c>
      <c r="U87" s="256">
        <f t="shared" si="99"/>
        <v>1</v>
      </c>
      <c r="V87" s="256">
        <f t="shared" si="99"/>
        <v>1</v>
      </c>
      <c r="W87" s="256">
        <f t="shared" si="99"/>
        <v>1</v>
      </c>
      <c r="X87" s="257">
        <f t="shared" si="99"/>
        <v>1</v>
      </c>
      <c r="Y87" s="258"/>
      <c r="Z87" s="234">
        <f>if(isblank(Y85),"",if(Y86=-1,X87+1,if(Y86=-2,X87+2,if(Y86=-3,X87+3,1))))</f>
        <v>1</v>
      </c>
      <c r="AA87" s="1"/>
      <c r="AB87" s="1"/>
    </row>
    <row r="88">
      <c r="B88" s="1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1"/>
      <c r="AB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B147" s="66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>
      <c r="B148" s="7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B149" s="17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B150" s="173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B151" s="173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B152" s="173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B153" s="173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B154" s="173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B155" s="173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B156" s="173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B157" s="173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B158" s="173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B159" s="173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B160" s="173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B161" s="173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B162" s="173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B163" s="17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</sheetData>
  <mergeCells count="6">
    <mergeCell ref="AA1:AB1"/>
    <mergeCell ref="C2:Z2"/>
    <mergeCell ref="AA2:AB2"/>
    <mergeCell ref="G3:K3"/>
    <mergeCell ref="S3:W3"/>
    <mergeCell ref="C4:C7"/>
  </mergeCells>
  <conditionalFormatting sqref="D12:Z12 D17:Z17 D22:Z22 D27:Z27 D32:Z32 D37:Z37 D42:Z42 D47:Z47 D52:Z52 D57:Z57 D62:Z62 D67:Z67 D72:Z72 D77:Z77 D82:Z82 D87:Z87">
    <cfRule type="cellIs" dxfId="2" priority="1" operator="equal">
      <formula>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0.75"/>
    <col customWidth="1" min="3" max="3" width="32.75"/>
    <col customWidth="1" min="4" max="4" width="9.88"/>
    <col customWidth="1" min="5" max="14" width="5.88"/>
    <col customWidth="1" min="15" max="15" width="1.5"/>
    <col customWidth="1" min="16" max="26" width="5.88"/>
    <col customWidth="1" min="27" max="27" width="1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.7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5"/>
    </row>
    <row r="3" ht="19.5" customHeight="1">
      <c r="A3" s="1"/>
      <c r="B3" s="7"/>
      <c r="C3" s="10" t="s">
        <v>219</v>
      </c>
      <c r="D3" s="6"/>
      <c r="E3" s="6"/>
      <c r="F3" s="6"/>
      <c r="G3" s="9"/>
      <c r="H3" s="9"/>
      <c r="I3" s="9"/>
      <c r="J3" s="10" t="s">
        <v>193</v>
      </c>
      <c r="T3" s="11"/>
      <c r="U3" s="11"/>
      <c r="V3" s="11"/>
      <c r="W3" s="11"/>
      <c r="X3" s="1"/>
      <c r="Y3" s="1"/>
      <c r="Z3" s="1"/>
      <c r="AA3" s="12"/>
    </row>
    <row r="4" ht="6.75" customHeight="1">
      <c r="A4" s="1"/>
      <c r="B4" s="7"/>
      <c r="C4" s="1"/>
      <c r="D4" s="1"/>
      <c r="E4" s="1"/>
      <c r="F4" s="1"/>
      <c r="G4" s="295"/>
      <c r="H4" s="295"/>
      <c r="I4" s="295"/>
      <c r="J4" s="295"/>
      <c r="K4" s="295"/>
      <c r="L4" s="1"/>
      <c r="M4" s="1"/>
      <c r="N4" s="1"/>
      <c r="O4" s="1"/>
      <c r="P4" s="1"/>
      <c r="Q4" s="1"/>
      <c r="R4" s="1"/>
      <c r="S4" s="295"/>
      <c r="T4" s="295"/>
      <c r="U4" s="295"/>
      <c r="V4" s="295"/>
      <c r="W4" s="295"/>
      <c r="X4" s="1"/>
      <c r="Y4" s="1"/>
      <c r="Z4" s="1"/>
      <c r="AA4" s="12"/>
    </row>
    <row r="5" ht="15.0" customHeight="1">
      <c r="A5" s="1"/>
      <c r="B5" s="7"/>
      <c r="C5" s="1"/>
      <c r="D5" s="15" t="s">
        <v>4</v>
      </c>
      <c r="E5" s="15">
        <v>1.0</v>
      </c>
      <c r="F5" s="15">
        <v>2.0</v>
      </c>
      <c r="G5" s="15">
        <v>3.0</v>
      </c>
      <c r="H5" s="15">
        <v>4.0</v>
      </c>
      <c r="I5" s="15">
        <v>5.0</v>
      </c>
      <c r="J5" s="15">
        <v>6.0</v>
      </c>
      <c r="K5" s="15">
        <v>7.0</v>
      </c>
      <c r="L5" s="15">
        <v>8.0</v>
      </c>
      <c r="M5" s="15">
        <v>9.0</v>
      </c>
      <c r="N5" s="15" t="s">
        <v>5</v>
      </c>
      <c r="O5" s="16"/>
      <c r="P5" s="15">
        <v>10.0</v>
      </c>
      <c r="Q5" s="15">
        <v>11.0</v>
      </c>
      <c r="R5" s="15">
        <v>12.0</v>
      </c>
      <c r="S5" s="15">
        <v>13.0</v>
      </c>
      <c r="T5" s="15">
        <v>14.0</v>
      </c>
      <c r="U5" s="15">
        <v>15.0</v>
      </c>
      <c r="V5" s="15">
        <v>16.0</v>
      </c>
      <c r="W5" s="15">
        <v>17.0</v>
      </c>
      <c r="X5" s="15">
        <v>18.0</v>
      </c>
      <c r="Y5" s="15" t="s">
        <v>6</v>
      </c>
      <c r="Z5" s="15" t="s">
        <v>7</v>
      </c>
      <c r="AA5" s="12"/>
    </row>
    <row r="6" ht="14.25" customHeight="1">
      <c r="A6" s="1"/>
      <c r="B6" s="7"/>
      <c r="C6" s="1"/>
      <c r="D6" s="15" t="s">
        <v>220</v>
      </c>
      <c r="E6" s="15">
        <v>337.0</v>
      </c>
      <c r="F6" s="15">
        <v>335.0</v>
      </c>
      <c r="G6" s="15">
        <v>473.0</v>
      </c>
      <c r="H6" s="15">
        <v>189.0</v>
      </c>
      <c r="I6" s="15">
        <v>402.0</v>
      </c>
      <c r="J6" s="15">
        <v>174.0</v>
      </c>
      <c r="K6" s="15">
        <v>333.0</v>
      </c>
      <c r="L6" s="15">
        <v>476.0</v>
      </c>
      <c r="M6" s="15">
        <v>387.0</v>
      </c>
      <c r="N6" s="15">
        <f t="shared" ref="N6:N7" si="1">SUM(E6:M6)</f>
        <v>3106</v>
      </c>
      <c r="O6" s="17"/>
      <c r="P6" s="15">
        <v>383.0</v>
      </c>
      <c r="Q6" s="15">
        <v>161.0</v>
      </c>
      <c r="R6" s="15">
        <v>328.0</v>
      </c>
      <c r="S6" s="15">
        <v>378.0</v>
      </c>
      <c r="T6" s="15">
        <v>503.0</v>
      </c>
      <c r="U6" s="15">
        <v>374.0</v>
      </c>
      <c r="V6" s="15">
        <v>356.0</v>
      </c>
      <c r="W6" s="15">
        <v>145.0</v>
      </c>
      <c r="X6" s="15">
        <v>502.0</v>
      </c>
      <c r="Y6" s="15">
        <f t="shared" ref="Y6:Y7" si="2">SUM(P6:X6)</f>
        <v>3130</v>
      </c>
      <c r="Z6" s="15">
        <f t="shared" ref="Z6:Z7" si="3">Y6+N6</f>
        <v>6236</v>
      </c>
      <c r="AA6" s="12"/>
    </row>
    <row r="7" ht="14.25" customHeight="1">
      <c r="A7" s="1"/>
      <c r="B7" s="7"/>
      <c r="C7" s="1"/>
      <c r="D7" s="15" t="s">
        <v>9</v>
      </c>
      <c r="E7" s="15">
        <v>4.0</v>
      </c>
      <c r="F7" s="15">
        <v>4.0</v>
      </c>
      <c r="G7" s="15">
        <v>5.0</v>
      </c>
      <c r="H7" s="15">
        <v>3.0</v>
      </c>
      <c r="I7" s="15">
        <v>4.0</v>
      </c>
      <c r="J7" s="15">
        <v>3.0</v>
      </c>
      <c r="K7" s="15">
        <v>4.0</v>
      </c>
      <c r="L7" s="15">
        <v>5.0</v>
      </c>
      <c r="M7" s="15">
        <v>4.0</v>
      </c>
      <c r="N7" s="15">
        <f t="shared" si="1"/>
        <v>36</v>
      </c>
      <c r="O7" s="17"/>
      <c r="P7" s="15">
        <v>4.0</v>
      </c>
      <c r="Q7" s="15">
        <v>3.0</v>
      </c>
      <c r="R7" s="15">
        <v>4.0</v>
      </c>
      <c r="S7" s="15">
        <v>4.0</v>
      </c>
      <c r="T7" s="15">
        <v>5.0</v>
      </c>
      <c r="U7" s="15">
        <v>4.0</v>
      </c>
      <c r="V7" s="15">
        <v>4.0</v>
      </c>
      <c r="W7" s="15">
        <v>3.0</v>
      </c>
      <c r="X7" s="15">
        <v>5.0</v>
      </c>
      <c r="Y7" s="15">
        <f t="shared" si="2"/>
        <v>36</v>
      </c>
      <c r="Z7" s="15">
        <f t="shared" si="3"/>
        <v>72</v>
      </c>
      <c r="AA7" s="12"/>
    </row>
    <row r="8" ht="14.25" customHeight="1">
      <c r="A8" s="1"/>
      <c r="B8" s="7"/>
      <c r="C8" s="1"/>
      <c r="D8" s="15" t="s">
        <v>10</v>
      </c>
      <c r="E8" s="15">
        <v>5.0</v>
      </c>
      <c r="F8" s="15">
        <v>15.0</v>
      </c>
      <c r="G8" s="15">
        <v>17.0</v>
      </c>
      <c r="H8" s="15">
        <v>9.0</v>
      </c>
      <c r="I8" s="15">
        <v>1.0</v>
      </c>
      <c r="J8" s="15">
        <v>7.0</v>
      </c>
      <c r="K8" s="15">
        <v>11.0</v>
      </c>
      <c r="L8" s="15">
        <v>13.0</v>
      </c>
      <c r="M8" s="15">
        <v>3.0</v>
      </c>
      <c r="N8" s="18"/>
      <c r="O8" s="17"/>
      <c r="P8" s="15">
        <v>4.0</v>
      </c>
      <c r="Q8" s="15">
        <v>14.0</v>
      </c>
      <c r="R8" s="15">
        <v>10.0</v>
      </c>
      <c r="S8" s="15">
        <v>8.0</v>
      </c>
      <c r="T8" s="15">
        <v>18.0</v>
      </c>
      <c r="U8" s="15">
        <v>2.0</v>
      </c>
      <c r="V8" s="15">
        <v>6.0</v>
      </c>
      <c r="W8" s="15">
        <v>16.0</v>
      </c>
      <c r="X8" s="15">
        <v>12.0</v>
      </c>
      <c r="Y8" s="18"/>
      <c r="Z8" s="18"/>
      <c r="AA8" s="12"/>
    </row>
    <row r="9" ht="6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2"/>
    </row>
    <row r="10" ht="27.75" customHeight="1">
      <c r="A10" s="1"/>
      <c r="B10" s="7"/>
      <c r="C10" s="288" t="s">
        <v>221</v>
      </c>
      <c r="D10" s="30"/>
      <c r="E10" s="297" t="s">
        <v>200</v>
      </c>
      <c r="F10" s="297" t="s">
        <v>200</v>
      </c>
      <c r="G10" s="297" t="s">
        <v>200</v>
      </c>
      <c r="H10" s="297" t="s">
        <v>200</v>
      </c>
      <c r="I10" s="297" t="s">
        <v>200</v>
      </c>
      <c r="J10" s="297" t="s">
        <v>200</v>
      </c>
      <c r="K10" s="297" t="s">
        <v>200</v>
      </c>
      <c r="L10" s="297" t="s">
        <v>200</v>
      </c>
      <c r="M10" s="297" t="s">
        <v>200</v>
      </c>
      <c r="N10" s="291"/>
      <c r="O10" s="1"/>
      <c r="P10" s="297" t="s">
        <v>200</v>
      </c>
      <c r="Q10" s="297" t="s">
        <v>200</v>
      </c>
      <c r="R10" s="297" t="s">
        <v>200</v>
      </c>
      <c r="S10" s="297" t="s">
        <v>200</v>
      </c>
      <c r="T10" s="291"/>
      <c r="U10" s="297" t="s">
        <v>200</v>
      </c>
      <c r="V10" s="297" t="s">
        <v>200</v>
      </c>
      <c r="W10" s="297" t="s">
        <v>200</v>
      </c>
      <c r="X10" s="297" t="s">
        <v>200</v>
      </c>
      <c r="Y10" s="291"/>
      <c r="Z10" s="291"/>
      <c r="AA10" s="12"/>
    </row>
    <row r="11" ht="27.75" customHeight="1">
      <c r="A11" s="1"/>
      <c r="B11" s="7"/>
      <c r="C11" s="288" t="s">
        <v>222</v>
      </c>
      <c r="D11" s="30"/>
      <c r="E11" s="297" t="s">
        <v>200</v>
      </c>
      <c r="F11" s="297" t="s">
        <v>200</v>
      </c>
      <c r="G11" s="297" t="s">
        <v>200</v>
      </c>
      <c r="H11" s="297" t="s">
        <v>200</v>
      </c>
      <c r="I11" s="297" t="s">
        <v>200</v>
      </c>
      <c r="J11" s="297" t="s">
        <v>200</v>
      </c>
      <c r="K11" s="297" t="s">
        <v>200</v>
      </c>
      <c r="L11" s="297" t="s">
        <v>200</v>
      </c>
      <c r="M11" s="297" t="s">
        <v>200</v>
      </c>
      <c r="N11" s="291"/>
      <c r="O11" s="1"/>
      <c r="P11" s="297" t="s">
        <v>200</v>
      </c>
      <c r="Q11" s="297" t="s">
        <v>200</v>
      </c>
      <c r="R11" s="297" t="s">
        <v>200</v>
      </c>
      <c r="S11" s="297" t="s">
        <v>200</v>
      </c>
      <c r="T11" s="291"/>
      <c r="U11" s="297" t="s">
        <v>200</v>
      </c>
      <c r="V11" s="297" t="s">
        <v>200</v>
      </c>
      <c r="W11" s="297" t="s">
        <v>200</v>
      </c>
      <c r="X11" s="297" t="s">
        <v>200</v>
      </c>
      <c r="Y11" s="291"/>
      <c r="Z11" s="291"/>
      <c r="AA11" s="12"/>
    </row>
    <row r="12" ht="6.75" customHeight="1">
      <c r="A12" s="1"/>
      <c r="B12" s="7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2"/>
    </row>
    <row r="13" ht="27.75" customHeight="1">
      <c r="A13" s="1"/>
      <c r="B13" s="7"/>
      <c r="C13" s="288" t="s">
        <v>11</v>
      </c>
      <c r="D13" s="30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12"/>
    </row>
    <row r="14" ht="27.75" customHeight="1">
      <c r="A14" s="1"/>
      <c r="B14" s="7"/>
      <c r="C14" s="288" t="s">
        <v>12</v>
      </c>
      <c r="D14" s="30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12"/>
    </row>
    <row r="15" ht="6.75" customHeight="1">
      <c r="A15" s="1"/>
      <c r="B15" s="7"/>
      <c r="C15" s="16"/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2"/>
    </row>
    <row r="16" ht="27.75" customHeight="1">
      <c r="A16" s="1"/>
      <c r="B16" s="7"/>
      <c r="C16" s="288" t="s">
        <v>223</v>
      </c>
      <c r="D16" s="30"/>
      <c r="E16" s="291"/>
      <c r="F16" s="291"/>
      <c r="G16" s="291"/>
      <c r="H16" s="291"/>
      <c r="I16" s="291"/>
      <c r="J16" s="291"/>
      <c r="K16" s="291"/>
      <c r="L16" s="291"/>
      <c r="M16" s="291"/>
      <c r="N16" s="291"/>
      <c r="O16" s="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12"/>
    </row>
    <row r="17" ht="27.75" customHeight="1">
      <c r="A17" s="1"/>
      <c r="B17" s="7"/>
      <c r="C17" s="288" t="s">
        <v>224</v>
      </c>
      <c r="D17" s="30"/>
      <c r="E17" s="297" t="s">
        <v>200</v>
      </c>
      <c r="F17" s="291"/>
      <c r="G17" s="291"/>
      <c r="H17" s="297" t="s">
        <v>200</v>
      </c>
      <c r="I17" s="297" t="s">
        <v>200</v>
      </c>
      <c r="J17" s="297" t="s">
        <v>200</v>
      </c>
      <c r="K17" s="291"/>
      <c r="L17" s="291"/>
      <c r="M17" s="297" t="s">
        <v>200</v>
      </c>
      <c r="N17" s="291"/>
      <c r="O17" s="1"/>
      <c r="P17" s="297" t="s">
        <v>200</v>
      </c>
      <c r="Q17" s="291"/>
      <c r="R17" s="297" t="s">
        <v>200</v>
      </c>
      <c r="S17" s="297" t="s">
        <v>200</v>
      </c>
      <c r="T17" s="291"/>
      <c r="U17" s="297" t="s">
        <v>200</v>
      </c>
      <c r="V17" s="297" t="s">
        <v>200</v>
      </c>
      <c r="W17" s="291"/>
      <c r="X17" s="291"/>
      <c r="Y17" s="291"/>
      <c r="Z17" s="291"/>
      <c r="AA17" s="12"/>
    </row>
    <row r="18" ht="6.75" customHeight="1">
      <c r="A18" s="1"/>
      <c r="B18" s="7"/>
      <c r="C18" s="16"/>
      <c r="D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2"/>
    </row>
    <row r="19" ht="27.75" customHeight="1">
      <c r="A19" s="1"/>
      <c r="B19" s="7"/>
      <c r="C19" s="288" t="s">
        <v>11</v>
      </c>
      <c r="D19" s="30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12"/>
    </row>
    <row r="20" ht="27.75" customHeight="1">
      <c r="A20" s="1"/>
      <c r="B20" s="7"/>
      <c r="C20" s="288" t="s">
        <v>12</v>
      </c>
      <c r="D20" s="30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12"/>
    </row>
    <row r="21" ht="6.75" customHeight="1">
      <c r="A21" s="1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ht="6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6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6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6.75" customHeight="1">
      <c r="A26" s="1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</row>
    <row r="27" ht="14.25" customHeight="1">
      <c r="A27" s="1"/>
      <c r="B27" s="7"/>
      <c r="C27" s="10" t="s">
        <v>219</v>
      </c>
      <c r="D27" s="6"/>
      <c r="E27" s="6"/>
      <c r="F27" s="6"/>
      <c r="G27" s="9"/>
      <c r="H27" s="9"/>
      <c r="I27" s="9"/>
      <c r="J27" s="10" t="s">
        <v>193</v>
      </c>
      <c r="T27" s="11"/>
      <c r="U27" s="11"/>
      <c r="V27" s="11"/>
      <c r="W27" s="11"/>
      <c r="X27" s="1"/>
      <c r="Y27" s="1"/>
      <c r="Z27" s="1"/>
      <c r="AA27" s="12"/>
    </row>
    <row r="28" ht="6.75" customHeight="1">
      <c r="A28" s="1"/>
      <c r="B28" s="7"/>
      <c r="C28" s="1"/>
      <c r="D28" s="1"/>
      <c r="E28" s="1"/>
      <c r="F28" s="1"/>
      <c r="G28" s="295"/>
      <c r="H28" s="295"/>
      <c r="I28" s="295"/>
      <c r="J28" s="295"/>
      <c r="K28" s="295"/>
      <c r="L28" s="1"/>
      <c r="M28" s="1"/>
      <c r="N28" s="1"/>
      <c r="O28" s="1"/>
      <c r="P28" s="1"/>
      <c r="Q28" s="1"/>
      <c r="R28" s="1"/>
      <c r="S28" s="295"/>
      <c r="T28" s="295"/>
      <c r="U28" s="295"/>
      <c r="V28" s="295"/>
      <c r="W28" s="295"/>
      <c r="X28" s="1"/>
      <c r="Y28" s="1"/>
      <c r="Z28" s="1"/>
      <c r="AA28" s="12"/>
    </row>
    <row r="29" ht="14.25" customHeight="1">
      <c r="A29" s="1"/>
      <c r="B29" s="7"/>
      <c r="C29" s="1"/>
      <c r="D29" s="15" t="s">
        <v>4</v>
      </c>
      <c r="E29" s="15">
        <v>1.0</v>
      </c>
      <c r="F29" s="15">
        <v>2.0</v>
      </c>
      <c r="G29" s="15">
        <v>3.0</v>
      </c>
      <c r="H29" s="15">
        <v>4.0</v>
      </c>
      <c r="I29" s="15">
        <v>5.0</v>
      </c>
      <c r="J29" s="15">
        <v>6.0</v>
      </c>
      <c r="K29" s="15">
        <v>7.0</v>
      </c>
      <c r="L29" s="15">
        <v>8.0</v>
      </c>
      <c r="M29" s="15">
        <v>9.0</v>
      </c>
      <c r="N29" s="15" t="s">
        <v>5</v>
      </c>
      <c r="O29" s="16"/>
      <c r="P29" s="15">
        <v>10.0</v>
      </c>
      <c r="Q29" s="15">
        <v>11.0</v>
      </c>
      <c r="R29" s="15">
        <v>12.0</v>
      </c>
      <c r="S29" s="15">
        <v>13.0</v>
      </c>
      <c r="T29" s="15">
        <v>14.0</v>
      </c>
      <c r="U29" s="15">
        <v>15.0</v>
      </c>
      <c r="V29" s="15">
        <v>16.0</v>
      </c>
      <c r="W29" s="15">
        <v>17.0</v>
      </c>
      <c r="X29" s="15">
        <v>18.0</v>
      </c>
      <c r="Y29" s="15" t="s">
        <v>6</v>
      </c>
      <c r="Z29" s="15" t="s">
        <v>7</v>
      </c>
      <c r="AA29" s="12"/>
    </row>
    <row r="30" ht="14.25" customHeight="1">
      <c r="A30" s="1"/>
      <c r="B30" s="7"/>
      <c r="C30" s="1"/>
      <c r="D30" s="15" t="s">
        <v>220</v>
      </c>
      <c r="E30" s="15">
        <v>337.0</v>
      </c>
      <c r="F30" s="15">
        <v>335.0</v>
      </c>
      <c r="G30" s="15">
        <v>473.0</v>
      </c>
      <c r="H30" s="15">
        <v>189.0</v>
      </c>
      <c r="I30" s="15">
        <v>402.0</v>
      </c>
      <c r="J30" s="15">
        <v>174.0</v>
      </c>
      <c r="K30" s="15">
        <v>333.0</v>
      </c>
      <c r="L30" s="15">
        <v>476.0</v>
      </c>
      <c r="M30" s="15">
        <v>387.0</v>
      </c>
      <c r="N30" s="15">
        <f t="shared" ref="N30:N31" si="4">SUM(E30:M30)</f>
        <v>3106</v>
      </c>
      <c r="O30" s="17"/>
      <c r="P30" s="15">
        <v>383.0</v>
      </c>
      <c r="Q30" s="15">
        <v>161.0</v>
      </c>
      <c r="R30" s="15">
        <v>328.0</v>
      </c>
      <c r="S30" s="15">
        <v>378.0</v>
      </c>
      <c r="T30" s="15">
        <v>503.0</v>
      </c>
      <c r="U30" s="15">
        <v>374.0</v>
      </c>
      <c r="V30" s="15">
        <v>356.0</v>
      </c>
      <c r="W30" s="15">
        <v>145.0</v>
      </c>
      <c r="X30" s="15">
        <v>502.0</v>
      </c>
      <c r="Y30" s="15">
        <f t="shared" ref="Y30:Y31" si="5">SUM(P30:X30)</f>
        <v>3130</v>
      </c>
      <c r="Z30" s="15">
        <f t="shared" ref="Z30:Z31" si="6">Y30+N30</f>
        <v>6236</v>
      </c>
      <c r="AA30" s="12"/>
    </row>
    <row r="31" ht="14.25" customHeight="1">
      <c r="A31" s="1"/>
      <c r="B31" s="7"/>
      <c r="C31" s="1"/>
      <c r="D31" s="15" t="s">
        <v>9</v>
      </c>
      <c r="E31" s="15">
        <v>4.0</v>
      </c>
      <c r="F31" s="15">
        <v>4.0</v>
      </c>
      <c r="G31" s="15">
        <v>5.0</v>
      </c>
      <c r="H31" s="15">
        <v>3.0</v>
      </c>
      <c r="I31" s="15">
        <v>4.0</v>
      </c>
      <c r="J31" s="15">
        <v>3.0</v>
      </c>
      <c r="K31" s="15">
        <v>4.0</v>
      </c>
      <c r="L31" s="15">
        <v>5.0</v>
      </c>
      <c r="M31" s="15">
        <v>4.0</v>
      </c>
      <c r="N31" s="15">
        <f t="shared" si="4"/>
        <v>36</v>
      </c>
      <c r="O31" s="17"/>
      <c r="P31" s="15">
        <v>4.0</v>
      </c>
      <c r="Q31" s="15">
        <v>3.0</v>
      </c>
      <c r="R31" s="15">
        <v>4.0</v>
      </c>
      <c r="S31" s="15">
        <v>4.0</v>
      </c>
      <c r="T31" s="15">
        <v>5.0</v>
      </c>
      <c r="U31" s="15">
        <v>4.0</v>
      </c>
      <c r="V31" s="15">
        <v>4.0</v>
      </c>
      <c r="W31" s="15">
        <v>3.0</v>
      </c>
      <c r="X31" s="15">
        <v>5.0</v>
      </c>
      <c r="Y31" s="15">
        <f t="shared" si="5"/>
        <v>36</v>
      </c>
      <c r="Z31" s="15">
        <f t="shared" si="6"/>
        <v>72</v>
      </c>
      <c r="AA31" s="12"/>
    </row>
    <row r="32" ht="14.25" customHeight="1">
      <c r="A32" s="1"/>
      <c r="B32" s="7"/>
      <c r="C32" s="1"/>
      <c r="D32" s="15" t="s">
        <v>10</v>
      </c>
      <c r="E32" s="15">
        <v>5.0</v>
      </c>
      <c r="F32" s="15">
        <v>15.0</v>
      </c>
      <c r="G32" s="15">
        <v>17.0</v>
      </c>
      <c r="H32" s="15">
        <v>9.0</v>
      </c>
      <c r="I32" s="15">
        <v>1.0</v>
      </c>
      <c r="J32" s="15">
        <v>7.0</v>
      </c>
      <c r="K32" s="15">
        <v>11.0</v>
      </c>
      <c r="L32" s="15">
        <v>13.0</v>
      </c>
      <c r="M32" s="15">
        <v>3.0</v>
      </c>
      <c r="N32" s="18"/>
      <c r="O32" s="17"/>
      <c r="P32" s="15">
        <v>4.0</v>
      </c>
      <c r="Q32" s="15">
        <v>14.0</v>
      </c>
      <c r="R32" s="15">
        <v>10.0</v>
      </c>
      <c r="S32" s="15">
        <v>8.0</v>
      </c>
      <c r="T32" s="15">
        <v>18.0</v>
      </c>
      <c r="U32" s="15">
        <v>2.0</v>
      </c>
      <c r="V32" s="15">
        <v>6.0</v>
      </c>
      <c r="W32" s="15">
        <v>16.0</v>
      </c>
      <c r="X32" s="15">
        <v>12.0</v>
      </c>
      <c r="Y32" s="18"/>
      <c r="Z32" s="18"/>
      <c r="AA32" s="12"/>
    </row>
    <row r="33" ht="6.75" customHeight="1">
      <c r="A33" s="1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2"/>
    </row>
    <row r="34" ht="27.75" customHeight="1">
      <c r="A34" s="1"/>
      <c r="B34" s="7"/>
      <c r="C34" s="288" t="s">
        <v>225</v>
      </c>
      <c r="D34" s="30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12"/>
    </row>
    <row r="35" ht="27.75" customHeight="1">
      <c r="A35" s="1"/>
      <c r="B35" s="7"/>
      <c r="C35" s="288" t="s">
        <v>226</v>
      </c>
      <c r="D35" s="30"/>
      <c r="E35" s="291"/>
      <c r="F35" s="291"/>
      <c r="G35" s="291"/>
      <c r="H35" s="291"/>
      <c r="I35" s="297" t="s">
        <v>200</v>
      </c>
      <c r="J35" s="291"/>
      <c r="K35" s="291"/>
      <c r="L35" s="291"/>
      <c r="M35" s="291"/>
      <c r="N35" s="291"/>
      <c r="O35" s="1"/>
      <c r="P35" s="291"/>
      <c r="Q35" s="291"/>
      <c r="R35" s="291"/>
      <c r="S35" s="291"/>
      <c r="T35" s="291"/>
      <c r="U35" s="297" t="s">
        <v>200</v>
      </c>
      <c r="V35" s="291"/>
      <c r="W35" s="291"/>
      <c r="X35" s="291"/>
      <c r="Y35" s="291"/>
      <c r="Z35" s="291"/>
      <c r="AA35" s="12"/>
    </row>
    <row r="36" ht="6.75" customHeight="1">
      <c r="A36" s="1"/>
      <c r="B36" s="7"/>
      <c r="C36" s="16"/>
      <c r="D36" s="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2"/>
    </row>
    <row r="37" ht="27.75" customHeight="1">
      <c r="A37" s="1"/>
      <c r="B37" s="7"/>
      <c r="C37" s="288" t="s">
        <v>11</v>
      </c>
      <c r="D37" s="30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12"/>
    </row>
    <row r="38" ht="27.75" customHeight="1">
      <c r="A38" s="1"/>
      <c r="B38" s="7"/>
      <c r="C38" s="288" t="s">
        <v>12</v>
      </c>
      <c r="D38" s="30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12"/>
    </row>
    <row r="39" ht="6.75" customHeight="1">
      <c r="A39" s="1"/>
      <c r="B39" s="7"/>
      <c r="C39" s="16"/>
      <c r="D39" s="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2"/>
    </row>
    <row r="40" ht="27.75" customHeight="1">
      <c r="A40" s="1"/>
      <c r="B40" s="7"/>
      <c r="C40" s="288" t="s">
        <v>227</v>
      </c>
      <c r="D40" s="30"/>
      <c r="E40" s="297" t="s">
        <v>200</v>
      </c>
      <c r="F40" s="291"/>
      <c r="G40" s="291"/>
      <c r="H40" s="297" t="s">
        <v>200</v>
      </c>
      <c r="I40" s="297" t="s">
        <v>200</v>
      </c>
      <c r="J40" s="297" t="s">
        <v>200</v>
      </c>
      <c r="K40" s="291"/>
      <c r="L40" s="291"/>
      <c r="M40" s="297" t="s">
        <v>200</v>
      </c>
      <c r="N40" s="291"/>
      <c r="O40" s="1"/>
      <c r="P40" s="297" t="s">
        <v>200</v>
      </c>
      <c r="Q40" s="291"/>
      <c r="R40" s="291"/>
      <c r="S40" s="297" t="s">
        <v>200</v>
      </c>
      <c r="T40" s="291"/>
      <c r="U40" s="297" t="s">
        <v>200</v>
      </c>
      <c r="V40" s="297" t="s">
        <v>200</v>
      </c>
      <c r="W40" s="291"/>
      <c r="X40" s="291"/>
      <c r="Y40" s="291"/>
      <c r="Z40" s="291"/>
      <c r="AA40" s="12"/>
    </row>
    <row r="41" ht="27.75" customHeight="1">
      <c r="A41" s="1"/>
      <c r="B41" s="7"/>
      <c r="C41" s="288" t="s">
        <v>228</v>
      </c>
      <c r="D41" s="30"/>
      <c r="E41" s="291"/>
      <c r="F41" s="291"/>
      <c r="G41" s="291"/>
      <c r="H41" s="291"/>
      <c r="I41" s="297" t="s">
        <v>200</v>
      </c>
      <c r="J41" s="291"/>
      <c r="K41" s="291"/>
      <c r="L41" s="291"/>
      <c r="M41" s="291"/>
      <c r="N41" s="291"/>
      <c r="O41" s="1"/>
      <c r="P41" s="291"/>
      <c r="Q41" s="291"/>
      <c r="R41" s="291"/>
      <c r="S41" s="291"/>
      <c r="T41" s="291"/>
      <c r="U41" s="297" t="s">
        <v>200</v>
      </c>
      <c r="V41" s="291"/>
      <c r="W41" s="291"/>
      <c r="X41" s="291"/>
      <c r="Y41" s="291"/>
      <c r="Z41" s="291"/>
      <c r="AA41" s="12"/>
    </row>
    <row r="42" ht="6.75" customHeight="1">
      <c r="A42" s="1"/>
      <c r="B42" s="7"/>
      <c r="C42" s="16"/>
      <c r="D42" s="1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2"/>
    </row>
    <row r="43" ht="27.75" customHeight="1">
      <c r="A43" s="1"/>
      <c r="B43" s="7"/>
      <c r="C43" s="288" t="s">
        <v>11</v>
      </c>
      <c r="D43" s="30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12"/>
    </row>
    <row r="44" ht="27.75" customHeight="1">
      <c r="A44" s="1"/>
      <c r="B44" s="7"/>
      <c r="C44" s="288" t="s">
        <v>12</v>
      </c>
      <c r="D44" s="30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12"/>
    </row>
    <row r="45" ht="6.75" customHeight="1">
      <c r="A45" s="1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7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6.75" customHeight="1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</row>
    <row r="48" ht="14.25" customHeight="1">
      <c r="A48" s="1"/>
      <c r="B48" s="7"/>
      <c r="C48" s="10" t="s">
        <v>219</v>
      </c>
      <c r="D48" s="6"/>
      <c r="E48" s="6"/>
      <c r="F48" s="6"/>
      <c r="G48" s="9"/>
      <c r="H48" s="9"/>
      <c r="I48" s="9"/>
      <c r="J48" s="10" t="s">
        <v>193</v>
      </c>
      <c r="T48" s="11"/>
      <c r="U48" s="11"/>
      <c r="V48" s="11"/>
      <c r="W48" s="11"/>
      <c r="X48" s="1"/>
      <c r="Y48" s="1"/>
      <c r="Z48" s="1"/>
      <c r="AA48" s="12"/>
    </row>
    <row r="49" ht="6.75" customHeight="1">
      <c r="A49" s="1"/>
      <c r="B49" s="7"/>
      <c r="C49" s="1"/>
      <c r="D49" s="1"/>
      <c r="E49" s="1"/>
      <c r="F49" s="1"/>
      <c r="G49" s="295"/>
      <c r="H49" s="295"/>
      <c r="I49" s="295"/>
      <c r="J49" s="295"/>
      <c r="K49" s="295"/>
      <c r="L49" s="1"/>
      <c r="M49" s="1"/>
      <c r="N49" s="1"/>
      <c r="O49" s="1"/>
      <c r="P49" s="1"/>
      <c r="Q49" s="1"/>
      <c r="R49" s="1"/>
      <c r="S49" s="295"/>
      <c r="T49" s="295"/>
      <c r="U49" s="295"/>
      <c r="V49" s="295"/>
      <c r="W49" s="295"/>
      <c r="X49" s="1"/>
      <c r="Y49" s="1"/>
      <c r="Z49" s="1"/>
      <c r="AA49" s="12"/>
    </row>
    <row r="50" ht="14.25" customHeight="1">
      <c r="A50" s="1"/>
      <c r="B50" s="7"/>
      <c r="C50" s="1"/>
      <c r="D50" s="15" t="s">
        <v>4</v>
      </c>
      <c r="E50" s="15">
        <v>1.0</v>
      </c>
      <c r="F50" s="15">
        <v>2.0</v>
      </c>
      <c r="G50" s="15">
        <v>3.0</v>
      </c>
      <c r="H50" s="15">
        <v>4.0</v>
      </c>
      <c r="I50" s="15">
        <v>5.0</v>
      </c>
      <c r="J50" s="15">
        <v>6.0</v>
      </c>
      <c r="K50" s="15">
        <v>7.0</v>
      </c>
      <c r="L50" s="15">
        <v>8.0</v>
      </c>
      <c r="M50" s="15">
        <v>9.0</v>
      </c>
      <c r="N50" s="15" t="s">
        <v>5</v>
      </c>
      <c r="O50" s="16"/>
      <c r="P50" s="15">
        <v>10.0</v>
      </c>
      <c r="Q50" s="15">
        <v>11.0</v>
      </c>
      <c r="R50" s="15">
        <v>12.0</v>
      </c>
      <c r="S50" s="15">
        <v>13.0</v>
      </c>
      <c r="T50" s="15">
        <v>14.0</v>
      </c>
      <c r="U50" s="15">
        <v>15.0</v>
      </c>
      <c r="V50" s="15">
        <v>16.0</v>
      </c>
      <c r="W50" s="15">
        <v>17.0</v>
      </c>
      <c r="X50" s="15">
        <v>18.0</v>
      </c>
      <c r="Y50" s="15" t="s">
        <v>6</v>
      </c>
      <c r="Z50" s="15" t="s">
        <v>7</v>
      </c>
      <c r="AA50" s="12"/>
    </row>
    <row r="51" ht="14.25" customHeight="1">
      <c r="A51" s="1"/>
      <c r="B51" s="7"/>
      <c r="C51" s="1"/>
      <c r="D51" s="15" t="s">
        <v>220</v>
      </c>
      <c r="E51" s="15">
        <v>337.0</v>
      </c>
      <c r="F51" s="15">
        <v>335.0</v>
      </c>
      <c r="G51" s="15">
        <v>473.0</v>
      </c>
      <c r="H51" s="15">
        <v>189.0</v>
      </c>
      <c r="I51" s="15">
        <v>402.0</v>
      </c>
      <c r="J51" s="15">
        <v>174.0</v>
      </c>
      <c r="K51" s="15">
        <v>333.0</v>
      </c>
      <c r="L51" s="15">
        <v>476.0</v>
      </c>
      <c r="M51" s="15">
        <v>387.0</v>
      </c>
      <c r="N51" s="15">
        <f t="shared" ref="N51:N52" si="7">SUM(E51:M51)</f>
        <v>3106</v>
      </c>
      <c r="O51" s="17"/>
      <c r="P51" s="15">
        <v>383.0</v>
      </c>
      <c r="Q51" s="15">
        <v>161.0</v>
      </c>
      <c r="R51" s="15">
        <v>328.0</v>
      </c>
      <c r="S51" s="15">
        <v>378.0</v>
      </c>
      <c r="T51" s="15">
        <v>503.0</v>
      </c>
      <c r="U51" s="15">
        <v>374.0</v>
      </c>
      <c r="V51" s="15">
        <v>356.0</v>
      </c>
      <c r="W51" s="15">
        <v>145.0</v>
      </c>
      <c r="X51" s="15">
        <v>502.0</v>
      </c>
      <c r="Y51" s="15">
        <f t="shared" ref="Y51:Y52" si="8">SUM(P51:X51)</f>
        <v>3130</v>
      </c>
      <c r="Z51" s="15">
        <f t="shared" ref="Z51:Z52" si="9">Y51+N51</f>
        <v>6236</v>
      </c>
      <c r="AA51" s="12"/>
    </row>
    <row r="52" ht="14.25" customHeight="1">
      <c r="A52" s="1"/>
      <c r="B52" s="7"/>
      <c r="C52" s="1"/>
      <c r="D52" s="15" t="s">
        <v>9</v>
      </c>
      <c r="E52" s="15">
        <v>4.0</v>
      </c>
      <c r="F52" s="15">
        <v>4.0</v>
      </c>
      <c r="G52" s="15">
        <v>5.0</v>
      </c>
      <c r="H52" s="15">
        <v>3.0</v>
      </c>
      <c r="I52" s="15">
        <v>4.0</v>
      </c>
      <c r="J52" s="15">
        <v>3.0</v>
      </c>
      <c r="K52" s="15">
        <v>4.0</v>
      </c>
      <c r="L52" s="15">
        <v>5.0</v>
      </c>
      <c r="M52" s="15">
        <v>4.0</v>
      </c>
      <c r="N52" s="15">
        <f t="shared" si="7"/>
        <v>36</v>
      </c>
      <c r="O52" s="17"/>
      <c r="P52" s="15">
        <v>4.0</v>
      </c>
      <c r="Q52" s="15">
        <v>3.0</v>
      </c>
      <c r="R52" s="15">
        <v>4.0</v>
      </c>
      <c r="S52" s="15">
        <v>4.0</v>
      </c>
      <c r="T52" s="15">
        <v>5.0</v>
      </c>
      <c r="U52" s="15">
        <v>4.0</v>
      </c>
      <c r="V52" s="15">
        <v>4.0</v>
      </c>
      <c r="W52" s="15">
        <v>3.0</v>
      </c>
      <c r="X52" s="15">
        <v>5.0</v>
      </c>
      <c r="Y52" s="15">
        <f t="shared" si="8"/>
        <v>36</v>
      </c>
      <c r="Z52" s="15">
        <f t="shared" si="9"/>
        <v>72</v>
      </c>
      <c r="AA52" s="12"/>
    </row>
    <row r="53" ht="14.25" customHeight="1">
      <c r="A53" s="1"/>
      <c r="B53" s="7"/>
      <c r="C53" s="1"/>
      <c r="D53" s="15" t="s">
        <v>10</v>
      </c>
      <c r="E53" s="15">
        <v>5.0</v>
      </c>
      <c r="F53" s="15">
        <v>15.0</v>
      </c>
      <c r="G53" s="15">
        <v>17.0</v>
      </c>
      <c r="H53" s="15">
        <v>9.0</v>
      </c>
      <c r="I53" s="15">
        <v>1.0</v>
      </c>
      <c r="J53" s="15">
        <v>7.0</v>
      </c>
      <c r="K53" s="15">
        <v>11.0</v>
      </c>
      <c r="L53" s="15">
        <v>13.0</v>
      </c>
      <c r="M53" s="15">
        <v>3.0</v>
      </c>
      <c r="N53" s="18"/>
      <c r="O53" s="17"/>
      <c r="P53" s="15">
        <v>4.0</v>
      </c>
      <c r="Q53" s="15">
        <v>14.0</v>
      </c>
      <c r="R53" s="15">
        <v>10.0</v>
      </c>
      <c r="S53" s="15">
        <v>8.0</v>
      </c>
      <c r="T53" s="15">
        <v>18.0</v>
      </c>
      <c r="U53" s="15">
        <v>2.0</v>
      </c>
      <c r="V53" s="15">
        <v>6.0</v>
      </c>
      <c r="W53" s="15">
        <v>16.0</v>
      </c>
      <c r="X53" s="15">
        <v>12.0</v>
      </c>
      <c r="Y53" s="18"/>
      <c r="Z53" s="18"/>
      <c r="AA53" s="12"/>
    </row>
    <row r="54" ht="6.75" customHeight="1">
      <c r="A54" s="1"/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2"/>
    </row>
    <row r="55" ht="27.75" customHeight="1">
      <c r="A55" s="1"/>
      <c r="B55" s="7"/>
      <c r="C55" s="288" t="s">
        <v>229</v>
      </c>
      <c r="D55" s="30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  <c r="AA55" s="12"/>
    </row>
    <row r="56" ht="27.75" customHeight="1">
      <c r="A56" s="1"/>
      <c r="B56" s="7"/>
      <c r="C56" s="288" t="s">
        <v>230</v>
      </c>
      <c r="D56" s="30"/>
      <c r="E56" s="297" t="s">
        <v>200</v>
      </c>
      <c r="F56" s="291"/>
      <c r="G56" s="291"/>
      <c r="H56" s="297" t="s">
        <v>200</v>
      </c>
      <c r="I56" s="297" t="s">
        <v>200</v>
      </c>
      <c r="J56" s="297" t="s">
        <v>200</v>
      </c>
      <c r="K56" s="291"/>
      <c r="L56" s="291"/>
      <c r="M56" s="297" t="s">
        <v>200</v>
      </c>
      <c r="N56" s="291"/>
      <c r="O56" s="1"/>
      <c r="P56" s="297" t="s">
        <v>200</v>
      </c>
      <c r="Q56" s="291"/>
      <c r="R56" s="297" t="s">
        <v>200</v>
      </c>
      <c r="S56" s="297" t="s">
        <v>200</v>
      </c>
      <c r="T56" s="291"/>
      <c r="U56" s="297" t="s">
        <v>200</v>
      </c>
      <c r="V56" s="297" t="s">
        <v>200</v>
      </c>
      <c r="W56" s="291"/>
      <c r="X56" s="291"/>
      <c r="Y56" s="291"/>
      <c r="Z56" s="291"/>
      <c r="AA56" s="12"/>
    </row>
    <row r="57" ht="6.75" customHeight="1">
      <c r="A57" s="1"/>
      <c r="B57" s="7"/>
      <c r="C57" s="17"/>
      <c r="D57" s="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2"/>
    </row>
    <row r="58" ht="27.75" customHeight="1">
      <c r="A58" s="1"/>
      <c r="B58" s="7"/>
      <c r="C58" s="288" t="s">
        <v>11</v>
      </c>
      <c r="D58" s="30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12"/>
    </row>
    <row r="59" ht="27.75" customHeight="1">
      <c r="A59" s="1"/>
      <c r="B59" s="7"/>
      <c r="C59" s="288" t="s">
        <v>12</v>
      </c>
      <c r="D59" s="30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12"/>
    </row>
    <row r="60" ht="6.75" customHeight="1">
      <c r="A60" s="1"/>
      <c r="B60" s="7"/>
      <c r="C60" s="17"/>
      <c r="D60" s="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2"/>
    </row>
    <row r="61" ht="27.75" customHeight="1">
      <c r="A61" s="1"/>
      <c r="B61" s="7"/>
      <c r="C61" s="288" t="s">
        <v>231</v>
      </c>
      <c r="D61" s="30"/>
      <c r="E61" s="291"/>
      <c r="F61" s="291"/>
      <c r="G61" s="291"/>
      <c r="H61" s="291"/>
      <c r="I61" s="297" t="s">
        <v>200</v>
      </c>
      <c r="J61" s="291"/>
      <c r="K61" s="291"/>
      <c r="L61" s="291"/>
      <c r="M61" s="291"/>
      <c r="N61" s="291"/>
      <c r="O61" s="1"/>
      <c r="P61" s="291"/>
      <c r="Q61" s="291"/>
      <c r="R61" s="291"/>
      <c r="S61" s="291"/>
      <c r="T61" s="291"/>
      <c r="U61" s="297" t="s">
        <v>200</v>
      </c>
      <c r="V61" s="291"/>
      <c r="W61" s="291"/>
      <c r="X61" s="291"/>
      <c r="Y61" s="291"/>
      <c r="Z61" s="291"/>
      <c r="AA61" s="12"/>
    </row>
    <row r="62" ht="27.75" customHeight="1">
      <c r="A62" s="1"/>
      <c r="B62" s="7"/>
      <c r="C62" s="288" t="s">
        <v>232</v>
      </c>
      <c r="D62" s="30"/>
      <c r="E62" s="297" t="s">
        <v>233</v>
      </c>
      <c r="F62" s="297" t="s">
        <v>200</v>
      </c>
      <c r="G62" s="297" t="s">
        <v>200</v>
      </c>
      <c r="H62" s="297" t="s">
        <v>200</v>
      </c>
      <c r="I62" s="297" t="s">
        <v>233</v>
      </c>
      <c r="J62" s="297" t="s">
        <v>200</v>
      </c>
      <c r="K62" s="297" t="s">
        <v>200</v>
      </c>
      <c r="L62" s="297" t="s">
        <v>200</v>
      </c>
      <c r="M62" s="297" t="s">
        <v>233</v>
      </c>
      <c r="N62" s="291"/>
      <c r="O62" s="1"/>
      <c r="P62" s="297" t="s">
        <v>233</v>
      </c>
      <c r="Q62" s="297" t="s">
        <v>200</v>
      </c>
      <c r="R62" s="297" t="s">
        <v>200</v>
      </c>
      <c r="S62" s="297" t="s">
        <v>200</v>
      </c>
      <c r="T62" s="297" t="s">
        <v>200</v>
      </c>
      <c r="U62" s="297"/>
      <c r="V62" s="297" t="s">
        <v>200</v>
      </c>
      <c r="W62" s="297" t="s">
        <v>200</v>
      </c>
      <c r="X62" s="297" t="s">
        <v>200</v>
      </c>
      <c r="Y62" s="297" t="s">
        <v>200</v>
      </c>
      <c r="Z62" s="291"/>
      <c r="AA62" s="12"/>
    </row>
    <row r="63" ht="6.75" customHeight="1">
      <c r="A63" s="1"/>
      <c r="B63" s="7"/>
      <c r="C63" s="17"/>
      <c r="D63" s="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2"/>
    </row>
    <row r="64" ht="27.75" customHeight="1">
      <c r="A64" s="1"/>
      <c r="B64" s="7"/>
      <c r="C64" s="288" t="s">
        <v>11</v>
      </c>
      <c r="D64" s="30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12"/>
    </row>
    <row r="65" ht="27.75" customHeight="1">
      <c r="A65" s="1"/>
      <c r="B65" s="7"/>
      <c r="C65" s="288" t="s">
        <v>12</v>
      </c>
      <c r="D65" s="30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12"/>
    </row>
    <row r="66" ht="6.75" customHeight="1">
      <c r="A66" s="1"/>
      <c r="B66" s="35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7"/>
    </row>
    <row r="67" ht="14.2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6.75" hidden="1" customHeight="1">
      <c r="A68" s="1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</row>
    <row r="69" ht="14.25" hidden="1" customHeight="1">
      <c r="A69" s="1"/>
      <c r="B69" s="7"/>
      <c r="C69" s="276"/>
      <c r="D69" s="1"/>
      <c r="E69" s="1"/>
      <c r="F69" s="1"/>
      <c r="G69" s="11"/>
      <c r="H69" s="11"/>
      <c r="I69" s="11"/>
      <c r="J69" s="276" t="s">
        <v>193</v>
      </c>
      <c r="T69" s="11"/>
      <c r="U69" s="11"/>
      <c r="V69" s="11"/>
      <c r="W69" s="11"/>
      <c r="X69" s="1"/>
      <c r="Y69" s="1"/>
      <c r="Z69" s="1"/>
      <c r="AA69" s="12"/>
    </row>
    <row r="70" ht="14.25" hidden="1" customHeight="1">
      <c r="A70" s="1"/>
      <c r="B70" s="7"/>
      <c r="C70" s="1"/>
      <c r="D70" s="1"/>
      <c r="E70" s="1"/>
      <c r="F70" s="1"/>
      <c r="G70" s="295"/>
      <c r="H70" s="295"/>
      <c r="I70" s="295"/>
      <c r="J70" s="295"/>
      <c r="K70" s="295"/>
      <c r="L70" s="1"/>
      <c r="M70" s="1"/>
      <c r="N70" s="1"/>
      <c r="O70" s="1"/>
      <c r="P70" s="1"/>
      <c r="Q70" s="1"/>
      <c r="R70" s="1"/>
      <c r="S70" s="295"/>
      <c r="T70" s="295"/>
      <c r="U70" s="295"/>
      <c r="V70" s="295"/>
      <c r="W70" s="295"/>
      <c r="X70" s="1"/>
      <c r="Y70" s="1"/>
      <c r="Z70" s="1"/>
      <c r="AA70" s="12"/>
    </row>
    <row r="71" ht="14.25" hidden="1" customHeight="1">
      <c r="A71" s="1"/>
      <c r="B71" s="7"/>
      <c r="C71" s="1"/>
      <c r="D71" s="15" t="s">
        <v>4</v>
      </c>
      <c r="E71" s="15">
        <v>1.0</v>
      </c>
      <c r="F71" s="15">
        <v>2.0</v>
      </c>
      <c r="G71" s="15">
        <v>3.0</v>
      </c>
      <c r="H71" s="15">
        <v>4.0</v>
      </c>
      <c r="I71" s="15">
        <v>5.0</v>
      </c>
      <c r="J71" s="15">
        <v>6.0</v>
      </c>
      <c r="K71" s="15">
        <v>7.0</v>
      </c>
      <c r="L71" s="15">
        <v>8.0</v>
      </c>
      <c r="M71" s="15">
        <v>9.0</v>
      </c>
      <c r="N71" s="15" t="s">
        <v>5</v>
      </c>
      <c r="O71" s="16"/>
      <c r="P71" s="15">
        <v>10.0</v>
      </c>
      <c r="Q71" s="15">
        <v>11.0</v>
      </c>
      <c r="R71" s="15">
        <v>12.0</v>
      </c>
      <c r="S71" s="15">
        <v>13.0</v>
      </c>
      <c r="T71" s="15">
        <v>14.0</v>
      </c>
      <c r="U71" s="15">
        <v>15.0</v>
      </c>
      <c r="V71" s="15">
        <v>16.0</v>
      </c>
      <c r="W71" s="15">
        <v>17.0</v>
      </c>
      <c r="X71" s="15">
        <v>18.0</v>
      </c>
      <c r="Y71" s="15" t="s">
        <v>6</v>
      </c>
      <c r="Z71" s="15" t="s">
        <v>7</v>
      </c>
      <c r="AA71" s="12"/>
    </row>
    <row r="72" ht="14.25" hidden="1" customHeight="1">
      <c r="A72" s="1"/>
      <c r="B72" s="7"/>
      <c r="C72" s="1"/>
      <c r="D72" s="15" t="s">
        <v>196</v>
      </c>
      <c r="E72" s="15">
        <v>337.0</v>
      </c>
      <c r="F72" s="15">
        <v>335.0</v>
      </c>
      <c r="G72" s="15">
        <v>473.0</v>
      </c>
      <c r="H72" s="15">
        <v>189.0</v>
      </c>
      <c r="I72" s="15">
        <v>402.0</v>
      </c>
      <c r="J72" s="15">
        <v>174.0</v>
      </c>
      <c r="K72" s="15">
        <v>333.0</v>
      </c>
      <c r="L72" s="15">
        <v>476.0</v>
      </c>
      <c r="M72" s="15">
        <v>387.0</v>
      </c>
      <c r="N72" s="15">
        <f t="shared" ref="N72:N73" si="10">SUM(E72:M72)</f>
        <v>3106</v>
      </c>
      <c r="O72" s="17"/>
      <c r="P72" s="15">
        <v>383.0</v>
      </c>
      <c r="Q72" s="15">
        <v>161.0</v>
      </c>
      <c r="R72" s="15">
        <v>328.0</v>
      </c>
      <c r="S72" s="15">
        <v>378.0</v>
      </c>
      <c r="T72" s="15">
        <v>503.0</v>
      </c>
      <c r="U72" s="15">
        <v>374.0</v>
      </c>
      <c r="V72" s="15">
        <v>356.0</v>
      </c>
      <c r="W72" s="15">
        <v>145.0</v>
      </c>
      <c r="X72" s="15">
        <v>502.0</v>
      </c>
      <c r="Y72" s="15">
        <f t="shared" ref="Y72:Y73" si="11">SUM(P72:X72)</f>
        <v>3130</v>
      </c>
      <c r="Z72" s="15">
        <f t="shared" ref="Z72:Z73" si="12">Y72+N72</f>
        <v>6236</v>
      </c>
      <c r="AA72" s="12"/>
    </row>
    <row r="73" ht="14.25" hidden="1" customHeight="1">
      <c r="A73" s="1"/>
      <c r="B73" s="7"/>
      <c r="C73" s="1"/>
      <c r="D73" s="15" t="s">
        <v>9</v>
      </c>
      <c r="E73" s="15">
        <v>4.0</v>
      </c>
      <c r="F73" s="15">
        <v>4.0</v>
      </c>
      <c r="G73" s="15">
        <v>5.0</v>
      </c>
      <c r="H73" s="15">
        <v>3.0</v>
      </c>
      <c r="I73" s="15">
        <v>4.0</v>
      </c>
      <c r="J73" s="15">
        <v>3.0</v>
      </c>
      <c r="K73" s="15">
        <v>4.0</v>
      </c>
      <c r="L73" s="15">
        <v>5.0</v>
      </c>
      <c r="M73" s="15">
        <v>4.0</v>
      </c>
      <c r="N73" s="15">
        <f t="shared" si="10"/>
        <v>36</v>
      </c>
      <c r="O73" s="17"/>
      <c r="P73" s="15">
        <v>4.0</v>
      </c>
      <c r="Q73" s="15">
        <v>3.0</v>
      </c>
      <c r="R73" s="15">
        <v>4.0</v>
      </c>
      <c r="S73" s="15">
        <v>4.0</v>
      </c>
      <c r="T73" s="15">
        <v>5.0</v>
      </c>
      <c r="U73" s="15">
        <v>4.0</v>
      </c>
      <c r="V73" s="15">
        <v>4.0</v>
      </c>
      <c r="W73" s="15">
        <v>3.0</v>
      </c>
      <c r="X73" s="15">
        <v>5.0</v>
      </c>
      <c r="Y73" s="15">
        <f t="shared" si="11"/>
        <v>36</v>
      </c>
      <c r="Z73" s="15">
        <f t="shared" si="12"/>
        <v>72</v>
      </c>
      <c r="AA73" s="12"/>
    </row>
    <row r="74" ht="14.25" hidden="1" customHeight="1">
      <c r="A74" s="1"/>
      <c r="B74" s="7"/>
      <c r="C74" s="1"/>
      <c r="D74" s="15" t="s">
        <v>10</v>
      </c>
      <c r="E74" s="15">
        <v>5.0</v>
      </c>
      <c r="F74" s="15">
        <v>15.0</v>
      </c>
      <c r="G74" s="15">
        <v>17.0</v>
      </c>
      <c r="H74" s="15">
        <v>9.0</v>
      </c>
      <c r="I74" s="15">
        <v>1.0</v>
      </c>
      <c r="J74" s="15">
        <v>7.0</v>
      </c>
      <c r="K74" s="15">
        <v>11.0</v>
      </c>
      <c r="L74" s="15">
        <v>13.0</v>
      </c>
      <c r="M74" s="15">
        <v>3.0</v>
      </c>
      <c r="N74" s="18"/>
      <c r="O74" s="17"/>
      <c r="P74" s="15">
        <v>4.0</v>
      </c>
      <c r="Q74" s="15">
        <v>14.0</v>
      </c>
      <c r="R74" s="15">
        <v>10.0</v>
      </c>
      <c r="S74" s="15">
        <v>8.0</v>
      </c>
      <c r="T74" s="15">
        <v>18.0</v>
      </c>
      <c r="U74" s="15">
        <v>2.0</v>
      </c>
      <c r="V74" s="15">
        <v>6.0</v>
      </c>
      <c r="W74" s="15">
        <v>16.0</v>
      </c>
      <c r="X74" s="15">
        <v>12.0</v>
      </c>
      <c r="Y74" s="18"/>
      <c r="Z74" s="18"/>
      <c r="AA74" s="12"/>
    </row>
    <row r="75" ht="6.75" hidden="1" customHeight="1">
      <c r="A75" s="1"/>
      <c r="B75" s="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2"/>
    </row>
    <row r="76" ht="21.75" hidden="1" customHeight="1">
      <c r="A76" s="1"/>
      <c r="B76" s="7"/>
      <c r="C76" s="296"/>
      <c r="D76" s="30"/>
      <c r="E76" s="297"/>
      <c r="F76" s="291"/>
      <c r="G76" s="291"/>
      <c r="H76" s="291"/>
      <c r="I76" s="291"/>
      <c r="J76" s="291"/>
      <c r="K76" s="291"/>
      <c r="L76" s="291"/>
      <c r="M76" s="291"/>
      <c r="N76" s="291"/>
      <c r="O76" s="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12"/>
    </row>
    <row r="77" ht="21.75" hidden="1" customHeight="1">
      <c r="A77" s="1"/>
      <c r="B77" s="7"/>
      <c r="C77" s="296"/>
      <c r="D77" s="30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12"/>
    </row>
    <row r="78" ht="6.75" hidden="1" customHeight="1">
      <c r="A78" s="1"/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2"/>
    </row>
    <row r="79" ht="21.75" hidden="1" customHeight="1">
      <c r="A79" s="1"/>
      <c r="B79" s="7"/>
      <c r="C79" s="298" t="s">
        <v>11</v>
      </c>
      <c r="D79" s="30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12"/>
    </row>
    <row r="80" ht="21.75" hidden="1" customHeight="1">
      <c r="A80" s="1"/>
      <c r="B80" s="7"/>
      <c r="C80" s="298" t="s">
        <v>12</v>
      </c>
      <c r="D80" s="30"/>
      <c r="E80" s="291"/>
      <c r="F80" s="291"/>
      <c r="G80" s="291"/>
      <c r="H80" s="291"/>
      <c r="I80" s="291"/>
      <c r="J80" s="291"/>
      <c r="K80" s="291"/>
      <c r="L80" s="291"/>
      <c r="M80" s="291"/>
      <c r="N80" s="291"/>
      <c r="O80" s="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12"/>
    </row>
    <row r="81" ht="6.75" hidden="1" customHeight="1">
      <c r="A81" s="1"/>
      <c r="B81" s="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2"/>
    </row>
    <row r="82" ht="21.75" hidden="1" customHeight="1">
      <c r="A82" s="1"/>
      <c r="B82" s="7"/>
      <c r="C82" s="296"/>
      <c r="D82" s="30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12"/>
    </row>
    <row r="83" ht="21.75" hidden="1" customHeight="1">
      <c r="A83" s="1"/>
      <c r="B83" s="7"/>
      <c r="C83" s="296"/>
      <c r="D83" s="30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1"/>
      <c r="P83" s="291"/>
      <c r="Q83" s="291"/>
      <c r="R83" s="291"/>
      <c r="S83" s="291"/>
      <c r="T83" s="291"/>
      <c r="U83" s="291"/>
      <c r="V83" s="291"/>
      <c r="W83" s="291"/>
      <c r="X83" s="291"/>
      <c r="Y83" s="291"/>
      <c r="Z83" s="291"/>
      <c r="AA83" s="12"/>
    </row>
    <row r="84" ht="6.75" hidden="1" customHeight="1">
      <c r="A84" s="1"/>
      <c r="B84" s="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2"/>
    </row>
    <row r="85" ht="21.75" hidden="1" customHeight="1">
      <c r="A85" s="1"/>
      <c r="B85" s="7"/>
      <c r="C85" s="298" t="s">
        <v>11</v>
      </c>
      <c r="D85" s="30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12"/>
    </row>
    <row r="86" ht="21.75" hidden="1" customHeight="1">
      <c r="A86" s="1"/>
      <c r="B86" s="7"/>
      <c r="C86" s="298" t="s">
        <v>12</v>
      </c>
      <c r="D86" s="30"/>
      <c r="E86" s="291"/>
      <c r="F86" s="291"/>
      <c r="G86" s="291"/>
      <c r="H86" s="291"/>
      <c r="I86" s="291"/>
      <c r="J86" s="291"/>
      <c r="K86" s="291"/>
      <c r="L86" s="291"/>
      <c r="M86" s="291"/>
      <c r="N86" s="291"/>
      <c r="O86" s="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12"/>
    </row>
    <row r="87" ht="6.75" hidden="1" customHeight="1">
      <c r="A87" s="1"/>
      <c r="B87" s="35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7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J3:S3"/>
    <mergeCell ref="C10:D10"/>
    <mergeCell ref="C11:D11"/>
    <mergeCell ref="C13:D13"/>
    <mergeCell ref="C14:D14"/>
    <mergeCell ref="C16:D16"/>
    <mergeCell ref="C17:D17"/>
    <mergeCell ref="C19:D19"/>
    <mergeCell ref="C20:D20"/>
    <mergeCell ref="J27:S27"/>
    <mergeCell ref="C34:D34"/>
    <mergeCell ref="C35:D35"/>
    <mergeCell ref="C37:D37"/>
    <mergeCell ref="C38:D38"/>
    <mergeCell ref="C40:D40"/>
    <mergeCell ref="C41:D41"/>
    <mergeCell ref="C43:D43"/>
    <mergeCell ref="C44:D44"/>
    <mergeCell ref="J48:S48"/>
    <mergeCell ref="C55:D55"/>
    <mergeCell ref="C56:D56"/>
    <mergeCell ref="C76:D76"/>
    <mergeCell ref="C77:D77"/>
    <mergeCell ref="C79:D79"/>
    <mergeCell ref="C80:D80"/>
    <mergeCell ref="C82:D82"/>
    <mergeCell ref="C83:D83"/>
    <mergeCell ref="C85:D85"/>
    <mergeCell ref="C86:D86"/>
    <mergeCell ref="C58:D58"/>
    <mergeCell ref="C59:D59"/>
    <mergeCell ref="C61:D61"/>
    <mergeCell ref="C62:D62"/>
    <mergeCell ref="C64:D64"/>
    <mergeCell ref="C65:D65"/>
    <mergeCell ref="J69:S69"/>
  </mergeCells>
  <printOptions/>
  <pageMargins bottom="0.75" footer="0.0" header="0.0" left="0.25" right="0.25" top="0.75"/>
  <pageSetup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0.75"/>
    <col customWidth="1" min="3" max="3" width="32.75"/>
    <col customWidth="1" min="4" max="4" width="9.88"/>
    <col customWidth="1" min="5" max="14" width="5.88"/>
    <col customWidth="1" min="15" max="15" width="1.5"/>
    <col customWidth="1" min="16" max="26" width="5.88"/>
    <col customWidth="1" min="27" max="27" width="1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.7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5"/>
    </row>
    <row r="3" ht="19.5" customHeight="1">
      <c r="A3" s="1"/>
      <c r="B3" s="7"/>
      <c r="C3" s="10" t="s">
        <v>234</v>
      </c>
      <c r="D3" s="6"/>
      <c r="E3" s="6"/>
      <c r="F3" s="6"/>
      <c r="G3" s="9"/>
      <c r="H3" s="9"/>
      <c r="I3" s="9"/>
      <c r="J3" s="10" t="s">
        <v>193</v>
      </c>
      <c r="T3" s="11"/>
      <c r="U3" s="11"/>
      <c r="V3" s="11"/>
      <c r="W3" s="11"/>
      <c r="X3" s="1"/>
      <c r="Y3" s="1"/>
      <c r="Z3" s="1"/>
      <c r="AA3" s="12"/>
    </row>
    <row r="4" ht="6.75" customHeight="1">
      <c r="A4" s="1"/>
      <c r="B4" s="7"/>
      <c r="C4" s="1"/>
      <c r="D4" s="1"/>
      <c r="E4" s="1"/>
      <c r="F4" s="1"/>
      <c r="G4" s="295"/>
      <c r="H4" s="295"/>
      <c r="I4" s="295"/>
      <c r="J4" s="295"/>
      <c r="K4" s="295"/>
      <c r="L4" s="1"/>
      <c r="M4" s="1"/>
      <c r="N4" s="1"/>
      <c r="O4" s="1"/>
      <c r="P4" s="1"/>
      <c r="Q4" s="1"/>
      <c r="R4" s="1"/>
      <c r="S4" s="295"/>
      <c r="T4" s="295"/>
      <c r="U4" s="295"/>
      <c r="V4" s="295"/>
      <c r="W4" s="295"/>
      <c r="X4" s="1"/>
      <c r="Y4" s="1"/>
      <c r="Z4" s="1"/>
      <c r="AA4" s="12"/>
    </row>
    <row r="5" ht="15.0" customHeight="1">
      <c r="A5" s="1"/>
      <c r="B5" s="7"/>
      <c r="C5" s="1"/>
      <c r="D5" s="15" t="s">
        <v>4</v>
      </c>
      <c r="E5" s="15">
        <v>1.0</v>
      </c>
      <c r="F5" s="15">
        <v>2.0</v>
      </c>
      <c r="G5" s="15">
        <v>3.0</v>
      </c>
      <c r="H5" s="15">
        <v>4.0</v>
      </c>
      <c r="I5" s="15">
        <v>5.0</v>
      </c>
      <c r="J5" s="15">
        <v>6.0</v>
      </c>
      <c r="K5" s="15">
        <v>7.0</v>
      </c>
      <c r="L5" s="15">
        <v>8.0</v>
      </c>
      <c r="M5" s="15">
        <v>9.0</v>
      </c>
      <c r="N5" s="15" t="s">
        <v>5</v>
      </c>
      <c r="O5" s="16"/>
      <c r="P5" s="15">
        <v>10.0</v>
      </c>
      <c r="Q5" s="15">
        <v>11.0</v>
      </c>
      <c r="R5" s="15">
        <v>12.0</v>
      </c>
      <c r="S5" s="15">
        <v>13.0</v>
      </c>
      <c r="T5" s="15">
        <v>14.0</v>
      </c>
      <c r="U5" s="15">
        <v>15.0</v>
      </c>
      <c r="V5" s="15">
        <v>16.0</v>
      </c>
      <c r="W5" s="15">
        <v>17.0</v>
      </c>
      <c r="X5" s="15">
        <v>18.0</v>
      </c>
      <c r="Y5" s="15" t="s">
        <v>6</v>
      </c>
      <c r="Z5" s="15" t="s">
        <v>7</v>
      </c>
      <c r="AA5" s="12"/>
    </row>
    <row r="6" ht="14.25" customHeight="1">
      <c r="A6" s="1"/>
      <c r="B6" s="7"/>
      <c r="C6" s="1"/>
      <c r="D6" s="15" t="s">
        <v>196</v>
      </c>
      <c r="E6" s="15">
        <v>373.0</v>
      </c>
      <c r="F6" s="15">
        <v>376.0</v>
      </c>
      <c r="G6" s="15">
        <v>373.0</v>
      </c>
      <c r="H6" s="15">
        <v>182.0</v>
      </c>
      <c r="I6" s="15">
        <v>539.0</v>
      </c>
      <c r="J6" s="15">
        <v>151.0</v>
      </c>
      <c r="K6" s="15">
        <v>371.0</v>
      </c>
      <c r="L6" s="15">
        <v>387.0</v>
      </c>
      <c r="M6" s="15">
        <v>561.0</v>
      </c>
      <c r="N6" s="15">
        <f t="shared" ref="N6:N7" si="1">SUM(E6:M6)</f>
        <v>3313</v>
      </c>
      <c r="O6" s="17"/>
      <c r="P6" s="15">
        <v>384.0</v>
      </c>
      <c r="Q6" s="15">
        <v>510.0</v>
      </c>
      <c r="R6" s="15">
        <v>170.0</v>
      </c>
      <c r="S6" s="15">
        <v>414.0</v>
      </c>
      <c r="T6" s="15">
        <v>385.0</v>
      </c>
      <c r="U6" s="15">
        <v>482.0</v>
      </c>
      <c r="V6" s="15">
        <v>181.0</v>
      </c>
      <c r="W6" s="15">
        <v>374.0</v>
      </c>
      <c r="X6" s="15">
        <v>434.0</v>
      </c>
      <c r="Y6" s="15">
        <f t="shared" ref="Y6:Y7" si="2">SUM(P6:X6)</f>
        <v>3334</v>
      </c>
      <c r="Z6" s="15">
        <f t="shared" ref="Z6:Z7" si="3">Y6+N6</f>
        <v>6647</v>
      </c>
      <c r="AA6" s="12"/>
    </row>
    <row r="7" ht="14.25" customHeight="1">
      <c r="A7" s="1"/>
      <c r="B7" s="7"/>
      <c r="C7" s="1"/>
      <c r="D7" s="15" t="s">
        <v>9</v>
      </c>
      <c r="E7" s="15">
        <v>4.0</v>
      </c>
      <c r="F7" s="15">
        <v>4.0</v>
      </c>
      <c r="G7" s="15">
        <v>4.0</v>
      </c>
      <c r="H7" s="15">
        <v>3.0</v>
      </c>
      <c r="I7" s="15">
        <v>5.0</v>
      </c>
      <c r="J7" s="15">
        <v>3.0</v>
      </c>
      <c r="K7" s="15">
        <v>4.0</v>
      </c>
      <c r="L7" s="15">
        <v>4.0</v>
      </c>
      <c r="M7" s="15">
        <v>5.0</v>
      </c>
      <c r="N7" s="15">
        <f t="shared" si="1"/>
        <v>36</v>
      </c>
      <c r="O7" s="17"/>
      <c r="P7" s="15">
        <v>4.0</v>
      </c>
      <c r="Q7" s="15">
        <v>5.0</v>
      </c>
      <c r="R7" s="15">
        <v>3.0</v>
      </c>
      <c r="S7" s="15">
        <v>4.0</v>
      </c>
      <c r="T7" s="15">
        <v>4.0</v>
      </c>
      <c r="U7" s="15">
        <v>5.0</v>
      </c>
      <c r="V7" s="15">
        <v>3.0</v>
      </c>
      <c r="W7" s="15">
        <v>4.0</v>
      </c>
      <c r="X7" s="15">
        <v>4.0</v>
      </c>
      <c r="Y7" s="15">
        <f t="shared" si="2"/>
        <v>36</v>
      </c>
      <c r="Z7" s="15">
        <f t="shared" si="3"/>
        <v>72</v>
      </c>
      <c r="AA7" s="12"/>
    </row>
    <row r="8" ht="14.25" customHeight="1">
      <c r="A8" s="1"/>
      <c r="B8" s="7"/>
      <c r="C8" s="1"/>
      <c r="D8" s="15" t="s">
        <v>10</v>
      </c>
      <c r="E8" s="15">
        <v>15.0</v>
      </c>
      <c r="F8" s="15">
        <v>5.0</v>
      </c>
      <c r="G8" s="15">
        <v>13.0</v>
      </c>
      <c r="H8" s="15">
        <v>11.0</v>
      </c>
      <c r="I8" s="15">
        <v>1.0</v>
      </c>
      <c r="J8" s="15">
        <v>17.0</v>
      </c>
      <c r="K8" s="15">
        <v>7.0</v>
      </c>
      <c r="L8" s="15">
        <v>3.0</v>
      </c>
      <c r="M8" s="15">
        <v>9.0</v>
      </c>
      <c r="N8" s="18"/>
      <c r="O8" s="17"/>
      <c r="P8" s="15">
        <v>6.0</v>
      </c>
      <c r="Q8" s="15">
        <v>18.0</v>
      </c>
      <c r="R8" s="15">
        <v>16.0</v>
      </c>
      <c r="S8" s="15">
        <v>8.0</v>
      </c>
      <c r="T8" s="15">
        <v>10.0</v>
      </c>
      <c r="U8" s="15">
        <v>2.0</v>
      </c>
      <c r="V8" s="15">
        <v>14.0</v>
      </c>
      <c r="W8" s="15">
        <v>12.0</v>
      </c>
      <c r="X8" s="15">
        <v>4.0</v>
      </c>
      <c r="Y8" s="18"/>
      <c r="Z8" s="18"/>
      <c r="AA8" s="12"/>
    </row>
    <row r="9" ht="6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2"/>
    </row>
    <row r="10" ht="30.0" customHeight="1">
      <c r="A10" s="1"/>
      <c r="B10" s="7"/>
      <c r="C10" s="288" t="s">
        <v>235</v>
      </c>
      <c r="D10" s="30"/>
      <c r="E10" s="297"/>
      <c r="F10" s="297" t="s">
        <v>200</v>
      </c>
      <c r="G10" s="291"/>
      <c r="H10" s="291"/>
      <c r="I10" s="297" t="s">
        <v>200</v>
      </c>
      <c r="J10" s="291"/>
      <c r="K10" s="297" t="s">
        <v>200</v>
      </c>
      <c r="L10" s="297" t="s">
        <v>200</v>
      </c>
      <c r="M10" s="291"/>
      <c r="N10" s="291"/>
      <c r="O10" s="1"/>
      <c r="P10" s="297" t="s">
        <v>200</v>
      </c>
      <c r="Q10" s="291"/>
      <c r="R10" s="291"/>
      <c r="S10" s="291"/>
      <c r="T10" s="291"/>
      <c r="U10" s="297" t="s">
        <v>200</v>
      </c>
      <c r="V10" s="291"/>
      <c r="W10" s="291"/>
      <c r="X10" s="297" t="s">
        <v>200</v>
      </c>
      <c r="Y10" s="291"/>
      <c r="Z10" s="291"/>
      <c r="AA10" s="12"/>
    </row>
    <row r="11" ht="6.75" customHeight="1">
      <c r="A11" s="1"/>
      <c r="B11" s="7"/>
      <c r="C11" s="16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2"/>
    </row>
    <row r="12" ht="30.0" customHeight="1">
      <c r="A12" s="1"/>
      <c r="B12" s="7"/>
      <c r="C12" s="288" t="s">
        <v>12</v>
      </c>
      <c r="D12" s="30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  <c r="AA12" s="12"/>
    </row>
    <row r="13" ht="6.75" customHeight="1">
      <c r="A13" s="1"/>
      <c r="B13" s="7"/>
      <c r="C13" s="16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2"/>
    </row>
    <row r="14" ht="30.0" customHeight="1">
      <c r="A14" s="1"/>
      <c r="B14" s="7"/>
      <c r="C14" s="288" t="s">
        <v>223</v>
      </c>
      <c r="D14" s="30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12"/>
    </row>
    <row r="15" ht="6.75" customHeight="1">
      <c r="A15" s="1"/>
      <c r="B15" s="7"/>
      <c r="C15" s="16"/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2"/>
    </row>
    <row r="16" ht="30.0" customHeight="1">
      <c r="A16" s="1"/>
      <c r="B16" s="7"/>
      <c r="C16" s="288" t="s">
        <v>12</v>
      </c>
      <c r="D16" s="30"/>
      <c r="E16" s="291"/>
      <c r="F16" s="291"/>
      <c r="G16" s="291"/>
      <c r="H16" s="291"/>
      <c r="I16" s="291"/>
      <c r="J16" s="291"/>
      <c r="K16" s="291"/>
      <c r="L16" s="291"/>
      <c r="M16" s="291"/>
      <c r="N16" s="291"/>
      <c r="O16" s="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12"/>
    </row>
    <row r="17" ht="24.0" customHeight="1">
      <c r="A17" s="1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6.75" customHeight="1">
      <c r="A23" s="1"/>
      <c r="B23" s="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</row>
    <row r="24" ht="14.25" customHeight="1">
      <c r="A24" s="1"/>
      <c r="B24" s="7"/>
      <c r="C24" s="10" t="s">
        <v>234</v>
      </c>
      <c r="D24" s="6"/>
      <c r="E24" s="6"/>
      <c r="F24" s="6"/>
      <c r="G24" s="9"/>
      <c r="H24" s="9"/>
      <c r="I24" s="9"/>
      <c r="J24" s="10" t="s">
        <v>193</v>
      </c>
      <c r="T24" s="11"/>
      <c r="U24" s="11"/>
      <c r="V24" s="11"/>
      <c r="W24" s="11"/>
      <c r="X24" s="1"/>
      <c r="Y24" s="1"/>
      <c r="Z24" s="1"/>
      <c r="AA24" s="12"/>
    </row>
    <row r="25" ht="6.75" customHeight="1">
      <c r="A25" s="1"/>
      <c r="B25" s="7"/>
      <c r="C25" s="1"/>
      <c r="D25" s="1"/>
      <c r="E25" s="1"/>
      <c r="F25" s="1"/>
      <c r="G25" s="295"/>
      <c r="H25" s="295"/>
      <c r="I25" s="295"/>
      <c r="J25" s="295"/>
      <c r="K25" s="295"/>
      <c r="L25" s="1"/>
      <c r="M25" s="1"/>
      <c r="N25" s="1"/>
      <c r="O25" s="1"/>
      <c r="P25" s="1"/>
      <c r="Q25" s="1"/>
      <c r="R25" s="1"/>
      <c r="S25" s="295"/>
      <c r="T25" s="295"/>
      <c r="U25" s="295"/>
      <c r="V25" s="295"/>
      <c r="W25" s="295"/>
      <c r="X25" s="1"/>
      <c r="Y25" s="1"/>
      <c r="Z25" s="1"/>
      <c r="AA25" s="12"/>
    </row>
    <row r="26" ht="14.25" customHeight="1">
      <c r="A26" s="1"/>
      <c r="B26" s="7"/>
      <c r="C26" s="1"/>
      <c r="D26" s="15" t="s">
        <v>4</v>
      </c>
      <c r="E26" s="15">
        <v>1.0</v>
      </c>
      <c r="F26" s="15">
        <v>2.0</v>
      </c>
      <c r="G26" s="15">
        <v>3.0</v>
      </c>
      <c r="H26" s="15">
        <v>4.0</v>
      </c>
      <c r="I26" s="15">
        <v>5.0</v>
      </c>
      <c r="J26" s="15">
        <v>6.0</v>
      </c>
      <c r="K26" s="15">
        <v>7.0</v>
      </c>
      <c r="L26" s="15">
        <v>8.0</v>
      </c>
      <c r="M26" s="15">
        <v>9.0</v>
      </c>
      <c r="N26" s="15" t="s">
        <v>5</v>
      </c>
      <c r="O26" s="16"/>
      <c r="P26" s="15">
        <v>10.0</v>
      </c>
      <c r="Q26" s="15">
        <v>11.0</v>
      </c>
      <c r="R26" s="15">
        <v>12.0</v>
      </c>
      <c r="S26" s="15">
        <v>13.0</v>
      </c>
      <c r="T26" s="15">
        <v>14.0</v>
      </c>
      <c r="U26" s="15">
        <v>15.0</v>
      </c>
      <c r="V26" s="15">
        <v>16.0</v>
      </c>
      <c r="W26" s="15">
        <v>17.0</v>
      </c>
      <c r="X26" s="15">
        <v>18.0</v>
      </c>
      <c r="Y26" s="15" t="s">
        <v>6</v>
      </c>
      <c r="Z26" s="15" t="s">
        <v>7</v>
      </c>
      <c r="AA26" s="12"/>
    </row>
    <row r="27" ht="14.25" customHeight="1">
      <c r="A27" s="1"/>
      <c r="B27" s="7"/>
      <c r="C27" s="1"/>
      <c r="D27" s="15" t="s">
        <v>196</v>
      </c>
      <c r="E27" s="15">
        <v>373.0</v>
      </c>
      <c r="F27" s="15">
        <v>376.0</v>
      </c>
      <c r="G27" s="15">
        <v>373.0</v>
      </c>
      <c r="H27" s="15">
        <v>182.0</v>
      </c>
      <c r="I27" s="15">
        <v>539.0</v>
      </c>
      <c r="J27" s="15">
        <v>151.0</v>
      </c>
      <c r="K27" s="15">
        <v>371.0</v>
      </c>
      <c r="L27" s="15">
        <v>387.0</v>
      </c>
      <c r="M27" s="15">
        <v>561.0</v>
      </c>
      <c r="N27" s="15">
        <f t="shared" ref="N27:N28" si="4">SUM(E27:M27)</f>
        <v>3313</v>
      </c>
      <c r="O27" s="17"/>
      <c r="P27" s="15">
        <v>384.0</v>
      </c>
      <c r="Q27" s="15">
        <v>510.0</v>
      </c>
      <c r="R27" s="15">
        <v>170.0</v>
      </c>
      <c r="S27" s="15">
        <v>414.0</v>
      </c>
      <c r="T27" s="15">
        <v>385.0</v>
      </c>
      <c r="U27" s="15">
        <v>482.0</v>
      </c>
      <c r="V27" s="15">
        <v>181.0</v>
      </c>
      <c r="W27" s="15">
        <v>374.0</v>
      </c>
      <c r="X27" s="15">
        <v>434.0</v>
      </c>
      <c r="Y27" s="15">
        <f t="shared" ref="Y27:Y28" si="5">SUM(P27:X27)</f>
        <v>3334</v>
      </c>
      <c r="Z27" s="15">
        <f t="shared" ref="Z27:Z28" si="6">Y27+N27</f>
        <v>6647</v>
      </c>
      <c r="AA27" s="12"/>
    </row>
    <row r="28" ht="14.25" customHeight="1">
      <c r="A28" s="1"/>
      <c r="B28" s="7"/>
      <c r="C28" s="1"/>
      <c r="D28" s="15" t="s">
        <v>9</v>
      </c>
      <c r="E28" s="15">
        <v>4.0</v>
      </c>
      <c r="F28" s="15">
        <v>4.0</v>
      </c>
      <c r="G28" s="15">
        <v>4.0</v>
      </c>
      <c r="H28" s="15">
        <v>3.0</v>
      </c>
      <c r="I28" s="15">
        <v>5.0</v>
      </c>
      <c r="J28" s="15">
        <v>3.0</v>
      </c>
      <c r="K28" s="15">
        <v>4.0</v>
      </c>
      <c r="L28" s="15">
        <v>4.0</v>
      </c>
      <c r="M28" s="15">
        <v>5.0</v>
      </c>
      <c r="N28" s="15">
        <f t="shared" si="4"/>
        <v>36</v>
      </c>
      <c r="O28" s="17"/>
      <c r="P28" s="15">
        <v>4.0</v>
      </c>
      <c r="Q28" s="15">
        <v>5.0</v>
      </c>
      <c r="R28" s="15">
        <v>3.0</v>
      </c>
      <c r="S28" s="15">
        <v>4.0</v>
      </c>
      <c r="T28" s="15">
        <v>4.0</v>
      </c>
      <c r="U28" s="15">
        <v>5.0</v>
      </c>
      <c r="V28" s="15">
        <v>3.0</v>
      </c>
      <c r="W28" s="15">
        <v>4.0</v>
      </c>
      <c r="X28" s="15">
        <v>4.0</v>
      </c>
      <c r="Y28" s="15">
        <f t="shared" si="5"/>
        <v>36</v>
      </c>
      <c r="Z28" s="15">
        <f t="shared" si="6"/>
        <v>72</v>
      </c>
      <c r="AA28" s="12"/>
    </row>
    <row r="29" ht="14.25" customHeight="1">
      <c r="A29" s="1"/>
      <c r="B29" s="7"/>
      <c r="C29" s="1"/>
      <c r="D29" s="15" t="s">
        <v>10</v>
      </c>
      <c r="E29" s="15">
        <v>15.0</v>
      </c>
      <c r="F29" s="15">
        <v>5.0</v>
      </c>
      <c r="G29" s="15">
        <v>13.0</v>
      </c>
      <c r="H29" s="15">
        <v>11.0</v>
      </c>
      <c r="I29" s="15">
        <v>1.0</v>
      </c>
      <c r="J29" s="15">
        <v>17.0</v>
      </c>
      <c r="K29" s="15">
        <v>7.0</v>
      </c>
      <c r="L29" s="15">
        <v>3.0</v>
      </c>
      <c r="M29" s="15">
        <v>9.0</v>
      </c>
      <c r="N29" s="18"/>
      <c r="O29" s="17"/>
      <c r="P29" s="15">
        <v>6.0</v>
      </c>
      <c r="Q29" s="15">
        <v>18.0</v>
      </c>
      <c r="R29" s="15">
        <v>16.0</v>
      </c>
      <c r="S29" s="15">
        <v>8.0</v>
      </c>
      <c r="T29" s="15">
        <v>10.0</v>
      </c>
      <c r="U29" s="15">
        <v>2.0</v>
      </c>
      <c r="V29" s="15">
        <v>14.0</v>
      </c>
      <c r="W29" s="15">
        <v>12.0</v>
      </c>
      <c r="X29" s="15">
        <v>4.0</v>
      </c>
      <c r="Y29" s="18"/>
      <c r="Z29" s="18"/>
      <c r="AA29" s="12"/>
    </row>
    <row r="30" ht="6.75" customHeight="1">
      <c r="A30" s="1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2"/>
    </row>
    <row r="31" ht="30.0" customHeight="1">
      <c r="A31" s="1"/>
      <c r="B31" s="7"/>
      <c r="C31" s="288" t="s">
        <v>225</v>
      </c>
      <c r="D31" s="30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12"/>
    </row>
    <row r="32" ht="6.75" customHeight="1">
      <c r="A32" s="1"/>
      <c r="B32" s="7"/>
      <c r="C32" s="16"/>
      <c r="D32" s="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2"/>
    </row>
    <row r="33" ht="30.0" customHeight="1">
      <c r="A33" s="1"/>
      <c r="B33" s="7"/>
      <c r="C33" s="288" t="s">
        <v>12</v>
      </c>
      <c r="D33" s="30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12"/>
    </row>
    <row r="34" ht="6.75" customHeight="1">
      <c r="A34" s="1"/>
      <c r="B34" s="7"/>
      <c r="C34" s="16"/>
      <c r="D34" s="1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2"/>
    </row>
    <row r="35" ht="30.0" customHeight="1">
      <c r="A35" s="1"/>
      <c r="B35" s="7"/>
      <c r="C35" s="288" t="s">
        <v>236</v>
      </c>
      <c r="D35" s="30"/>
      <c r="E35" s="291"/>
      <c r="F35" s="291"/>
      <c r="G35" s="291"/>
      <c r="H35" s="291"/>
      <c r="I35" s="297" t="s">
        <v>200</v>
      </c>
      <c r="J35" s="291"/>
      <c r="K35" s="291"/>
      <c r="L35" s="291"/>
      <c r="M35" s="291"/>
      <c r="N35" s="291"/>
      <c r="O35" s="1"/>
      <c r="P35" s="291"/>
      <c r="Q35" s="291"/>
      <c r="R35" s="291"/>
      <c r="S35" s="291"/>
      <c r="T35" s="291"/>
      <c r="U35" s="297" t="s">
        <v>200</v>
      </c>
      <c r="V35" s="291"/>
      <c r="W35" s="291"/>
      <c r="X35" s="291"/>
      <c r="Y35" s="291"/>
      <c r="Z35" s="291"/>
      <c r="AA35" s="12"/>
    </row>
    <row r="36" ht="6.75" customHeight="1">
      <c r="A36" s="1"/>
      <c r="B36" s="7"/>
      <c r="C36" s="16"/>
      <c r="D36" s="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2"/>
    </row>
    <row r="37" ht="30.0" customHeight="1">
      <c r="A37" s="1"/>
      <c r="B37" s="7"/>
      <c r="C37" s="288" t="s">
        <v>12</v>
      </c>
      <c r="D37" s="30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12"/>
    </row>
    <row r="38" ht="24.0" customHeight="1">
      <c r="A38" s="1"/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7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6.7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  <c r="U53" s="4"/>
      <c r="V53" s="4"/>
      <c r="W53" s="4"/>
      <c r="X53" s="4"/>
      <c r="Y53" s="4"/>
      <c r="Z53" s="4"/>
      <c r="AA53" s="5"/>
    </row>
    <row r="54" ht="14.25" customHeight="1">
      <c r="A54" s="1"/>
      <c r="B54" s="7"/>
      <c r="C54" s="10" t="s">
        <v>234</v>
      </c>
      <c r="D54" s="6"/>
      <c r="E54" s="6"/>
      <c r="F54" s="6"/>
      <c r="G54" s="9"/>
      <c r="H54" s="9"/>
      <c r="I54" s="9"/>
      <c r="J54" s="10" t="s">
        <v>193</v>
      </c>
      <c r="T54" s="11"/>
      <c r="U54" s="11"/>
      <c r="V54" s="11"/>
      <c r="W54" s="11"/>
      <c r="X54" s="1"/>
      <c r="Y54" s="1"/>
      <c r="Z54" s="1"/>
      <c r="AA54" s="12"/>
    </row>
    <row r="55" ht="6.75" customHeight="1">
      <c r="A55" s="1"/>
      <c r="B55" s="7"/>
      <c r="C55" s="1"/>
      <c r="D55" s="1"/>
      <c r="E55" s="1"/>
      <c r="F55" s="1"/>
      <c r="G55" s="295"/>
      <c r="H55" s="295"/>
      <c r="I55" s="295"/>
      <c r="J55" s="295"/>
      <c r="K55" s="295"/>
      <c r="L55" s="1"/>
      <c r="M55" s="1"/>
      <c r="N55" s="1"/>
      <c r="O55" s="1"/>
      <c r="P55" s="1"/>
      <c r="Q55" s="1"/>
      <c r="R55" s="1"/>
      <c r="S55" s="295"/>
      <c r="T55" s="295"/>
      <c r="U55" s="295"/>
      <c r="V55" s="295"/>
      <c r="W55" s="295"/>
      <c r="X55" s="1"/>
      <c r="Y55" s="1"/>
      <c r="Z55" s="1"/>
      <c r="AA55" s="12"/>
    </row>
    <row r="56" ht="14.25" customHeight="1">
      <c r="A56" s="1"/>
      <c r="B56" s="7"/>
      <c r="C56" s="1"/>
      <c r="D56" s="15" t="s">
        <v>4</v>
      </c>
      <c r="E56" s="15">
        <v>1.0</v>
      </c>
      <c r="F56" s="15">
        <v>2.0</v>
      </c>
      <c r="G56" s="15">
        <v>3.0</v>
      </c>
      <c r="H56" s="15">
        <v>4.0</v>
      </c>
      <c r="I56" s="15">
        <v>5.0</v>
      </c>
      <c r="J56" s="15">
        <v>6.0</v>
      </c>
      <c r="K56" s="15">
        <v>7.0</v>
      </c>
      <c r="L56" s="15">
        <v>8.0</v>
      </c>
      <c r="M56" s="15">
        <v>9.0</v>
      </c>
      <c r="N56" s="15" t="s">
        <v>5</v>
      </c>
      <c r="O56" s="16"/>
      <c r="P56" s="15">
        <v>10.0</v>
      </c>
      <c r="Q56" s="15">
        <v>11.0</v>
      </c>
      <c r="R56" s="15">
        <v>12.0</v>
      </c>
      <c r="S56" s="15">
        <v>13.0</v>
      </c>
      <c r="T56" s="15">
        <v>14.0</v>
      </c>
      <c r="U56" s="15">
        <v>15.0</v>
      </c>
      <c r="V56" s="15">
        <v>16.0</v>
      </c>
      <c r="W56" s="15">
        <v>17.0</v>
      </c>
      <c r="X56" s="15">
        <v>18.0</v>
      </c>
      <c r="Y56" s="15" t="s">
        <v>6</v>
      </c>
      <c r="Z56" s="15" t="s">
        <v>7</v>
      </c>
      <c r="AA56" s="12"/>
    </row>
    <row r="57" ht="14.25" customHeight="1">
      <c r="A57" s="1"/>
      <c r="B57" s="7"/>
      <c r="C57" s="1"/>
      <c r="D57" s="15" t="s">
        <v>196</v>
      </c>
      <c r="E57" s="15">
        <v>373.0</v>
      </c>
      <c r="F57" s="15">
        <v>376.0</v>
      </c>
      <c r="G57" s="15">
        <v>373.0</v>
      </c>
      <c r="H57" s="15">
        <v>182.0</v>
      </c>
      <c r="I57" s="15">
        <v>539.0</v>
      </c>
      <c r="J57" s="15">
        <v>151.0</v>
      </c>
      <c r="K57" s="15">
        <v>371.0</v>
      </c>
      <c r="L57" s="15">
        <v>387.0</v>
      </c>
      <c r="M57" s="15">
        <v>561.0</v>
      </c>
      <c r="N57" s="15">
        <f t="shared" ref="N57:N58" si="7">SUM(E57:M57)</f>
        <v>3313</v>
      </c>
      <c r="O57" s="17"/>
      <c r="P57" s="15">
        <v>384.0</v>
      </c>
      <c r="Q57" s="15">
        <v>510.0</v>
      </c>
      <c r="R57" s="15">
        <v>170.0</v>
      </c>
      <c r="S57" s="15">
        <v>414.0</v>
      </c>
      <c r="T57" s="15">
        <v>385.0</v>
      </c>
      <c r="U57" s="15">
        <v>482.0</v>
      </c>
      <c r="V57" s="15">
        <v>181.0</v>
      </c>
      <c r="W57" s="15">
        <v>374.0</v>
      </c>
      <c r="X57" s="15">
        <v>434.0</v>
      </c>
      <c r="Y57" s="15">
        <f t="shared" ref="Y57:Y58" si="8">SUM(P57:X57)</f>
        <v>3334</v>
      </c>
      <c r="Z57" s="15">
        <f t="shared" ref="Z57:Z58" si="9">Y57+N57</f>
        <v>6647</v>
      </c>
      <c r="AA57" s="12"/>
    </row>
    <row r="58" ht="14.25" customHeight="1">
      <c r="A58" s="1"/>
      <c r="B58" s="7"/>
      <c r="C58" s="1"/>
      <c r="D58" s="15" t="s">
        <v>9</v>
      </c>
      <c r="E58" s="15">
        <v>4.0</v>
      </c>
      <c r="F58" s="15">
        <v>4.0</v>
      </c>
      <c r="G58" s="15">
        <v>4.0</v>
      </c>
      <c r="H58" s="15">
        <v>3.0</v>
      </c>
      <c r="I58" s="15">
        <v>5.0</v>
      </c>
      <c r="J58" s="15">
        <v>3.0</v>
      </c>
      <c r="K58" s="15">
        <v>4.0</v>
      </c>
      <c r="L58" s="15">
        <v>4.0</v>
      </c>
      <c r="M58" s="15">
        <v>5.0</v>
      </c>
      <c r="N58" s="15">
        <f t="shared" si="7"/>
        <v>36</v>
      </c>
      <c r="O58" s="17"/>
      <c r="P58" s="15">
        <v>4.0</v>
      </c>
      <c r="Q58" s="15">
        <v>5.0</v>
      </c>
      <c r="R58" s="15">
        <v>3.0</v>
      </c>
      <c r="S58" s="15">
        <v>4.0</v>
      </c>
      <c r="T58" s="15">
        <v>4.0</v>
      </c>
      <c r="U58" s="15">
        <v>5.0</v>
      </c>
      <c r="V58" s="15">
        <v>3.0</v>
      </c>
      <c r="W58" s="15">
        <v>4.0</v>
      </c>
      <c r="X58" s="15">
        <v>4.0</v>
      </c>
      <c r="Y58" s="15">
        <f t="shared" si="8"/>
        <v>36</v>
      </c>
      <c r="Z58" s="15">
        <f t="shared" si="9"/>
        <v>72</v>
      </c>
      <c r="AA58" s="12"/>
    </row>
    <row r="59" ht="14.25" customHeight="1">
      <c r="A59" s="1"/>
      <c r="B59" s="7"/>
      <c r="C59" s="1"/>
      <c r="D59" s="15" t="s">
        <v>10</v>
      </c>
      <c r="E59" s="15">
        <v>15.0</v>
      </c>
      <c r="F59" s="15">
        <v>5.0</v>
      </c>
      <c r="G59" s="15">
        <v>13.0</v>
      </c>
      <c r="H59" s="15">
        <v>11.0</v>
      </c>
      <c r="I59" s="15">
        <v>1.0</v>
      </c>
      <c r="J59" s="15">
        <v>17.0</v>
      </c>
      <c r="K59" s="15">
        <v>7.0</v>
      </c>
      <c r="L59" s="15">
        <v>3.0</v>
      </c>
      <c r="M59" s="15">
        <v>9.0</v>
      </c>
      <c r="N59" s="18"/>
      <c r="O59" s="17"/>
      <c r="P59" s="15">
        <v>6.0</v>
      </c>
      <c r="Q59" s="15">
        <v>18.0</v>
      </c>
      <c r="R59" s="15">
        <v>16.0</v>
      </c>
      <c r="S59" s="15">
        <v>8.0</v>
      </c>
      <c r="T59" s="15">
        <v>10.0</v>
      </c>
      <c r="U59" s="15">
        <v>2.0</v>
      </c>
      <c r="V59" s="15">
        <v>14.0</v>
      </c>
      <c r="W59" s="15">
        <v>12.0</v>
      </c>
      <c r="X59" s="15">
        <v>4.0</v>
      </c>
      <c r="Y59" s="18"/>
      <c r="Z59" s="18"/>
      <c r="AA59" s="12"/>
    </row>
    <row r="60" ht="6.75" customHeight="1">
      <c r="A60" s="1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2"/>
    </row>
    <row r="61" ht="30.0" customHeight="1">
      <c r="A61" s="1"/>
      <c r="B61" s="7"/>
      <c r="C61" s="288" t="s">
        <v>237</v>
      </c>
      <c r="D61" s="30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12"/>
    </row>
    <row r="62" ht="6.75" customHeight="1">
      <c r="A62" s="1"/>
      <c r="B62" s="7"/>
      <c r="C62" s="16"/>
      <c r="D62" s="1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2"/>
    </row>
    <row r="63" ht="30.0" customHeight="1">
      <c r="A63" s="1"/>
      <c r="B63" s="7"/>
      <c r="C63" s="288" t="s">
        <v>12</v>
      </c>
      <c r="D63" s="30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12"/>
    </row>
    <row r="64" ht="6.75" customHeight="1">
      <c r="A64" s="1"/>
      <c r="B64" s="7"/>
      <c r="C64" s="16"/>
      <c r="D64" s="1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2"/>
    </row>
    <row r="65" ht="30.0" customHeight="1">
      <c r="A65" s="1"/>
      <c r="B65" s="7"/>
      <c r="C65" s="288" t="s">
        <v>238</v>
      </c>
      <c r="D65" s="30"/>
      <c r="E65" s="291"/>
      <c r="F65" s="297" t="s">
        <v>200</v>
      </c>
      <c r="G65" s="297" t="s">
        <v>200</v>
      </c>
      <c r="H65" s="297" t="s">
        <v>200</v>
      </c>
      <c r="I65" s="297" t="s">
        <v>200</v>
      </c>
      <c r="J65" s="291"/>
      <c r="K65" s="297" t="s">
        <v>200</v>
      </c>
      <c r="L65" s="297" t="s">
        <v>200</v>
      </c>
      <c r="M65" s="297" t="s">
        <v>200</v>
      </c>
      <c r="N65" s="291"/>
      <c r="O65" s="1"/>
      <c r="P65" s="297" t="s">
        <v>200</v>
      </c>
      <c r="Q65" s="291"/>
      <c r="R65" s="291"/>
      <c r="S65" s="297" t="s">
        <v>200</v>
      </c>
      <c r="T65" s="297" t="s">
        <v>200</v>
      </c>
      <c r="U65" s="297" t="s">
        <v>200</v>
      </c>
      <c r="V65" s="297" t="s">
        <v>200</v>
      </c>
      <c r="W65" s="297" t="s">
        <v>200</v>
      </c>
      <c r="X65" s="297" t="s">
        <v>200</v>
      </c>
      <c r="Y65" s="291"/>
      <c r="Z65" s="291"/>
      <c r="AA65" s="12"/>
    </row>
    <row r="66" ht="6.75" customHeight="1">
      <c r="A66" s="1"/>
      <c r="B66" s="7"/>
      <c r="C66" s="16"/>
      <c r="D66" s="1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2"/>
    </row>
    <row r="67" ht="30.0" customHeight="1">
      <c r="A67" s="1"/>
      <c r="B67" s="7"/>
      <c r="C67" s="288" t="s">
        <v>12</v>
      </c>
      <c r="D67" s="30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12"/>
    </row>
    <row r="68" ht="24.0" customHeight="1">
      <c r="A68" s="1"/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7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6.7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4"/>
      <c r="V73" s="4"/>
      <c r="W73" s="4"/>
      <c r="X73" s="4"/>
      <c r="Y73" s="4"/>
      <c r="Z73" s="4"/>
      <c r="AA73" s="5"/>
    </row>
    <row r="74" ht="14.25" customHeight="1">
      <c r="A74" s="1"/>
      <c r="B74" s="7"/>
      <c r="C74" s="10" t="s">
        <v>234</v>
      </c>
      <c r="D74" s="6"/>
      <c r="E74" s="6"/>
      <c r="F74" s="6"/>
      <c r="G74" s="9"/>
      <c r="H74" s="9"/>
      <c r="I74" s="9"/>
      <c r="J74" s="10" t="s">
        <v>193</v>
      </c>
      <c r="T74" s="11"/>
      <c r="U74" s="11"/>
      <c r="V74" s="11"/>
      <c r="W74" s="11"/>
      <c r="X74" s="1"/>
      <c r="Y74" s="1"/>
      <c r="Z74" s="1"/>
      <c r="AA74" s="12"/>
    </row>
    <row r="75" ht="6.75" customHeight="1">
      <c r="A75" s="1"/>
      <c r="B75" s="7"/>
      <c r="C75" s="1"/>
      <c r="D75" s="1"/>
      <c r="E75" s="1"/>
      <c r="F75" s="1"/>
      <c r="G75" s="295"/>
      <c r="H75" s="295"/>
      <c r="I75" s="295"/>
      <c r="J75" s="295"/>
      <c r="K75" s="295"/>
      <c r="L75" s="1"/>
      <c r="M75" s="1"/>
      <c r="N75" s="1"/>
      <c r="O75" s="1"/>
      <c r="P75" s="1"/>
      <c r="Q75" s="1"/>
      <c r="R75" s="1"/>
      <c r="S75" s="295"/>
      <c r="T75" s="295"/>
      <c r="U75" s="295"/>
      <c r="V75" s="295"/>
      <c r="W75" s="295"/>
      <c r="X75" s="1"/>
      <c r="Y75" s="1"/>
      <c r="Z75" s="1"/>
      <c r="AA75" s="12"/>
    </row>
    <row r="76" ht="14.25" customHeight="1">
      <c r="A76" s="1"/>
      <c r="B76" s="7"/>
      <c r="C76" s="1"/>
      <c r="D76" s="15" t="s">
        <v>4</v>
      </c>
      <c r="E76" s="15">
        <v>1.0</v>
      </c>
      <c r="F76" s="15">
        <v>2.0</v>
      </c>
      <c r="G76" s="15">
        <v>3.0</v>
      </c>
      <c r="H76" s="15">
        <v>4.0</v>
      </c>
      <c r="I76" s="15">
        <v>5.0</v>
      </c>
      <c r="J76" s="15">
        <v>6.0</v>
      </c>
      <c r="K76" s="15">
        <v>7.0</v>
      </c>
      <c r="L76" s="15">
        <v>8.0</v>
      </c>
      <c r="M76" s="15">
        <v>9.0</v>
      </c>
      <c r="N76" s="15" t="s">
        <v>5</v>
      </c>
      <c r="O76" s="16"/>
      <c r="P76" s="15">
        <v>10.0</v>
      </c>
      <c r="Q76" s="15">
        <v>11.0</v>
      </c>
      <c r="R76" s="15">
        <v>12.0</v>
      </c>
      <c r="S76" s="15">
        <v>13.0</v>
      </c>
      <c r="T76" s="15">
        <v>14.0</v>
      </c>
      <c r="U76" s="15">
        <v>15.0</v>
      </c>
      <c r="V76" s="15">
        <v>16.0</v>
      </c>
      <c r="W76" s="15">
        <v>17.0</v>
      </c>
      <c r="X76" s="15">
        <v>18.0</v>
      </c>
      <c r="Y76" s="15" t="s">
        <v>6</v>
      </c>
      <c r="Z76" s="15" t="s">
        <v>7</v>
      </c>
      <c r="AA76" s="12"/>
    </row>
    <row r="77" ht="14.25" customHeight="1">
      <c r="A77" s="1"/>
      <c r="B77" s="7"/>
      <c r="C77" s="1"/>
      <c r="D77" s="15" t="s">
        <v>196</v>
      </c>
      <c r="E77" s="15">
        <v>373.0</v>
      </c>
      <c r="F77" s="15">
        <v>376.0</v>
      </c>
      <c r="G77" s="15">
        <v>373.0</v>
      </c>
      <c r="H77" s="15">
        <v>182.0</v>
      </c>
      <c r="I77" s="15">
        <v>539.0</v>
      </c>
      <c r="J77" s="15">
        <v>151.0</v>
      </c>
      <c r="K77" s="15">
        <v>371.0</v>
      </c>
      <c r="L77" s="15">
        <v>387.0</v>
      </c>
      <c r="M77" s="15">
        <v>561.0</v>
      </c>
      <c r="N77" s="15">
        <f t="shared" ref="N77:N78" si="10">SUM(E77:M77)</f>
        <v>3313</v>
      </c>
      <c r="O77" s="17"/>
      <c r="P77" s="15">
        <v>384.0</v>
      </c>
      <c r="Q77" s="15">
        <v>510.0</v>
      </c>
      <c r="R77" s="15">
        <v>170.0</v>
      </c>
      <c r="S77" s="15">
        <v>414.0</v>
      </c>
      <c r="T77" s="15">
        <v>385.0</v>
      </c>
      <c r="U77" s="15">
        <v>482.0</v>
      </c>
      <c r="V77" s="15">
        <v>181.0</v>
      </c>
      <c r="W77" s="15">
        <v>374.0</v>
      </c>
      <c r="X77" s="15">
        <v>434.0</v>
      </c>
      <c r="Y77" s="15">
        <f t="shared" ref="Y77:Y78" si="11">SUM(P77:X77)</f>
        <v>3334</v>
      </c>
      <c r="Z77" s="15">
        <f t="shared" ref="Z77:Z78" si="12">Y77+N77</f>
        <v>6647</v>
      </c>
      <c r="AA77" s="12"/>
    </row>
    <row r="78" ht="14.25" customHeight="1">
      <c r="A78" s="1"/>
      <c r="B78" s="7"/>
      <c r="C78" s="1"/>
      <c r="D78" s="15" t="s">
        <v>9</v>
      </c>
      <c r="E78" s="15">
        <v>4.0</v>
      </c>
      <c r="F78" s="15">
        <v>4.0</v>
      </c>
      <c r="G78" s="15">
        <v>4.0</v>
      </c>
      <c r="H78" s="15">
        <v>3.0</v>
      </c>
      <c r="I78" s="15">
        <v>5.0</v>
      </c>
      <c r="J78" s="15">
        <v>3.0</v>
      </c>
      <c r="K78" s="15">
        <v>4.0</v>
      </c>
      <c r="L78" s="15">
        <v>4.0</v>
      </c>
      <c r="M78" s="15">
        <v>5.0</v>
      </c>
      <c r="N78" s="15">
        <f t="shared" si="10"/>
        <v>36</v>
      </c>
      <c r="O78" s="17"/>
      <c r="P78" s="15">
        <v>4.0</v>
      </c>
      <c r="Q78" s="15">
        <v>5.0</v>
      </c>
      <c r="R78" s="15">
        <v>3.0</v>
      </c>
      <c r="S78" s="15">
        <v>4.0</v>
      </c>
      <c r="T78" s="15">
        <v>4.0</v>
      </c>
      <c r="U78" s="15">
        <v>5.0</v>
      </c>
      <c r="V78" s="15">
        <v>3.0</v>
      </c>
      <c r="W78" s="15">
        <v>4.0</v>
      </c>
      <c r="X78" s="15">
        <v>4.0</v>
      </c>
      <c r="Y78" s="15">
        <f t="shared" si="11"/>
        <v>36</v>
      </c>
      <c r="Z78" s="15">
        <f t="shared" si="12"/>
        <v>72</v>
      </c>
      <c r="AA78" s="12"/>
    </row>
    <row r="79" ht="14.25" customHeight="1">
      <c r="A79" s="1"/>
      <c r="B79" s="7"/>
      <c r="C79" s="1"/>
      <c r="D79" s="15" t="s">
        <v>10</v>
      </c>
      <c r="E79" s="15">
        <v>15.0</v>
      </c>
      <c r="F79" s="15">
        <v>5.0</v>
      </c>
      <c r="G79" s="15">
        <v>13.0</v>
      </c>
      <c r="H79" s="15">
        <v>11.0</v>
      </c>
      <c r="I79" s="15">
        <v>1.0</v>
      </c>
      <c r="J79" s="15">
        <v>17.0</v>
      </c>
      <c r="K79" s="15">
        <v>7.0</v>
      </c>
      <c r="L79" s="15">
        <v>3.0</v>
      </c>
      <c r="M79" s="15">
        <v>9.0</v>
      </c>
      <c r="N79" s="18"/>
      <c r="O79" s="17"/>
      <c r="P79" s="15">
        <v>6.0</v>
      </c>
      <c r="Q79" s="15">
        <v>18.0</v>
      </c>
      <c r="R79" s="15">
        <v>16.0</v>
      </c>
      <c r="S79" s="15">
        <v>8.0</v>
      </c>
      <c r="T79" s="15">
        <v>10.0</v>
      </c>
      <c r="U79" s="15">
        <v>2.0</v>
      </c>
      <c r="V79" s="15">
        <v>14.0</v>
      </c>
      <c r="W79" s="15">
        <v>12.0</v>
      </c>
      <c r="X79" s="15">
        <v>4.0</v>
      </c>
      <c r="Y79" s="18"/>
      <c r="Z79" s="18"/>
      <c r="AA79" s="12"/>
    </row>
    <row r="80" ht="6.75" customHeight="1">
      <c r="A80" s="1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2"/>
    </row>
    <row r="81" ht="30.0" customHeight="1">
      <c r="A81" s="1"/>
      <c r="B81" s="7"/>
      <c r="C81" s="288" t="s">
        <v>239</v>
      </c>
      <c r="D81" s="30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12"/>
    </row>
    <row r="82" ht="6.75" customHeight="1">
      <c r="A82" s="1"/>
      <c r="B82" s="7"/>
      <c r="C82" s="16"/>
      <c r="D82" s="1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2"/>
    </row>
    <row r="83" ht="30.0" customHeight="1">
      <c r="A83" s="1"/>
      <c r="B83" s="7"/>
      <c r="C83" s="288" t="s">
        <v>12</v>
      </c>
      <c r="D83" s="30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1"/>
      <c r="P83" s="291"/>
      <c r="Q83" s="291"/>
      <c r="R83" s="291"/>
      <c r="S83" s="291"/>
      <c r="T83" s="291"/>
      <c r="U83" s="291"/>
      <c r="V83" s="291"/>
      <c r="W83" s="291"/>
      <c r="X83" s="291"/>
      <c r="Y83" s="291"/>
      <c r="Z83" s="291"/>
      <c r="AA83" s="12"/>
    </row>
    <row r="84" ht="6.75" customHeight="1">
      <c r="A84" s="1"/>
      <c r="B84" s="7"/>
      <c r="C84" s="16"/>
      <c r="D84" s="1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2"/>
    </row>
    <row r="85" ht="30.0" customHeight="1">
      <c r="A85" s="1"/>
      <c r="B85" s="7"/>
      <c r="C85" s="288" t="s">
        <v>240</v>
      </c>
      <c r="D85" s="30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12"/>
    </row>
    <row r="86" ht="6.75" customHeight="1">
      <c r="A86" s="1"/>
      <c r="B86" s="7"/>
      <c r="C86" s="16"/>
      <c r="D86" s="1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2"/>
    </row>
    <row r="87" ht="30.0" customHeight="1">
      <c r="A87" s="1"/>
      <c r="B87" s="7"/>
      <c r="C87" s="288" t="s">
        <v>12</v>
      </c>
      <c r="D87" s="30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12"/>
    </row>
    <row r="88" ht="24.0" customHeight="1">
      <c r="A88" s="1"/>
      <c r="B88" s="35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7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6.7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4"/>
      <c r="U99" s="4"/>
      <c r="V99" s="4"/>
      <c r="W99" s="4"/>
      <c r="X99" s="4"/>
      <c r="Y99" s="4"/>
      <c r="Z99" s="4"/>
      <c r="AA99" s="5"/>
    </row>
    <row r="100" ht="14.25" customHeight="1">
      <c r="A100" s="1"/>
      <c r="B100" s="7"/>
      <c r="C100" s="10" t="s">
        <v>234</v>
      </c>
      <c r="D100" s="6"/>
      <c r="E100" s="6"/>
      <c r="F100" s="6"/>
      <c r="G100" s="9"/>
      <c r="H100" s="9"/>
      <c r="I100" s="9"/>
      <c r="J100" s="10" t="s">
        <v>193</v>
      </c>
      <c r="T100" s="11"/>
      <c r="U100" s="11"/>
      <c r="V100" s="11"/>
      <c r="W100" s="11"/>
      <c r="X100" s="1"/>
      <c r="Y100" s="1"/>
      <c r="Z100" s="1"/>
      <c r="AA100" s="12"/>
    </row>
    <row r="101" ht="6.75" customHeight="1">
      <c r="A101" s="1"/>
      <c r="B101" s="7"/>
      <c r="C101" s="1"/>
      <c r="D101" s="1"/>
      <c r="E101" s="1"/>
      <c r="F101" s="1"/>
      <c r="G101" s="295"/>
      <c r="H101" s="295"/>
      <c r="I101" s="295"/>
      <c r="J101" s="295"/>
      <c r="K101" s="295"/>
      <c r="L101" s="1"/>
      <c r="M101" s="1"/>
      <c r="N101" s="1"/>
      <c r="O101" s="1"/>
      <c r="P101" s="1"/>
      <c r="Q101" s="1"/>
      <c r="R101" s="1"/>
      <c r="S101" s="295"/>
      <c r="T101" s="295"/>
      <c r="U101" s="295"/>
      <c r="V101" s="295"/>
      <c r="W101" s="295"/>
      <c r="X101" s="1"/>
      <c r="Y101" s="1"/>
      <c r="Z101" s="1"/>
      <c r="AA101" s="12"/>
    </row>
    <row r="102" ht="14.25" customHeight="1">
      <c r="A102" s="1"/>
      <c r="B102" s="7"/>
      <c r="C102" s="1"/>
      <c r="D102" s="15" t="s">
        <v>4</v>
      </c>
      <c r="E102" s="15">
        <v>1.0</v>
      </c>
      <c r="F102" s="15">
        <v>2.0</v>
      </c>
      <c r="G102" s="15">
        <v>3.0</v>
      </c>
      <c r="H102" s="15">
        <v>4.0</v>
      </c>
      <c r="I102" s="15">
        <v>5.0</v>
      </c>
      <c r="J102" s="15">
        <v>6.0</v>
      </c>
      <c r="K102" s="15">
        <v>7.0</v>
      </c>
      <c r="L102" s="15">
        <v>8.0</v>
      </c>
      <c r="M102" s="15">
        <v>9.0</v>
      </c>
      <c r="N102" s="15" t="s">
        <v>5</v>
      </c>
      <c r="O102" s="16"/>
      <c r="P102" s="15">
        <v>10.0</v>
      </c>
      <c r="Q102" s="15">
        <v>11.0</v>
      </c>
      <c r="R102" s="15">
        <v>12.0</v>
      </c>
      <c r="S102" s="15">
        <v>13.0</v>
      </c>
      <c r="T102" s="15">
        <v>14.0</v>
      </c>
      <c r="U102" s="15">
        <v>15.0</v>
      </c>
      <c r="V102" s="15">
        <v>16.0</v>
      </c>
      <c r="W102" s="15">
        <v>17.0</v>
      </c>
      <c r="X102" s="15">
        <v>18.0</v>
      </c>
      <c r="Y102" s="15" t="s">
        <v>6</v>
      </c>
      <c r="Z102" s="15" t="s">
        <v>7</v>
      </c>
      <c r="AA102" s="12"/>
    </row>
    <row r="103" ht="14.25" customHeight="1">
      <c r="A103" s="1"/>
      <c r="B103" s="7"/>
      <c r="C103" s="1"/>
      <c r="D103" s="15" t="s">
        <v>196</v>
      </c>
      <c r="E103" s="15">
        <v>373.0</v>
      </c>
      <c r="F103" s="15">
        <v>376.0</v>
      </c>
      <c r="G103" s="15">
        <v>373.0</v>
      </c>
      <c r="H103" s="15">
        <v>182.0</v>
      </c>
      <c r="I103" s="15">
        <v>539.0</v>
      </c>
      <c r="J103" s="15">
        <v>151.0</v>
      </c>
      <c r="K103" s="15">
        <v>371.0</v>
      </c>
      <c r="L103" s="15">
        <v>387.0</v>
      </c>
      <c r="M103" s="15">
        <v>561.0</v>
      </c>
      <c r="N103" s="15">
        <f t="shared" ref="N103:N104" si="13">SUM(E103:M103)</f>
        <v>3313</v>
      </c>
      <c r="O103" s="17"/>
      <c r="P103" s="15">
        <v>384.0</v>
      </c>
      <c r="Q103" s="15">
        <v>510.0</v>
      </c>
      <c r="R103" s="15">
        <v>170.0</v>
      </c>
      <c r="S103" s="15">
        <v>414.0</v>
      </c>
      <c r="T103" s="15">
        <v>385.0</v>
      </c>
      <c r="U103" s="15">
        <v>482.0</v>
      </c>
      <c r="V103" s="15">
        <v>181.0</v>
      </c>
      <c r="W103" s="15">
        <v>374.0</v>
      </c>
      <c r="X103" s="15">
        <v>434.0</v>
      </c>
      <c r="Y103" s="15">
        <f t="shared" ref="Y103:Y104" si="14">SUM(P103:X103)</f>
        <v>3334</v>
      </c>
      <c r="Z103" s="15">
        <f t="shared" ref="Z103:Z104" si="15">Y103+N103</f>
        <v>6647</v>
      </c>
      <c r="AA103" s="12"/>
    </row>
    <row r="104" ht="14.25" customHeight="1">
      <c r="A104" s="1"/>
      <c r="B104" s="7"/>
      <c r="C104" s="1"/>
      <c r="D104" s="15" t="s">
        <v>9</v>
      </c>
      <c r="E104" s="15">
        <v>4.0</v>
      </c>
      <c r="F104" s="15">
        <v>4.0</v>
      </c>
      <c r="G104" s="15">
        <v>4.0</v>
      </c>
      <c r="H104" s="15">
        <v>3.0</v>
      </c>
      <c r="I104" s="15">
        <v>5.0</v>
      </c>
      <c r="J104" s="15">
        <v>3.0</v>
      </c>
      <c r="K104" s="15">
        <v>4.0</v>
      </c>
      <c r="L104" s="15">
        <v>4.0</v>
      </c>
      <c r="M104" s="15">
        <v>5.0</v>
      </c>
      <c r="N104" s="15">
        <f t="shared" si="13"/>
        <v>36</v>
      </c>
      <c r="O104" s="17"/>
      <c r="P104" s="15">
        <v>4.0</v>
      </c>
      <c r="Q104" s="15">
        <v>5.0</v>
      </c>
      <c r="R104" s="15">
        <v>3.0</v>
      </c>
      <c r="S104" s="15">
        <v>4.0</v>
      </c>
      <c r="T104" s="15">
        <v>4.0</v>
      </c>
      <c r="U104" s="15">
        <v>5.0</v>
      </c>
      <c r="V104" s="15">
        <v>3.0</v>
      </c>
      <c r="W104" s="15">
        <v>4.0</v>
      </c>
      <c r="X104" s="15">
        <v>4.0</v>
      </c>
      <c r="Y104" s="15">
        <f t="shared" si="14"/>
        <v>36</v>
      </c>
      <c r="Z104" s="15">
        <f t="shared" si="15"/>
        <v>72</v>
      </c>
      <c r="AA104" s="12"/>
    </row>
    <row r="105" ht="14.25" customHeight="1">
      <c r="A105" s="1"/>
      <c r="B105" s="7"/>
      <c r="C105" s="1"/>
      <c r="D105" s="15" t="s">
        <v>10</v>
      </c>
      <c r="E105" s="15">
        <v>15.0</v>
      </c>
      <c r="F105" s="15">
        <v>5.0</v>
      </c>
      <c r="G105" s="15">
        <v>13.0</v>
      </c>
      <c r="H105" s="15">
        <v>11.0</v>
      </c>
      <c r="I105" s="15">
        <v>1.0</v>
      </c>
      <c r="J105" s="15">
        <v>17.0</v>
      </c>
      <c r="K105" s="15">
        <v>7.0</v>
      </c>
      <c r="L105" s="15">
        <v>3.0</v>
      </c>
      <c r="M105" s="15">
        <v>9.0</v>
      </c>
      <c r="N105" s="18"/>
      <c r="O105" s="17"/>
      <c r="P105" s="15">
        <v>6.0</v>
      </c>
      <c r="Q105" s="15">
        <v>18.0</v>
      </c>
      <c r="R105" s="15">
        <v>16.0</v>
      </c>
      <c r="S105" s="15">
        <v>8.0</v>
      </c>
      <c r="T105" s="15">
        <v>10.0</v>
      </c>
      <c r="U105" s="15">
        <v>2.0</v>
      </c>
      <c r="V105" s="15">
        <v>14.0</v>
      </c>
      <c r="W105" s="15">
        <v>12.0</v>
      </c>
      <c r="X105" s="15">
        <v>4.0</v>
      </c>
      <c r="Y105" s="18"/>
      <c r="Z105" s="18"/>
      <c r="AA105" s="12"/>
    </row>
    <row r="106" ht="6.75" customHeight="1">
      <c r="A106" s="1"/>
      <c r="B106" s="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2"/>
    </row>
    <row r="107" ht="30.0" customHeight="1">
      <c r="A107" s="1"/>
      <c r="B107" s="7"/>
      <c r="C107" s="288" t="s">
        <v>241</v>
      </c>
      <c r="D107" s="30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12"/>
    </row>
    <row r="108" ht="6.75" customHeight="1">
      <c r="A108" s="1"/>
      <c r="B108" s="7"/>
      <c r="C108" s="265"/>
      <c r="D108" s="2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2"/>
    </row>
    <row r="109" ht="30.0" customHeight="1">
      <c r="A109" s="1"/>
      <c r="B109" s="7"/>
      <c r="C109" s="288" t="s">
        <v>12</v>
      </c>
      <c r="D109" s="30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  <c r="AA109" s="12"/>
    </row>
    <row r="110" ht="6.75" customHeight="1">
      <c r="A110" s="1"/>
      <c r="B110" s="7"/>
      <c r="C110" s="265"/>
      <c r="D110" s="2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2"/>
    </row>
    <row r="111" ht="30.0" customHeight="1">
      <c r="A111" s="1"/>
      <c r="B111" s="7"/>
      <c r="C111" s="288" t="s">
        <v>242</v>
      </c>
      <c r="D111" s="30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1"/>
      <c r="P111" s="291"/>
      <c r="Q111" s="291"/>
      <c r="R111" s="291"/>
      <c r="S111" s="291"/>
      <c r="T111" s="291"/>
      <c r="U111" s="291"/>
      <c r="V111" s="291"/>
      <c r="W111" s="291"/>
      <c r="X111" s="291"/>
      <c r="Y111" s="291"/>
      <c r="Z111" s="291"/>
      <c r="AA111" s="12"/>
    </row>
    <row r="112" ht="6.75" customHeight="1">
      <c r="A112" s="1"/>
      <c r="B112" s="7"/>
      <c r="C112" s="265"/>
      <c r="D112" s="2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2"/>
    </row>
    <row r="113" ht="30.0" customHeight="1">
      <c r="A113" s="1"/>
      <c r="B113" s="7"/>
      <c r="C113" s="288" t="s">
        <v>12</v>
      </c>
      <c r="D113" s="30"/>
      <c r="E113" s="291"/>
      <c r="F113" s="291"/>
      <c r="G113" s="291"/>
      <c r="H113" s="291"/>
      <c r="I113" s="291"/>
      <c r="J113" s="291"/>
      <c r="K113" s="291"/>
      <c r="L113" s="291"/>
      <c r="M113" s="291"/>
      <c r="N113" s="291"/>
      <c r="O113" s="1"/>
      <c r="P113" s="291"/>
      <c r="Q113" s="291"/>
      <c r="R113" s="291"/>
      <c r="S113" s="291"/>
      <c r="T113" s="291"/>
      <c r="U113" s="291"/>
      <c r="V113" s="291"/>
      <c r="W113" s="291"/>
      <c r="X113" s="291"/>
      <c r="Y113" s="291"/>
      <c r="Z113" s="291"/>
      <c r="AA113" s="12"/>
    </row>
    <row r="114" ht="24.0" customHeight="1">
      <c r="A114" s="1"/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7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6.7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/>
      <c r="U117" s="4"/>
      <c r="V117" s="4"/>
      <c r="W117" s="4"/>
      <c r="X117" s="4"/>
      <c r="Y117" s="4"/>
      <c r="Z117" s="4"/>
      <c r="AA117" s="5"/>
    </row>
    <row r="118" ht="14.25" customHeight="1">
      <c r="A118" s="1"/>
      <c r="B118" s="7"/>
      <c r="C118" s="10" t="s">
        <v>234</v>
      </c>
      <c r="D118" s="6"/>
      <c r="E118" s="6"/>
      <c r="F118" s="6"/>
      <c r="G118" s="9"/>
      <c r="H118" s="9"/>
      <c r="I118" s="9"/>
      <c r="J118" s="10" t="s">
        <v>193</v>
      </c>
      <c r="T118" s="11"/>
      <c r="U118" s="11"/>
      <c r="V118" s="11"/>
      <c r="W118" s="11"/>
      <c r="X118" s="1"/>
      <c r="Y118" s="1"/>
      <c r="Z118" s="1"/>
      <c r="AA118" s="12"/>
    </row>
    <row r="119" ht="6.75" customHeight="1">
      <c r="A119" s="1"/>
      <c r="B119" s="7"/>
      <c r="C119" s="1"/>
      <c r="D119" s="1"/>
      <c r="E119" s="1"/>
      <c r="F119" s="1"/>
      <c r="G119" s="295"/>
      <c r="H119" s="295"/>
      <c r="I119" s="295"/>
      <c r="J119" s="295"/>
      <c r="K119" s="295"/>
      <c r="L119" s="1"/>
      <c r="M119" s="1"/>
      <c r="N119" s="1"/>
      <c r="O119" s="1"/>
      <c r="P119" s="1"/>
      <c r="Q119" s="1"/>
      <c r="R119" s="1"/>
      <c r="S119" s="295"/>
      <c r="T119" s="295"/>
      <c r="U119" s="295"/>
      <c r="V119" s="295"/>
      <c r="W119" s="295"/>
      <c r="X119" s="1"/>
      <c r="Y119" s="1"/>
      <c r="Z119" s="1"/>
      <c r="AA119" s="12"/>
    </row>
    <row r="120" ht="14.25" customHeight="1">
      <c r="A120" s="1"/>
      <c r="B120" s="7"/>
      <c r="C120" s="1"/>
      <c r="D120" s="15" t="s">
        <v>4</v>
      </c>
      <c r="E120" s="15">
        <v>1.0</v>
      </c>
      <c r="F120" s="15">
        <v>2.0</v>
      </c>
      <c r="G120" s="15">
        <v>3.0</v>
      </c>
      <c r="H120" s="15">
        <v>4.0</v>
      </c>
      <c r="I120" s="15">
        <v>5.0</v>
      </c>
      <c r="J120" s="15">
        <v>6.0</v>
      </c>
      <c r="K120" s="15">
        <v>7.0</v>
      </c>
      <c r="L120" s="15">
        <v>8.0</v>
      </c>
      <c r="M120" s="15">
        <v>9.0</v>
      </c>
      <c r="N120" s="15" t="s">
        <v>5</v>
      </c>
      <c r="O120" s="16"/>
      <c r="P120" s="15">
        <v>10.0</v>
      </c>
      <c r="Q120" s="15">
        <v>11.0</v>
      </c>
      <c r="R120" s="15">
        <v>12.0</v>
      </c>
      <c r="S120" s="15">
        <v>13.0</v>
      </c>
      <c r="T120" s="15">
        <v>14.0</v>
      </c>
      <c r="U120" s="15">
        <v>15.0</v>
      </c>
      <c r="V120" s="15">
        <v>16.0</v>
      </c>
      <c r="W120" s="15">
        <v>17.0</v>
      </c>
      <c r="X120" s="15">
        <v>18.0</v>
      </c>
      <c r="Y120" s="15" t="s">
        <v>6</v>
      </c>
      <c r="Z120" s="15" t="s">
        <v>7</v>
      </c>
      <c r="AA120" s="12"/>
    </row>
    <row r="121" ht="14.25" customHeight="1">
      <c r="A121" s="1"/>
      <c r="B121" s="7"/>
      <c r="C121" s="1"/>
      <c r="D121" s="15" t="s">
        <v>196</v>
      </c>
      <c r="E121" s="15">
        <v>373.0</v>
      </c>
      <c r="F121" s="15">
        <v>376.0</v>
      </c>
      <c r="G121" s="15">
        <v>373.0</v>
      </c>
      <c r="H121" s="15">
        <v>182.0</v>
      </c>
      <c r="I121" s="15">
        <v>539.0</v>
      </c>
      <c r="J121" s="15">
        <v>151.0</v>
      </c>
      <c r="K121" s="15">
        <v>371.0</v>
      </c>
      <c r="L121" s="15">
        <v>387.0</v>
      </c>
      <c r="M121" s="15">
        <v>561.0</v>
      </c>
      <c r="N121" s="15">
        <f t="shared" ref="N121:N122" si="16">SUM(E121:M121)</f>
        <v>3313</v>
      </c>
      <c r="O121" s="17"/>
      <c r="P121" s="15">
        <v>384.0</v>
      </c>
      <c r="Q121" s="15">
        <v>510.0</v>
      </c>
      <c r="R121" s="15">
        <v>170.0</v>
      </c>
      <c r="S121" s="15">
        <v>414.0</v>
      </c>
      <c r="T121" s="15">
        <v>385.0</v>
      </c>
      <c r="U121" s="15">
        <v>482.0</v>
      </c>
      <c r="V121" s="15">
        <v>181.0</v>
      </c>
      <c r="W121" s="15">
        <v>374.0</v>
      </c>
      <c r="X121" s="15">
        <v>434.0</v>
      </c>
      <c r="Y121" s="15">
        <f t="shared" ref="Y121:Y122" si="17">SUM(P121:X121)</f>
        <v>3334</v>
      </c>
      <c r="Z121" s="15">
        <f t="shared" ref="Z121:Z122" si="18">Y121+N121</f>
        <v>6647</v>
      </c>
      <c r="AA121" s="12"/>
    </row>
    <row r="122" ht="14.25" customHeight="1">
      <c r="A122" s="1"/>
      <c r="B122" s="7"/>
      <c r="C122" s="1"/>
      <c r="D122" s="15" t="s">
        <v>9</v>
      </c>
      <c r="E122" s="15">
        <v>4.0</v>
      </c>
      <c r="F122" s="15">
        <v>4.0</v>
      </c>
      <c r="G122" s="15">
        <v>4.0</v>
      </c>
      <c r="H122" s="15">
        <v>3.0</v>
      </c>
      <c r="I122" s="15">
        <v>5.0</v>
      </c>
      <c r="J122" s="15">
        <v>3.0</v>
      </c>
      <c r="K122" s="15">
        <v>4.0</v>
      </c>
      <c r="L122" s="15">
        <v>4.0</v>
      </c>
      <c r="M122" s="15">
        <v>5.0</v>
      </c>
      <c r="N122" s="15">
        <f t="shared" si="16"/>
        <v>36</v>
      </c>
      <c r="O122" s="17"/>
      <c r="P122" s="15">
        <v>4.0</v>
      </c>
      <c r="Q122" s="15">
        <v>5.0</v>
      </c>
      <c r="R122" s="15">
        <v>3.0</v>
      </c>
      <c r="S122" s="15">
        <v>4.0</v>
      </c>
      <c r="T122" s="15">
        <v>4.0</v>
      </c>
      <c r="U122" s="15">
        <v>5.0</v>
      </c>
      <c r="V122" s="15">
        <v>3.0</v>
      </c>
      <c r="W122" s="15">
        <v>4.0</v>
      </c>
      <c r="X122" s="15">
        <v>4.0</v>
      </c>
      <c r="Y122" s="15">
        <f t="shared" si="17"/>
        <v>36</v>
      </c>
      <c r="Z122" s="15">
        <f t="shared" si="18"/>
        <v>72</v>
      </c>
      <c r="AA122" s="12"/>
    </row>
    <row r="123" ht="14.25" customHeight="1">
      <c r="A123" s="1"/>
      <c r="B123" s="7"/>
      <c r="C123" s="1"/>
      <c r="D123" s="15" t="s">
        <v>10</v>
      </c>
      <c r="E123" s="15">
        <v>15.0</v>
      </c>
      <c r="F123" s="15">
        <v>5.0</v>
      </c>
      <c r="G123" s="15">
        <v>13.0</v>
      </c>
      <c r="H123" s="15">
        <v>11.0</v>
      </c>
      <c r="I123" s="15">
        <v>1.0</v>
      </c>
      <c r="J123" s="15">
        <v>17.0</v>
      </c>
      <c r="K123" s="15">
        <v>7.0</v>
      </c>
      <c r="L123" s="15">
        <v>3.0</v>
      </c>
      <c r="M123" s="15">
        <v>9.0</v>
      </c>
      <c r="N123" s="18"/>
      <c r="O123" s="17"/>
      <c r="P123" s="15">
        <v>6.0</v>
      </c>
      <c r="Q123" s="15">
        <v>18.0</v>
      </c>
      <c r="R123" s="15">
        <v>16.0</v>
      </c>
      <c r="S123" s="15">
        <v>8.0</v>
      </c>
      <c r="T123" s="15">
        <v>10.0</v>
      </c>
      <c r="U123" s="15">
        <v>2.0</v>
      </c>
      <c r="V123" s="15">
        <v>14.0</v>
      </c>
      <c r="W123" s="15">
        <v>12.0</v>
      </c>
      <c r="X123" s="15">
        <v>4.0</v>
      </c>
      <c r="Y123" s="18"/>
      <c r="Z123" s="18"/>
      <c r="AA123" s="12"/>
    </row>
    <row r="124" ht="6.75" customHeight="1">
      <c r="A124" s="1"/>
      <c r="B124" s="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2"/>
    </row>
    <row r="125" ht="30.0" customHeight="1">
      <c r="A125" s="1"/>
      <c r="B125" s="7"/>
      <c r="C125" s="288" t="s">
        <v>243</v>
      </c>
      <c r="D125" s="30"/>
      <c r="E125" s="291"/>
      <c r="F125" s="297" t="s">
        <v>200</v>
      </c>
      <c r="G125" s="291"/>
      <c r="H125" s="291"/>
      <c r="I125" s="297" t="s">
        <v>200</v>
      </c>
      <c r="J125" s="291"/>
      <c r="K125" s="297" t="s">
        <v>200</v>
      </c>
      <c r="L125" s="297" t="s">
        <v>200</v>
      </c>
      <c r="M125" s="291"/>
      <c r="N125" s="291"/>
      <c r="O125" s="1"/>
      <c r="P125" s="297" t="s">
        <v>200</v>
      </c>
      <c r="Q125" s="291"/>
      <c r="R125" s="291"/>
      <c r="S125" s="297" t="s">
        <v>200</v>
      </c>
      <c r="T125" s="291"/>
      <c r="U125" s="297" t="s">
        <v>200</v>
      </c>
      <c r="V125" s="291"/>
      <c r="W125" s="291"/>
      <c r="X125" s="297" t="s">
        <v>200</v>
      </c>
      <c r="Y125" s="291"/>
      <c r="Z125" s="291"/>
      <c r="AA125" s="12"/>
    </row>
    <row r="126" ht="6.75" customHeight="1">
      <c r="A126" s="1"/>
      <c r="B126" s="7"/>
      <c r="C126" s="16"/>
      <c r="D126" s="1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2"/>
    </row>
    <row r="127" ht="30.0" customHeight="1">
      <c r="A127" s="1"/>
      <c r="B127" s="7"/>
      <c r="C127" s="288" t="s">
        <v>12</v>
      </c>
      <c r="D127" s="30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1"/>
      <c r="P127" s="291"/>
      <c r="Q127" s="291"/>
      <c r="R127" s="291"/>
      <c r="S127" s="291"/>
      <c r="T127" s="291"/>
      <c r="U127" s="291"/>
      <c r="V127" s="291"/>
      <c r="W127" s="291"/>
      <c r="X127" s="291"/>
      <c r="Y127" s="291"/>
      <c r="Z127" s="291"/>
      <c r="AA127" s="12"/>
    </row>
    <row r="128" ht="6.75" customHeight="1">
      <c r="A128" s="1"/>
      <c r="B128" s="7"/>
      <c r="C128" s="16"/>
      <c r="D128" s="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2"/>
    </row>
    <row r="129" ht="30.0" customHeight="1">
      <c r="A129" s="1"/>
      <c r="B129" s="7"/>
      <c r="C129" s="288" t="s">
        <v>244</v>
      </c>
      <c r="D129" s="30"/>
      <c r="E129" s="291"/>
      <c r="F129" s="291"/>
      <c r="G129" s="291"/>
      <c r="H129" s="291"/>
      <c r="I129" s="291"/>
      <c r="J129" s="291"/>
      <c r="K129" s="291"/>
      <c r="L129" s="291"/>
      <c r="M129" s="291"/>
      <c r="N129" s="291"/>
      <c r="O129" s="1"/>
      <c r="P129" s="291"/>
      <c r="Q129" s="291"/>
      <c r="R129" s="291"/>
      <c r="S129" s="291"/>
      <c r="T129" s="291"/>
      <c r="U129" s="291"/>
      <c r="V129" s="291"/>
      <c r="W129" s="291"/>
      <c r="X129" s="291"/>
      <c r="Y129" s="291"/>
      <c r="Z129" s="291"/>
      <c r="AA129" s="12"/>
    </row>
    <row r="130" ht="6.75" customHeight="1">
      <c r="A130" s="1"/>
      <c r="B130" s="7"/>
      <c r="C130" s="16"/>
      <c r="D130" s="1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2"/>
    </row>
    <row r="131" ht="30.0" customHeight="1">
      <c r="A131" s="1"/>
      <c r="B131" s="7"/>
      <c r="C131" s="288" t="s">
        <v>12</v>
      </c>
      <c r="D131" s="30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  <c r="O131" s="1"/>
      <c r="P131" s="291"/>
      <c r="Q131" s="291"/>
      <c r="R131" s="291"/>
      <c r="S131" s="291"/>
      <c r="T131" s="291"/>
      <c r="U131" s="291"/>
      <c r="V131" s="291"/>
      <c r="W131" s="291"/>
      <c r="X131" s="291"/>
      <c r="Y131" s="291"/>
      <c r="Z131" s="291"/>
      <c r="AA131" s="12"/>
    </row>
    <row r="132" ht="24.0" customHeight="1">
      <c r="A132" s="1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7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J3:S3"/>
    <mergeCell ref="C10:D10"/>
    <mergeCell ref="C12:D12"/>
    <mergeCell ref="C14:D14"/>
    <mergeCell ref="C16:D16"/>
    <mergeCell ref="J24:S24"/>
    <mergeCell ref="C31:D31"/>
    <mergeCell ref="C33:D33"/>
    <mergeCell ref="C35:D35"/>
    <mergeCell ref="C37:D37"/>
    <mergeCell ref="J54:S54"/>
    <mergeCell ref="C61:D61"/>
    <mergeCell ref="C63:D63"/>
    <mergeCell ref="C65:D65"/>
    <mergeCell ref="C67:D67"/>
    <mergeCell ref="J74:S74"/>
    <mergeCell ref="C81:D81"/>
    <mergeCell ref="C83:D83"/>
    <mergeCell ref="C85:D85"/>
    <mergeCell ref="C87:D87"/>
    <mergeCell ref="J100:S100"/>
    <mergeCell ref="C129:D129"/>
    <mergeCell ref="C131:D131"/>
    <mergeCell ref="C107:D107"/>
    <mergeCell ref="C109:D109"/>
    <mergeCell ref="C111:D111"/>
    <mergeCell ref="C113:D113"/>
    <mergeCell ref="J118:S118"/>
    <mergeCell ref="C125:D125"/>
    <mergeCell ref="C127:D127"/>
  </mergeCells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2020-09-21T20:27:22Z</dcterms:created>
  <dc:creator>smlear2</dc:creator>
</cp:coreProperties>
</file>